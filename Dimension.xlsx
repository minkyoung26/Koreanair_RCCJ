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keum\Desktop\대시보드\"/>
    </mc:Choice>
  </mc:AlternateContent>
  <xr:revisionPtr revIDLastSave="0" documentId="8_{C0627168-B1C4-47AE-9EC8-0142BE90B088}" xr6:coauthVersionLast="47" xr6:coauthVersionMax="47" xr10:uidLastSave="{00000000-0000-0000-0000-000000000000}"/>
  <bookViews>
    <workbookView xWindow="-110" yWindow="-110" windowWidth="19420" windowHeight="10300" xr2:uid="{34FD0AD7-696D-44E8-96B6-4172427F4A25}"/>
  </bookViews>
  <sheets>
    <sheet name="D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L1235" i="1" l="1"/>
  <c r="K1235" i="1"/>
  <c r="F1235" i="1"/>
  <c r="E1235" i="1"/>
  <c r="D1235" i="1"/>
  <c r="B1235" i="1"/>
  <c r="G1235" i="1" s="1"/>
  <c r="H1235" i="1" s="1"/>
  <c r="I1235" i="1" s="1"/>
  <c r="A1235" i="1"/>
  <c r="L1234" i="1"/>
  <c r="K1234" i="1"/>
  <c r="G1234" i="1"/>
  <c r="H1234" i="1" s="1"/>
  <c r="I1234" i="1" s="1"/>
  <c r="F1234" i="1"/>
  <c r="E1234" i="1"/>
  <c r="D1234" i="1"/>
  <c r="B1234" i="1"/>
  <c r="A1234" i="1"/>
  <c r="L1233" i="1"/>
  <c r="K1233" i="1"/>
  <c r="J1233" i="1"/>
  <c r="F1233" i="1"/>
  <c r="E1233" i="1"/>
  <c r="D1233" i="1"/>
  <c r="B1233" i="1"/>
  <c r="G1233" i="1" s="1"/>
  <c r="H1233" i="1" s="1"/>
  <c r="I1233" i="1" s="1"/>
  <c r="A1233" i="1"/>
  <c r="L1232" i="1"/>
  <c r="K1232" i="1"/>
  <c r="G1232" i="1"/>
  <c r="H1232" i="1" s="1"/>
  <c r="I1232" i="1" s="1"/>
  <c r="F1232" i="1"/>
  <c r="E1232" i="1"/>
  <c r="D1232" i="1"/>
  <c r="B1232" i="1"/>
  <c r="A1232" i="1"/>
  <c r="L1231" i="1"/>
  <c r="K1231" i="1"/>
  <c r="J1231" i="1"/>
  <c r="H1231" i="1"/>
  <c r="I1231" i="1" s="1"/>
  <c r="G1231" i="1"/>
  <c r="F1231" i="1"/>
  <c r="E1231" i="1"/>
  <c r="D1231" i="1"/>
  <c r="B1231" i="1"/>
  <c r="A1231" i="1"/>
  <c r="L1230" i="1"/>
  <c r="K1230" i="1"/>
  <c r="J1230" i="1"/>
  <c r="F1230" i="1"/>
  <c r="E1230" i="1"/>
  <c r="D1230" i="1"/>
  <c r="B1230" i="1"/>
  <c r="G1230" i="1" s="1"/>
  <c r="H1230" i="1" s="1"/>
  <c r="I1230" i="1" s="1"/>
  <c r="A1230" i="1"/>
  <c r="L1229" i="1"/>
  <c r="K1229" i="1"/>
  <c r="G1229" i="1"/>
  <c r="F1229" i="1"/>
  <c r="H1229" i="1" s="1"/>
  <c r="I1229" i="1" s="1"/>
  <c r="E1229" i="1"/>
  <c r="D1229" i="1"/>
  <c r="B1229" i="1"/>
  <c r="A1229" i="1"/>
  <c r="J1235" i="1" s="1"/>
  <c r="L1228" i="1"/>
  <c r="K1228" i="1"/>
  <c r="F1228" i="1"/>
  <c r="E1228" i="1"/>
  <c r="D1228" i="1"/>
  <c r="B1228" i="1"/>
  <c r="G1228" i="1" s="1"/>
  <c r="H1228" i="1" s="1"/>
  <c r="I1228" i="1" s="1"/>
  <c r="A1228" i="1"/>
  <c r="L1227" i="1"/>
  <c r="K1227" i="1"/>
  <c r="F1227" i="1"/>
  <c r="E1227" i="1"/>
  <c r="D1227" i="1"/>
  <c r="B1227" i="1"/>
  <c r="G1227" i="1" s="1"/>
  <c r="H1227" i="1" s="1"/>
  <c r="I1227" i="1" s="1"/>
  <c r="A1227" i="1"/>
  <c r="L1226" i="1"/>
  <c r="K1226" i="1"/>
  <c r="G1226" i="1"/>
  <c r="H1226" i="1" s="1"/>
  <c r="I1226" i="1" s="1"/>
  <c r="F1226" i="1"/>
  <c r="E1226" i="1"/>
  <c r="D1226" i="1"/>
  <c r="B1226" i="1"/>
  <c r="A1226" i="1"/>
  <c r="L1225" i="1"/>
  <c r="K1225" i="1"/>
  <c r="F1225" i="1"/>
  <c r="E1225" i="1"/>
  <c r="D1225" i="1"/>
  <c r="B1225" i="1"/>
  <c r="G1225" i="1" s="1"/>
  <c r="H1225" i="1" s="1"/>
  <c r="I1225" i="1" s="1"/>
  <c r="A1225" i="1"/>
  <c r="L1224" i="1"/>
  <c r="K1224" i="1"/>
  <c r="G1224" i="1"/>
  <c r="F1224" i="1"/>
  <c r="E1224" i="1"/>
  <c r="D1224" i="1"/>
  <c r="B1224" i="1"/>
  <c r="A1224" i="1"/>
  <c r="L1223" i="1"/>
  <c r="K1223" i="1"/>
  <c r="H1223" i="1"/>
  <c r="I1223" i="1" s="1"/>
  <c r="G1223" i="1"/>
  <c r="F1223" i="1"/>
  <c r="E1223" i="1"/>
  <c r="D1223" i="1"/>
  <c r="B1223" i="1"/>
  <c r="A1223" i="1"/>
  <c r="L1222" i="1"/>
  <c r="K1222" i="1"/>
  <c r="J1222" i="1"/>
  <c r="F1222" i="1"/>
  <c r="E1222" i="1"/>
  <c r="D1222" i="1"/>
  <c r="B1222" i="1"/>
  <c r="G1222" i="1" s="1"/>
  <c r="H1222" i="1" s="1"/>
  <c r="I1222" i="1" s="1"/>
  <c r="A1222" i="1"/>
  <c r="J1228" i="1" s="1"/>
  <c r="L1221" i="1"/>
  <c r="K1221" i="1"/>
  <c r="G1221" i="1"/>
  <c r="F1221" i="1"/>
  <c r="H1221" i="1" s="1"/>
  <c r="I1221" i="1" s="1"/>
  <c r="E1221" i="1"/>
  <c r="D1221" i="1"/>
  <c r="B1221" i="1"/>
  <c r="A1221" i="1"/>
  <c r="L1220" i="1"/>
  <c r="K1220" i="1"/>
  <c r="J1220" i="1"/>
  <c r="F1220" i="1"/>
  <c r="E1220" i="1"/>
  <c r="D1220" i="1"/>
  <c r="B1220" i="1"/>
  <c r="G1220" i="1" s="1"/>
  <c r="H1220" i="1" s="1"/>
  <c r="I1220" i="1" s="1"/>
  <c r="A1220" i="1"/>
  <c r="L1219" i="1"/>
  <c r="K1219" i="1"/>
  <c r="F1219" i="1"/>
  <c r="E1219" i="1"/>
  <c r="D1219" i="1"/>
  <c r="B1219" i="1"/>
  <c r="G1219" i="1" s="1"/>
  <c r="H1219" i="1" s="1"/>
  <c r="I1219" i="1" s="1"/>
  <c r="A1219" i="1"/>
  <c r="L1218" i="1"/>
  <c r="K1218" i="1"/>
  <c r="G1218" i="1"/>
  <c r="H1218" i="1" s="1"/>
  <c r="I1218" i="1" s="1"/>
  <c r="F1218" i="1"/>
  <c r="E1218" i="1"/>
  <c r="D1218" i="1"/>
  <c r="B1218" i="1"/>
  <c r="A1218" i="1"/>
  <c r="L1217" i="1"/>
  <c r="K1217" i="1"/>
  <c r="F1217" i="1"/>
  <c r="E1217" i="1"/>
  <c r="D1217" i="1"/>
  <c r="B1217" i="1"/>
  <c r="G1217" i="1" s="1"/>
  <c r="H1217" i="1" s="1"/>
  <c r="I1217" i="1" s="1"/>
  <c r="A1217" i="1"/>
  <c r="L1216" i="1"/>
  <c r="K1216" i="1"/>
  <c r="G1216" i="1"/>
  <c r="F1216" i="1"/>
  <c r="E1216" i="1"/>
  <c r="D1216" i="1"/>
  <c r="B1216" i="1"/>
  <c r="A1216" i="1"/>
  <c r="L1215" i="1"/>
  <c r="K1215" i="1"/>
  <c r="I1215" i="1"/>
  <c r="H1215" i="1"/>
  <c r="G1215" i="1"/>
  <c r="F1215" i="1"/>
  <c r="E1215" i="1"/>
  <c r="D1215" i="1"/>
  <c r="B1215" i="1"/>
  <c r="A1215" i="1"/>
  <c r="J1217" i="1" s="1"/>
  <c r="L1214" i="1"/>
  <c r="K1214" i="1"/>
  <c r="J1214" i="1"/>
  <c r="F1214" i="1"/>
  <c r="E1214" i="1"/>
  <c r="D1214" i="1"/>
  <c r="B1214" i="1"/>
  <c r="G1214" i="1" s="1"/>
  <c r="H1214" i="1" s="1"/>
  <c r="I1214" i="1" s="1"/>
  <c r="A1214" i="1"/>
  <c r="L1213" i="1"/>
  <c r="K1213" i="1"/>
  <c r="J1213" i="1"/>
  <c r="G1213" i="1"/>
  <c r="H1213" i="1" s="1"/>
  <c r="I1213" i="1" s="1"/>
  <c r="F1213" i="1"/>
  <c r="E1213" i="1"/>
  <c r="D1213" i="1"/>
  <c r="B1213" i="1"/>
  <c r="A1213" i="1"/>
  <c r="L1212" i="1"/>
  <c r="K1212" i="1"/>
  <c r="J1212" i="1"/>
  <c r="F1212" i="1"/>
  <c r="E1212" i="1"/>
  <c r="D1212" i="1"/>
  <c r="B1212" i="1"/>
  <c r="G1212" i="1" s="1"/>
  <c r="H1212" i="1" s="1"/>
  <c r="I1212" i="1" s="1"/>
  <c r="A1212" i="1"/>
  <c r="L1211" i="1"/>
  <c r="K1211" i="1"/>
  <c r="F1211" i="1"/>
  <c r="E1211" i="1"/>
  <c r="D1211" i="1"/>
  <c r="B1211" i="1"/>
  <c r="G1211" i="1" s="1"/>
  <c r="H1211" i="1" s="1"/>
  <c r="I1211" i="1" s="1"/>
  <c r="A1211" i="1"/>
  <c r="L1210" i="1"/>
  <c r="K1210" i="1"/>
  <c r="F1210" i="1"/>
  <c r="E1210" i="1"/>
  <c r="D1210" i="1"/>
  <c r="B1210" i="1"/>
  <c r="G1210" i="1" s="1"/>
  <c r="H1210" i="1" s="1"/>
  <c r="I1210" i="1" s="1"/>
  <c r="A1210" i="1"/>
  <c r="L1209" i="1"/>
  <c r="K1209" i="1"/>
  <c r="J1209" i="1"/>
  <c r="F1209" i="1"/>
  <c r="E1209" i="1"/>
  <c r="D1209" i="1"/>
  <c r="B1209" i="1"/>
  <c r="G1209" i="1" s="1"/>
  <c r="A1209" i="1"/>
  <c r="L1208" i="1"/>
  <c r="K1208" i="1"/>
  <c r="G1208" i="1"/>
  <c r="H1208" i="1" s="1"/>
  <c r="I1208" i="1" s="1"/>
  <c r="F1208" i="1"/>
  <c r="E1208" i="1"/>
  <c r="D1208" i="1"/>
  <c r="B1208" i="1"/>
  <c r="A1208" i="1"/>
  <c r="J1211" i="1" s="1"/>
  <c r="L1207" i="1"/>
  <c r="K1207" i="1"/>
  <c r="H1207" i="1"/>
  <c r="I1207" i="1" s="1"/>
  <c r="G1207" i="1"/>
  <c r="F1207" i="1"/>
  <c r="E1207" i="1"/>
  <c r="D1207" i="1"/>
  <c r="B1207" i="1"/>
  <c r="A1207" i="1"/>
  <c r="L1206" i="1"/>
  <c r="K1206" i="1"/>
  <c r="F1206" i="1"/>
  <c r="E1206" i="1"/>
  <c r="D1206" i="1"/>
  <c r="B1206" i="1"/>
  <c r="G1206" i="1" s="1"/>
  <c r="H1206" i="1" s="1"/>
  <c r="I1206" i="1" s="1"/>
  <c r="A1206" i="1"/>
  <c r="L1205" i="1"/>
  <c r="K1205" i="1"/>
  <c r="G1205" i="1"/>
  <c r="H1205" i="1" s="1"/>
  <c r="I1205" i="1" s="1"/>
  <c r="F1205" i="1"/>
  <c r="E1205" i="1"/>
  <c r="D1205" i="1"/>
  <c r="B1205" i="1"/>
  <c r="A1205" i="1"/>
  <c r="L1204" i="1"/>
  <c r="K1204" i="1"/>
  <c r="J1204" i="1"/>
  <c r="H1204" i="1"/>
  <c r="I1204" i="1" s="1"/>
  <c r="F1204" i="1"/>
  <c r="E1204" i="1"/>
  <c r="D1204" i="1"/>
  <c r="B1204" i="1"/>
  <c r="G1204" i="1" s="1"/>
  <c r="A1204" i="1"/>
  <c r="L1203" i="1"/>
  <c r="K1203" i="1"/>
  <c r="H1203" i="1"/>
  <c r="I1203" i="1" s="1"/>
  <c r="F1203" i="1"/>
  <c r="E1203" i="1"/>
  <c r="D1203" i="1"/>
  <c r="B1203" i="1"/>
  <c r="G1203" i="1" s="1"/>
  <c r="A1203" i="1"/>
  <c r="L1202" i="1"/>
  <c r="K1202" i="1"/>
  <c r="F1202" i="1"/>
  <c r="E1202" i="1"/>
  <c r="D1202" i="1"/>
  <c r="B1202" i="1"/>
  <c r="G1202" i="1" s="1"/>
  <c r="H1202" i="1" s="1"/>
  <c r="I1202" i="1" s="1"/>
  <c r="A1202" i="1"/>
  <c r="L1201" i="1"/>
  <c r="K1201" i="1"/>
  <c r="J1201" i="1"/>
  <c r="F1201" i="1"/>
  <c r="E1201" i="1"/>
  <c r="D1201" i="1"/>
  <c r="B1201" i="1"/>
  <c r="G1201" i="1" s="1"/>
  <c r="H1201" i="1" s="1"/>
  <c r="I1201" i="1" s="1"/>
  <c r="A1201" i="1"/>
  <c r="J1206" i="1" s="1"/>
  <c r="L1200" i="1"/>
  <c r="K1200" i="1"/>
  <c r="G1200" i="1"/>
  <c r="F1200" i="1"/>
  <c r="E1200" i="1"/>
  <c r="D1200" i="1"/>
  <c r="B1200" i="1"/>
  <c r="A1200" i="1"/>
  <c r="L1199" i="1"/>
  <c r="K1199" i="1"/>
  <c r="J1199" i="1"/>
  <c r="H1199" i="1"/>
  <c r="I1199" i="1" s="1"/>
  <c r="G1199" i="1"/>
  <c r="F1199" i="1"/>
  <c r="E1199" i="1"/>
  <c r="D1199" i="1"/>
  <c r="B1199" i="1"/>
  <c r="A1199" i="1"/>
  <c r="L1198" i="1"/>
  <c r="K1198" i="1"/>
  <c r="J1198" i="1"/>
  <c r="G1198" i="1"/>
  <c r="H1198" i="1" s="1"/>
  <c r="I1198" i="1" s="1"/>
  <c r="F1198" i="1"/>
  <c r="E1198" i="1"/>
  <c r="D1198" i="1"/>
  <c r="B1198" i="1"/>
  <c r="A1198" i="1"/>
  <c r="L1197" i="1"/>
  <c r="K1197" i="1"/>
  <c r="J1197" i="1"/>
  <c r="G1197" i="1"/>
  <c r="H1197" i="1" s="1"/>
  <c r="I1197" i="1" s="1"/>
  <c r="F1197" i="1"/>
  <c r="E1197" i="1"/>
  <c r="D1197" i="1"/>
  <c r="B1197" i="1"/>
  <c r="A1197" i="1"/>
  <c r="L1196" i="1"/>
  <c r="K1196" i="1"/>
  <c r="J1196" i="1"/>
  <c r="F1196" i="1"/>
  <c r="E1196" i="1"/>
  <c r="D1196" i="1"/>
  <c r="B1196" i="1"/>
  <c r="G1196" i="1" s="1"/>
  <c r="H1196" i="1" s="1"/>
  <c r="I1196" i="1" s="1"/>
  <c r="A1196" i="1"/>
  <c r="L1195" i="1"/>
  <c r="K1195" i="1"/>
  <c r="F1195" i="1"/>
  <c r="E1195" i="1"/>
  <c r="D1195" i="1"/>
  <c r="B1195" i="1"/>
  <c r="G1195" i="1" s="1"/>
  <c r="H1195" i="1" s="1"/>
  <c r="I1195" i="1" s="1"/>
  <c r="A1195" i="1"/>
  <c r="L1194" i="1"/>
  <c r="K1194" i="1"/>
  <c r="F1194" i="1"/>
  <c r="E1194" i="1"/>
  <c r="D1194" i="1"/>
  <c r="B1194" i="1"/>
  <c r="G1194" i="1" s="1"/>
  <c r="H1194" i="1" s="1"/>
  <c r="I1194" i="1" s="1"/>
  <c r="A1194" i="1"/>
  <c r="J1195" i="1" s="1"/>
  <c r="L1193" i="1"/>
  <c r="K1193" i="1"/>
  <c r="J1193" i="1"/>
  <c r="F1193" i="1"/>
  <c r="E1193" i="1"/>
  <c r="D1193" i="1"/>
  <c r="B1193" i="1"/>
  <c r="G1193" i="1" s="1"/>
  <c r="A1193" i="1"/>
  <c r="L1192" i="1"/>
  <c r="K1192" i="1"/>
  <c r="J1192" i="1"/>
  <c r="G1192" i="1"/>
  <c r="F1192" i="1"/>
  <c r="E1192" i="1"/>
  <c r="D1192" i="1"/>
  <c r="B1192" i="1"/>
  <c r="A1192" i="1"/>
  <c r="L1191" i="1"/>
  <c r="K1191" i="1"/>
  <c r="J1191" i="1"/>
  <c r="G1191" i="1"/>
  <c r="H1191" i="1" s="1"/>
  <c r="I1191" i="1" s="1"/>
  <c r="F1191" i="1"/>
  <c r="E1191" i="1"/>
  <c r="D1191" i="1"/>
  <c r="B1191" i="1"/>
  <c r="A1191" i="1"/>
  <c r="L1190" i="1"/>
  <c r="K1190" i="1"/>
  <c r="J1190" i="1"/>
  <c r="F1190" i="1"/>
  <c r="E1190" i="1"/>
  <c r="D1190" i="1"/>
  <c r="B1190" i="1"/>
  <c r="G1190" i="1" s="1"/>
  <c r="H1190" i="1" s="1"/>
  <c r="I1190" i="1" s="1"/>
  <c r="A1190" i="1"/>
  <c r="L1189" i="1"/>
  <c r="K1189" i="1"/>
  <c r="J1189" i="1"/>
  <c r="G1189" i="1"/>
  <c r="H1189" i="1" s="1"/>
  <c r="I1189" i="1" s="1"/>
  <c r="F1189" i="1"/>
  <c r="E1189" i="1"/>
  <c r="D1189" i="1"/>
  <c r="B1189" i="1"/>
  <c r="A1189" i="1"/>
  <c r="L1188" i="1"/>
  <c r="K1188" i="1"/>
  <c r="J1188" i="1"/>
  <c r="F1188" i="1"/>
  <c r="E1188" i="1"/>
  <c r="D1188" i="1"/>
  <c r="B1188" i="1"/>
  <c r="G1188" i="1" s="1"/>
  <c r="H1188" i="1" s="1"/>
  <c r="I1188" i="1" s="1"/>
  <c r="A1188" i="1"/>
  <c r="L1187" i="1"/>
  <c r="K1187" i="1"/>
  <c r="F1187" i="1"/>
  <c r="E1187" i="1"/>
  <c r="D1187" i="1"/>
  <c r="B1187" i="1"/>
  <c r="G1187" i="1" s="1"/>
  <c r="H1187" i="1" s="1"/>
  <c r="I1187" i="1" s="1"/>
  <c r="A1187" i="1"/>
  <c r="J1187" i="1" s="1"/>
  <c r="L1186" i="1"/>
  <c r="K1186" i="1"/>
  <c r="F1186" i="1"/>
  <c r="E1186" i="1"/>
  <c r="D1186" i="1"/>
  <c r="B1186" i="1"/>
  <c r="G1186" i="1" s="1"/>
  <c r="H1186" i="1" s="1"/>
  <c r="I1186" i="1" s="1"/>
  <c r="A1186" i="1"/>
  <c r="L1185" i="1"/>
  <c r="K1185" i="1"/>
  <c r="G1185" i="1"/>
  <c r="F1185" i="1"/>
  <c r="E1185" i="1"/>
  <c r="D1185" i="1"/>
  <c r="B1185" i="1"/>
  <c r="A1185" i="1"/>
  <c r="L1184" i="1"/>
  <c r="K1184" i="1"/>
  <c r="G1184" i="1"/>
  <c r="F1184" i="1"/>
  <c r="E1184" i="1"/>
  <c r="D1184" i="1"/>
  <c r="B1184" i="1"/>
  <c r="A1184" i="1"/>
  <c r="L1183" i="1"/>
  <c r="K1183" i="1"/>
  <c r="G1183" i="1"/>
  <c r="H1183" i="1" s="1"/>
  <c r="I1183" i="1" s="1"/>
  <c r="F1183" i="1"/>
  <c r="E1183" i="1"/>
  <c r="D1183" i="1"/>
  <c r="B1183" i="1"/>
  <c r="A1183" i="1"/>
  <c r="L1182" i="1"/>
  <c r="K1182" i="1"/>
  <c r="G1182" i="1"/>
  <c r="H1182" i="1" s="1"/>
  <c r="I1182" i="1" s="1"/>
  <c r="F1182" i="1"/>
  <c r="E1182" i="1"/>
  <c r="D1182" i="1"/>
  <c r="B1182" i="1"/>
  <c r="A1182" i="1"/>
  <c r="L1181" i="1"/>
  <c r="K1181" i="1"/>
  <c r="J1181" i="1"/>
  <c r="G1181" i="1"/>
  <c r="H1181" i="1" s="1"/>
  <c r="I1181" i="1" s="1"/>
  <c r="F1181" i="1"/>
  <c r="E1181" i="1"/>
  <c r="D1181" i="1"/>
  <c r="B1181" i="1"/>
  <c r="A1181" i="1"/>
  <c r="L1180" i="1"/>
  <c r="K1180" i="1"/>
  <c r="J1180" i="1"/>
  <c r="F1180" i="1"/>
  <c r="E1180" i="1"/>
  <c r="D1180" i="1"/>
  <c r="B1180" i="1"/>
  <c r="G1180" i="1" s="1"/>
  <c r="H1180" i="1" s="1"/>
  <c r="I1180" i="1" s="1"/>
  <c r="A1180" i="1"/>
  <c r="J1186" i="1" s="1"/>
  <c r="L1179" i="1"/>
  <c r="K1179" i="1"/>
  <c r="F1179" i="1"/>
  <c r="E1179" i="1"/>
  <c r="D1179" i="1"/>
  <c r="B1179" i="1"/>
  <c r="G1179" i="1" s="1"/>
  <c r="H1179" i="1" s="1"/>
  <c r="I1179" i="1" s="1"/>
  <c r="A1179" i="1"/>
  <c r="L1178" i="1"/>
  <c r="K1178" i="1"/>
  <c r="F1178" i="1"/>
  <c r="E1178" i="1"/>
  <c r="D1178" i="1"/>
  <c r="B1178" i="1"/>
  <c r="G1178" i="1" s="1"/>
  <c r="A1178" i="1"/>
  <c r="L1177" i="1"/>
  <c r="K1177" i="1"/>
  <c r="G1177" i="1"/>
  <c r="F1177" i="1"/>
  <c r="E1177" i="1"/>
  <c r="D1177" i="1"/>
  <c r="B1177" i="1"/>
  <c r="A1177" i="1"/>
  <c r="L1176" i="1"/>
  <c r="K1176" i="1"/>
  <c r="J1176" i="1"/>
  <c r="G1176" i="1"/>
  <c r="F1176" i="1"/>
  <c r="E1176" i="1"/>
  <c r="D1176" i="1"/>
  <c r="B1176" i="1"/>
  <c r="A1176" i="1"/>
  <c r="L1175" i="1"/>
  <c r="K1175" i="1"/>
  <c r="J1175" i="1"/>
  <c r="G1175" i="1"/>
  <c r="H1175" i="1" s="1"/>
  <c r="I1175" i="1" s="1"/>
  <c r="F1175" i="1"/>
  <c r="E1175" i="1"/>
  <c r="D1175" i="1"/>
  <c r="B1175" i="1"/>
  <c r="A1175" i="1"/>
  <c r="L1174" i="1"/>
  <c r="K1174" i="1"/>
  <c r="F1174" i="1"/>
  <c r="E1174" i="1"/>
  <c r="D1174" i="1"/>
  <c r="B1174" i="1"/>
  <c r="G1174" i="1" s="1"/>
  <c r="H1174" i="1" s="1"/>
  <c r="I1174" i="1" s="1"/>
  <c r="A1174" i="1"/>
  <c r="L1173" i="1"/>
  <c r="K1173" i="1"/>
  <c r="J1173" i="1"/>
  <c r="G1173" i="1"/>
  <c r="H1173" i="1" s="1"/>
  <c r="I1173" i="1" s="1"/>
  <c r="F1173" i="1"/>
  <c r="E1173" i="1"/>
  <c r="D1173" i="1"/>
  <c r="B1173" i="1"/>
  <c r="A1173" i="1"/>
  <c r="J1174" i="1" s="1"/>
  <c r="L1172" i="1"/>
  <c r="K1172" i="1"/>
  <c r="J1172" i="1"/>
  <c r="H1172" i="1"/>
  <c r="I1172" i="1" s="1"/>
  <c r="F1172" i="1"/>
  <c r="E1172" i="1"/>
  <c r="D1172" i="1"/>
  <c r="B1172" i="1"/>
  <c r="G1172" i="1" s="1"/>
  <c r="A1172" i="1"/>
  <c r="L1171" i="1"/>
  <c r="K1171" i="1"/>
  <c r="I1171" i="1"/>
  <c r="F1171" i="1"/>
  <c r="E1171" i="1"/>
  <c r="D1171" i="1"/>
  <c r="B1171" i="1"/>
  <c r="G1171" i="1" s="1"/>
  <c r="H1171" i="1" s="1"/>
  <c r="A1171" i="1"/>
  <c r="L1170" i="1"/>
  <c r="K1170" i="1"/>
  <c r="F1170" i="1"/>
  <c r="E1170" i="1"/>
  <c r="D1170" i="1"/>
  <c r="B1170" i="1"/>
  <c r="G1170" i="1" s="1"/>
  <c r="H1170" i="1" s="1"/>
  <c r="I1170" i="1" s="1"/>
  <c r="A1170" i="1"/>
  <c r="L1169" i="1"/>
  <c r="K1169" i="1"/>
  <c r="J1169" i="1"/>
  <c r="G1169" i="1"/>
  <c r="F1169" i="1"/>
  <c r="E1169" i="1"/>
  <c r="D1169" i="1"/>
  <c r="B1169" i="1"/>
  <c r="A1169" i="1"/>
  <c r="L1168" i="1"/>
  <c r="K1168" i="1"/>
  <c r="J1168" i="1"/>
  <c r="G1168" i="1"/>
  <c r="F1168" i="1"/>
  <c r="E1168" i="1"/>
  <c r="D1168" i="1"/>
  <c r="B1168" i="1"/>
  <c r="A1168" i="1"/>
  <c r="L1167" i="1"/>
  <c r="K1167" i="1"/>
  <c r="J1167" i="1"/>
  <c r="I1167" i="1"/>
  <c r="G1167" i="1"/>
  <c r="H1167" i="1" s="1"/>
  <c r="F1167" i="1"/>
  <c r="E1167" i="1"/>
  <c r="D1167" i="1"/>
  <c r="B1167" i="1"/>
  <c r="A1167" i="1"/>
  <c r="L1166" i="1"/>
  <c r="K1166" i="1"/>
  <c r="J1166" i="1"/>
  <c r="F1166" i="1"/>
  <c r="E1166" i="1"/>
  <c r="D1166" i="1"/>
  <c r="B1166" i="1"/>
  <c r="G1166" i="1" s="1"/>
  <c r="H1166" i="1" s="1"/>
  <c r="I1166" i="1" s="1"/>
  <c r="A1166" i="1"/>
  <c r="L1165" i="1"/>
  <c r="K1165" i="1"/>
  <c r="J1165" i="1"/>
  <c r="H1165" i="1"/>
  <c r="I1165" i="1" s="1"/>
  <c r="G1165" i="1"/>
  <c r="F1165" i="1"/>
  <c r="E1165" i="1"/>
  <c r="D1165" i="1"/>
  <c r="B1165" i="1"/>
  <c r="A1165" i="1"/>
  <c r="L1164" i="1"/>
  <c r="K1164" i="1"/>
  <c r="J1164" i="1"/>
  <c r="H1164" i="1"/>
  <c r="I1164" i="1" s="1"/>
  <c r="F1164" i="1"/>
  <c r="E1164" i="1"/>
  <c r="D1164" i="1"/>
  <c r="B1164" i="1"/>
  <c r="G1164" i="1" s="1"/>
  <c r="A1164" i="1"/>
  <c r="L1163" i="1"/>
  <c r="K1163" i="1"/>
  <c r="I1163" i="1"/>
  <c r="F1163" i="1"/>
  <c r="E1163" i="1"/>
  <c r="D1163" i="1"/>
  <c r="B1163" i="1"/>
  <c r="G1163" i="1" s="1"/>
  <c r="H1163" i="1" s="1"/>
  <c r="A1163" i="1"/>
  <c r="L1162" i="1"/>
  <c r="K1162" i="1"/>
  <c r="F1162" i="1"/>
  <c r="E1162" i="1"/>
  <c r="D1162" i="1"/>
  <c r="B1162" i="1"/>
  <c r="G1162" i="1" s="1"/>
  <c r="A1162" i="1"/>
  <c r="L1161" i="1"/>
  <c r="K1161" i="1"/>
  <c r="G1161" i="1"/>
  <c r="F1161" i="1"/>
  <c r="E1161" i="1"/>
  <c r="D1161" i="1"/>
  <c r="B1161" i="1"/>
  <c r="A1161" i="1"/>
  <c r="L1160" i="1"/>
  <c r="K1160" i="1"/>
  <c r="J1160" i="1"/>
  <c r="G1160" i="1"/>
  <c r="F1160" i="1"/>
  <c r="E1160" i="1"/>
  <c r="D1160" i="1"/>
  <c r="B1160" i="1"/>
  <c r="A1160" i="1"/>
  <c r="L1159" i="1"/>
  <c r="K1159" i="1"/>
  <c r="I1159" i="1"/>
  <c r="G1159" i="1"/>
  <c r="H1159" i="1" s="1"/>
  <c r="F1159" i="1"/>
  <c r="E1159" i="1"/>
  <c r="D1159" i="1"/>
  <c r="B1159" i="1"/>
  <c r="A1159" i="1"/>
  <c r="L1158" i="1"/>
  <c r="K1158" i="1"/>
  <c r="F1158" i="1"/>
  <c r="E1158" i="1"/>
  <c r="D1158" i="1"/>
  <c r="B1158" i="1"/>
  <c r="G1158" i="1" s="1"/>
  <c r="H1158" i="1" s="1"/>
  <c r="I1158" i="1" s="1"/>
  <c r="A1158" i="1"/>
  <c r="L1157" i="1"/>
  <c r="K1157" i="1"/>
  <c r="G1157" i="1"/>
  <c r="H1157" i="1" s="1"/>
  <c r="I1157" i="1" s="1"/>
  <c r="F1157" i="1"/>
  <c r="E1157" i="1"/>
  <c r="D1157" i="1"/>
  <c r="B1157" i="1"/>
  <c r="A1157" i="1"/>
  <c r="L1156" i="1"/>
  <c r="K1156" i="1"/>
  <c r="F1156" i="1"/>
  <c r="E1156" i="1"/>
  <c r="D1156" i="1"/>
  <c r="B1156" i="1"/>
  <c r="G1156" i="1" s="1"/>
  <c r="H1156" i="1" s="1"/>
  <c r="I1156" i="1" s="1"/>
  <c r="A1156" i="1"/>
  <c r="L1155" i="1"/>
  <c r="K1155" i="1"/>
  <c r="F1155" i="1"/>
  <c r="E1155" i="1"/>
  <c r="D1155" i="1"/>
  <c r="B1155" i="1"/>
  <c r="G1155" i="1" s="1"/>
  <c r="H1155" i="1" s="1"/>
  <c r="I1155" i="1" s="1"/>
  <c r="A1155" i="1"/>
  <c r="L1154" i="1"/>
  <c r="K1154" i="1"/>
  <c r="F1154" i="1"/>
  <c r="E1154" i="1"/>
  <c r="D1154" i="1"/>
  <c r="B1154" i="1"/>
  <c r="G1154" i="1" s="1"/>
  <c r="H1154" i="1" s="1"/>
  <c r="I1154" i="1" s="1"/>
  <c r="A1154" i="1"/>
  <c r="L1153" i="1"/>
  <c r="K1153" i="1"/>
  <c r="I1153" i="1"/>
  <c r="G1153" i="1"/>
  <c r="H1153" i="1" s="1"/>
  <c r="F1153" i="1"/>
  <c r="E1153" i="1"/>
  <c r="D1153" i="1"/>
  <c r="B1153" i="1"/>
  <c r="A1153" i="1"/>
  <c r="L1152" i="1"/>
  <c r="K1152" i="1"/>
  <c r="G1152" i="1"/>
  <c r="F1152" i="1"/>
  <c r="E1152" i="1"/>
  <c r="D1152" i="1"/>
  <c r="B1152" i="1"/>
  <c r="A1152" i="1"/>
  <c r="J1152" i="1" s="1"/>
  <c r="L1151" i="1"/>
  <c r="K1151" i="1"/>
  <c r="J1151" i="1"/>
  <c r="I1151" i="1"/>
  <c r="G1151" i="1"/>
  <c r="H1151" i="1" s="1"/>
  <c r="F1151" i="1"/>
  <c r="E1151" i="1"/>
  <c r="D1151" i="1"/>
  <c r="B1151" i="1"/>
  <c r="A1151" i="1"/>
  <c r="L1150" i="1"/>
  <c r="K1150" i="1"/>
  <c r="F1150" i="1"/>
  <c r="E1150" i="1"/>
  <c r="D1150" i="1"/>
  <c r="B1150" i="1"/>
  <c r="G1150" i="1" s="1"/>
  <c r="H1150" i="1" s="1"/>
  <c r="I1150" i="1" s="1"/>
  <c r="A1150" i="1"/>
  <c r="L1149" i="1"/>
  <c r="K1149" i="1"/>
  <c r="J1149" i="1"/>
  <c r="G1149" i="1"/>
  <c r="F1149" i="1"/>
  <c r="H1149" i="1" s="1"/>
  <c r="I1149" i="1" s="1"/>
  <c r="E1149" i="1"/>
  <c r="D1149" i="1"/>
  <c r="B1149" i="1"/>
  <c r="A1149" i="1"/>
  <c r="L1148" i="1"/>
  <c r="K1148" i="1"/>
  <c r="J1148" i="1"/>
  <c r="F1148" i="1"/>
  <c r="E1148" i="1"/>
  <c r="D1148" i="1"/>
  <c r="B1148" i="1"/>
  <c r="G1148" i="1" s="1"/>
  <c r="H1148" i="1" s="1"/>
  <c r="I1148" i="1" s="1"/>
  <c r="A1148" i="1"/>
  <c r="L1147" i="1"/>
  <c r="K1147" i="1"/>
  <c r="F1147" i="1"/>
  <c r="E1147" i="1"/>
  <c r="D1147" i="1"/>
  <c r="B1147" i="1"/>
  <c r="G1147" i="1" s="1"/>
  <c r="H1147" i="1" s="1"/>
  <c r="I1147" i="1" s="1"/>
  <c r="A1147" i="1"/>
  <c r="L1146" i="1"/>
  <c r="K1146" i="1"/>
  <c r="F1146" i="1"/>
  <c r="E1146" i="1"/>
  <c r="D1146" i="1"/>
  <c r="B1146" i="1"/>
  <c r="G1146" i="1" s="1"/>
  <c r="H1146" i="1" s="1"/>
  <c r="I1146" i="1" s="1"/>
  <c r="A1146" i="1"/>
  <c r="L1145" i="1"/>
  <c r="K1145" i="1"/>
  <c r="J1145" i="1"/>
  <c r="I1145" i="1"/>
  <c r="G1145" i="1"/>
  <c r="H1145" i="1" s="1"/>
  <c r="F1145" i="1"/>
  <c r="E1145" i="1"/>
  <c r="D1145" i="1"/>
  <c r="B1145" i="1"/>
  <c r="A1145" i="1"/>
  <c r="L1144" i="1"/>
  <c r="K1144" i="1"/>
  <c r="J1144" i="1"/>
  <c r="G1144" i="1"/>
  <c r="H1144" i="1" s="1"/>
  <c r="I1144" i="1" s="1"/>
  <c r="F1144" i="1"/>
  <c r="E1144" i="1"/>
  <c r="D1144" i="1"/>
  <c r="B1144" i="1"/>
  <c r="A1144" i="1"/>
  <c r="L1143" i="1"/>
  <c r="K1143" i="1"/>
  <c r="J1143" i="1"/>
  <c r="I1143" i="1"/>
  <c r="G1143" i="1"/>
  <c r="H1143" i="1" s="1"/>
  <c r="F1143" i="1"/>
  <c r="E1143" i="1"/>
  <c r="D1143" i="1"/>
  <c r="B1143" i="1"/>
  <c r="A1143" i="1"/>
  <c r="L1142" i="1"/>
  <c r="K1142" i="1"/>
  <c r="J1142" i="1"/>
  <c r="F1142" i="1"/>
  <c r="E1142" i="1"/>
  <c r="D1142" i="1"/>
  <c r="B1142" i="1"/>
  <c r="G1142" i="1" s="1"/>
  <c r="H1142" i="1" s="1"/>
  <c r="I1142" i="1" s="1"/>
  <c r="A1142" i="1"/>
  <c r="L1141" i="1"/>
  <c r="K1141" i="1"/>
  <c r="J1141" i="1"/>
  <c r="H1141" i="1"/>
  <c r="I1141" i="1" s="1"/>
  <c r="G1141" i="1"/>
  <c r="F1141" i="1"/>
  <c r="E1141" i="1"/>
  <c r="D1141" i="1"/>
  <c r="B1141" i="1"/>
  <c r="A1141" i="1"/>
  <c r="L1140" i="1"/>
  <c r="K1140" i="1"/>
  <c r="J1140" i="1"/>
  <c r="I1140" i="1"/>
  <c r="H1140" i="1"/>
  <c r="F1140" i="1"/>
  <c r="E1140" i="1"/>
  <c r="D1140" i="1"/>
  <c r="B1140" i="1"/>
  <c r="G1140" i="1" s="1"/>
  <c r="A1140" i="1"/>
  <c r="L1139" i="1"/>
  <c r="K1139" i="1"/>
  <c r="I1139" i="1"/>
  <c r="F1139" i="1"/>
  <c r="E1139" i="1"/>
  <c r="D1139" i="1"/>
  <c r="B1139" i="1"/>
  <c r="G1139" i="1" s="1"/>
  <c r="H1139" i="1" s="1"/>
  <c r="A1139" i="1"/>
  <c r="L1138" i="1"/>
  <c r="K1138" i="1"/>
  <c r="F1138" i="1"/>
  <c r="E1138" i="1"/>
  <c r="D1138" i="1"/>
  <c r="B1138" i="1"/>
  <c r="G1138" i="1" s="1"/>
  <c r="A1138" i="1"/>
  <c r="J1139" i="1" s="1"/>
  <c r="L1137" i="1"/>
  <c r="K1137" i="1"/>
  <c r="J1137" i="1"/>
  <c r="G1137" i="1"/>
  <c r="H1137" i="1" s="1"/>
  <c r="I1137" i="1" s="1"/>
  <c r="F1137" i="1"/>
  <c r="E1137" i="1"/>
  <c r="D1137" i="1"/>
  <c r="B1137" i="1"/>
  <c r="A1137" i="1"/>
  <c r="L1136" i="1"/>
  <c r="K1136" i="1"/>
  <c r="J1136" i="1"/>
  <c r="I1136" i="1"/>
  <c r="G1136" i="1"/>
  <c r="H1136" i="1" s="1"/>
  <c r="F1136" i="1"/>
  <c r="E1136" i="1"/>
  <c r="D1136" i="1"/>
  <c r="B1136" i="1"/>
  <c r="A1136" i="1"/>
  <c r="L1135" i="1"/>
  <c r="K1135" i="1"/>
  <c r="J1135" i="1"/>
  <c r="G1135" i="1"/>
  <c r="H1135" i="1" s="1"/>
  <c r="I1135" i="1" s="1"/>
  <c r="F1135" i="1"/>
  <c r="E1135" i="1"/>
  <c r="D1135" i="1"/>
  <c r="B1135" i="1"/>
  <c r="A1135" i="1"/>
  <c r="L1134" i="1"/>
  <c r="K1134" i="1"/>
  <c r="J1134" i="1"/>
  <c r="F1134" i="1"/>
  <c r="E1134" i="1"/>
  <c r="D1134" i="1"/>
  <c r="B1134" i="1"/>
  <c r="G1134" i="1" s="1"/>
  <c r="H1134" i="1" s="1"/>
  <c r="I1134" i="1" s="1"/>
  <c r="A1134" i="1"/>
  <c r="L1133" i="1"/>
  <c r="K1133" i="1"/>
  <c r="J1133" i="1"/>
  <c r="G1133" i="1"/>
  <c r="F1133" i="1"/>
  <c r="H1133" i="1" s="1"/>
  <c r="I1133" i="1" s="1"/>
  <c r="E1133" i="1"/>
  <c r="D1133" i="1"/>
  <c r="B1133" i="1"/>
  <c r="A1133" i="1"/>
  <c r="L1132" i="1"/>
  <c r="K1132" i="1"/>
  <c r="J1132" i="1"/>
  <c r="F1132" i="1"/>
  <c r="E1132" i="1"/>
  <c r="D1132" i="1"/>
  <c r="B1132" i="1"/>
  <c r="G1132" i="1" s="1"/>
  <c r="H1132" i="1" s="1"/>
  <c r="I1132" i="1" s="1"/>
  <c r="A1132" i="1"/>
  <c r="L1131" i="1"/>
  <c r="K1131" i="1"/>
  <c r="F1131" i="1"/>
  <c r="E1131" i="1"/>
  <c r="D1131" i="1"/>
  <c r="B1131" i="1"/>
  <c r="G1131" i="1" s="1"/>
  <c r="H1131" i="1" s="1"/>
  <c r="I1131" i="1" s="1"/>
  <c r="A1131" i="1"/>
  <c r="J1131" i="1" s="1"/>
  <c r="L1130" i="1"/>
  <c r="K1130" i="1"/>
  <c r="F1130" i="1"/>
  <c r="E1130" i="1"/>
  <c r="D1130" i="1"/>
  <c r="B1130" i="1"/>
  <c r="G1130" i="1" s="1"/>
  <c r="H1130" i="1" s="1"/>
  <c r="I1130" i="1" s="1"/>
  <c r="A1130" i="1"/>
  <c r="L1129" i="1"/>
  <c r="K1129" i="1"/>
  <c r="I1129" i="1"/>
  <c r="G1129" i="1"/>
  <c r="H1129" i="1" s="1"/>
  <c r="F1129" i="1"/>
  <c r="E1129" i="1"/>
  <c r="D1129" i="1"/>
  <c r="B1129" i="1"/>
  <c r="A1129" i="1"/>
  <c r="L1128" i="1"/>
  <c r="K1128" i="1"/>
  <c r="J1128" i="1"/>
  <c r="G1128" i="1"/>
  <c r="F1128" i="1"/>
  <c r="E1128" i="1"/>
  <c r="D1128" i="1"/>
  <c r="B1128" i="1"/>
  <c r="A1128" i="1"/>
  <c r="L1127" i="1"/>
  <c r="K1127" i="1"/>
  <c r="I1127" i="1"/>
  <c r="G1127" i="1"/>
  <c r="H1127" i="1" s="1"/>
  <c r="F1127" i="1"/>
  <c r="E1127" i="1"/>
  <c r="D1127" i="1"/>
  <c r="B1127" i="1"/>
  <c r="A1127" i="1"/>
  <c r="L1126" i="1"/>
  <c r="K1126" i="1"/>
  <c r="F1126" i="1"/>
  <c r="E1126" i="1"/>
  <c r="D1126" i="1"/>
  <c r="B1126" i="1"/>
  <c r="G1126" i="1" s="1"/>
  <c r="H1126" i="1" s="1"/>
  <c r="I1126" i="1" s="1"/>
  <c r="A1126" i="1"/>
  <c r="L1125" i="1"/>
  <c r="K1125" i="1"/>
  <c r="J1125" i="1"/>
  <c r="G1125" i="1"/>
  <c r="F1125" i="1"/>
  <c r="H1125" i="1" s="1"/>
  <c r="I1125" i="1" s="1"/>
  <c r="E1125" i="1"/>
  <c r="D1125" i="1"/>
  <c r="B1125" i="1"/>
  <c r="A1125" i="1"/>
  <c r="L1124" i="1"/>
  <c r="K1124" i="1"/>
  <c r="I1124" i="1"/>
  <c r="H1124" i="1"/>
  <c r="F1124" i="1"/>
  <c r="E1124" i="1"/>
  <c r="D1124" i="1"/>
  <c r="B1124" i="1"/>
  <c r="G1124" i="1" s="1"/>
  <c r="A1124" i="1"/>
  <c r="J1124" i="1" s="1"/>
  <c r="L1123" i="1"/>
  <c r="K1123" i="1"/>
  <c r="I1123" i="1"/>
  <c r="F1123" i="1"/>
  <c r="E1123" i="1"/>
  <c r="D1123" i="1"/>
  <c r="B1123" i="1"/>
  <c r="G1123" i="1" s="1"/>
  <c r="H1123" i="1" s="1"/>
  <c r="A1123" i="1"/>
  <c r="L1122" i="1"/>
  <c r="K1122" i="1"/>
  <c r="F1122" i="1"/>
  <c r="E1122" i="1"/>
  <c r="D1122" i="1"/>
  <c r="B1122" i="1"/>
  <c r="G1122" i="1" s="1"/>
  <c r="A1122" i="1"/>
  <c r="L1121" i="1"/>
  <c r="K1121" i="1"/>
  <c r="I1121" i="1"/>
  <c r="G1121" i="1"/>
  <c r="H1121" i="1" s="1"/>
  <c r="F1121" i="1"/>
  <c r="E1121" i="1"/>
  <c r="D1121" i="1"/>
  <c r="B1121" i="1"/>
  <c r="A1121" i="1"/>
  <c r="L1120" i="1"/>
  <c r="K1120" i="1"/>
  <c r="J1120" i="1"/>
  <c r="G1120" i="1"/>
  <c r="F1120" i="1"/>
  <c r="E1120" i="1"/>
  <c r="D1120" i="1"/>
  <c r="B1120" i="1"/>
  <c r="A1120" i="1"/>
  <c r="L1119" i="1"/>
  <c r="K1119" i="1"/>
  <c r="J1119" i="1"/>
  <c r="I1119" i="1"/>
  <c r="G1119" i="1"/>
  <c r="H1119" i="1" s="1"/>
  <c r="F1119" i="1"/>
  <c r="E1119" i="1"/>
  <c r="D1119" i="1"/>
  <c r="B1119" i="1"/>
  <c r="A1119" i="1"/>
  <c r="L1118" i="1"/>
  <c r="K1118" i="1"/>
  <c r="F1118" i="1"/>
  <c r="E1118" i="1"/>
  <c r="D1118" i="1"/>
  <c r="B1118" i="1"/>
  <c r="G1118" i="1" s="1"/>
  <c r="H1118" i="1" s="1"/>
  <c r="I1118" i="1" s="1"/>
  <c r="A1118" i="1"/>
  <c r="L1117" i="1"/>
  <c r="K1117" i="1"/>
  <c r="J1117" i="1"/>
  <c r="G1117" i="1"/>
  <c r="H1117" i="1" s="1"/>
  <c r="I1117" i="1" s="1"/>
  <c r="F1117" i="1"/>
  <c r="E1117" i="1"/>
  <c r="D1117" i="1"/>
  <c r="B1117" i="1"/>
  <c r="A1117" i="1"/>
  <c r="J1118" i="1" s="1"/>
  <c r="L1116" i="1"/>
  <c r="K1116" i="1"/>
  <c r="J1116" i="1"/>
  <c r="I1116" i="1"/>
  <c r="H1116" i="1"/>
  <c r="F1116" i="1"/>
  <c r="E1116" i="1"/>
  <c r="D1116" i="1"/>
  <c r="B1116" i="1"/>
  <c r="G1116" i="1" s="1"/>
  <c r="A1116" i="1"/>
  <c r="L1115" i="1"/>
  <c r="K1115" i="1"/>
  <c r="I1115" i="1"/>
  <c r="F1115" i="1"/>
  <c r="E1115" i="1"/>
  <c r="D1115" i="1"/>
  <c r="B1115" i="1"/>
  <c r="G1115" i="1" s="1"/>
  <c r="H1115" i="1" s="1"/>
  <c r="A1115" i="1"/>
  <c r="L1114" i="1"/>
  <c r="K1114" i="1"/>
  <c r="F1114" i="1"/>
  <c r="E1114" i="1"/>
  <c r="D1114" i="1"/>
  <c r="B1114" i="1"/>
  <c r="G1114" i="1" s="1"/>
  <c r="A1114" i="1"/>
  <c r="L1113" i="1"/>
  <c r="K1113" i="1"/>
  <c r="J1113" i="1"/>
  <c r="I1113" i="1"/>
  <c r="G1113" i="1"/>
  <c r="H1113" i="1" s="1"/>
  <c r="F1113" i="1"/>
  <c r="E1113" i="1"/>
  <c r="D1113" i="1"/>
  <c r="B1113" i="1"/>
  <c r="A1113" i="1"/>
  <c r="L1112" i="1"/>
  <c r="K1112" i="1"/>
  <c r="J1112" i="1"/>
  <c r="G1112" i="1"/>
  <c r="H1112" i="1" s="1"/>
  <c r="I1112" i="1" s="1"/>
  <c r="F1112" i="1"/>
  <c r="E1112" i="1"/>
  <c r="D1112" i="1"/>
  <c r="B1112" i="1"/>
  <c r="A1112" i="1"/>
  <c r="L1111" i="1"/>
  <c r="K1111" i="1"/>
  <c r="J1111" i="1"/>
  <c r="I1111" i="1"/>
  <c r="G1111" i="1"/>
  <c r="H1111" i="1" s="1"/>
  <c r="F1111" i="1"/>
  <c r="E1111" i="1"/>
  <c r="D1111" i="1"/>
  <c r="B1111" i="1"/>
  <c r="A1111" i="1"/>
  <c r="L1110" i="1"/>
  <c r="K1110" i="1"/>
  <c r="J1110" i="1"/>
  <c r="G1110" i="1"/>
  <c r="H1110" i="1" s="1"/>
  <c r="I1110" i="1" s="1"/>
  <c r="F1110" i="1"/>
  <c r="E1110" i="1"/>
  <c r="D1110" i="1"/>
  <c r="B1110" i="1"/>
  <c r="A1110" i="1"/>
  <c r="L1109" i="1"/>
  <c r="K1109" i="1"/>
  <c r="J1109" i="1"/>
  <c r="H1109" i="1"/>
  <c r="I1109" i="1" s="1"/>
  <c r="G1109" i="1"/>
  <c r="F1109" i="1"/>
  <c r="E1109" i="1"/>
  <c r="D1109" i="1"/>
  <c r="A1109" i="1"/>
  <c r="L1108" i="1"/>
  <c r="K1108" i="1"/>
  <c r="J1108" i="1"/>
  <c r="I1108" i="1"/>
  <c r="H1108" i="1"/>
  <c r="G1108" i="1"/>
  <c r="F1108" i="1"/>
  <c r="E1108" i="1"/>
  <c r="D1108" i="1"/>
  <c r="A1108" i="1"/>
  <c r="L1107" i="1"/>
  <c r="K1107" i="1"/>
  <c r="J1107" i="1"/>
  <c r="G1107" i="1"/>
  <c r="F1107" i="1"/>
  <c r="E1107" i="1"/>
  <c r="D1107" i="1"/>
  <c r="A1107" i="1"/>
  <c r="L1106" i="1"/>
  <c r="K1106" i="1"/>
  <c r="G1106" i="1"/>
  <c r="F1106" i="1"/>
  <c r="H1106" i="1" s="1"/>
  <c r="I1106" i="1" s="1"/>
  <c r="E1106" i="1"/>
  <c r="D1106" i="1"/>
  <c r="A1106" i="1"/>
  <c r="L1105" i="1"/>
  <c r="K1105" i="1"/>
  <c r="G1105" i="1"/>
  <c r="F1105" i="1"/>
  <c r="E1105" i="1"/>
  <c r="D1105" i="1"/>
  <c r="A1105" i="1"/>
  <c r="L1104" i="1"/>
  <c r="K1104" i="1"/>
  <c r="G1104" i="1"/>
  <c r="H1104" i="1" s="1"/>
  <c r="I1104" i="1" s="1"/>
  <c r="F1104" i="1"/>
  <c r="E1104" i="1"/>
  <c r="D1104" i="1"/>
  <c r="B1104" i="1"/>
  <c r="A1104" i="1"/>
  <c r="L1103" i="1"/>
  <c r="K1103" i="1"/>
  <c r="J1103" i="1"/>
  <c r="H1103" i="1"/>
  <c r="I1103" i="1" s="1"/>
  <c r="G1103" i="1"/>
  <c r="F1103" i="1"/>
  <c r="E1103" i="1"/>
  <c r="D1103" i="1"/>
  <c r="B1103" i="1"/>
  <c r="A1103" i="1"/>
  <c r="L1102" i="1"/>
  <c r="K1102" i="1"/>
  <c r="J1102" i="1"/>
  <c r="F1102" i="1"/>
  <c r="E1102" i="1"/>
  <c r="D1102" i="1"/>
  <c r="B1102" i="1"/>
  <c r="G1102" i="1" s="1"/>
  <c r="A1102" i="1"/>
  <c r="L1101" i="1"/>
  <c r="K1101" i="1"/>
  <c r="F1101" i="1"/>
  <c r="H1101" i="1" s="1"/>
  <c r="I1101" i="1" s="1"/>
  <c r="E1101" i="1"/>
  <c r="D1101" i="1"/>
  <c r="B1101" i="1"/>
  <c r="G1101" i="1" s="1"/>
  <c r="A1101" i="1"/>
  <c r="L1100" i="1"/>
  <c r="K1100" i="1"/>
  <c r="H1100" i="1"/>
  <c r="I1100" i="1" s="1"/>
  <c r="G1100" i="1"/>
  <c r="F1100" i="1"/>
  <c r="E1100" i="1"/>
  <c r="D1100" i="1"/>
  <c r="B1100" i="1"/>
  <c r="A1100" i="1"/>
  <c r="L1099" i="1"/>
  <c r="K1099" i="1"/>
  <c r="J1099" i="1"/>
  <c r="F1099" i="1"/>
  <c r="E1099" i="1"/>
  <c r="D1099" i="1"/>
  <c r="B1099" i="1"/>
  <c r="G1099" i="1" s="1"/>
  <c r="H1099" i="1" s="1"/>
  <c r="I1099" i="1" s="1"/>
  <c r="A1099" i="1"/>
  <c r="L1098" i="1"/>
  <c r="K1098" i="1"/>
  <c r="F1098" i="1"/>
  <c r="E1098" i="1"/>
  <c r="D1098" i="1"/>
  <c r="B1098" i="1"/>
  <c r="G1098" i="1" s="1"/>
  <c r="H1098" i="1" s="1"/>
  <c r="I1098" i="1" s="1"/>
  <c r="A1098" i="1"/>
  <c r="L1097" i="1"/>
  <c r="K1097" i="1"/>
  <c r="J1097" i="1"/>
  <c r="H1097" i="1"/>
  <c r="I1097" i="1" s="1"/>
  <c r="G1097" i="1"/>
  <c r="F1097" i="1"/>
  <c r="E1097" i="1"/>
  <c r="D1097" i="1"/>
  <c r="B1097" i="1"/>
  <c r="A1097" i="1"/>
  <c r="L1096" i="1"/>
  <c r="K1096" i="1"/>
  <c r="J1096" i="1"/>
  <c r="I1096" i="1"/>
  <c r="F1096" i="1"/>
  <c r="E1096" i="1"/>
  <c r="D1096" i="1"/>
  <c r="B1096" i="1"/>
  <c r="G1096" i="1" s="1"/>
  <c r="H1096" i="1" s="1"/>
  <c r="A1096" i="1"/>
  <c r="L1095" i="1"/>
  <c r="K1095" i="1"/>
  <c r="G1095" i="1"/>
  <c r="F1095" i="1"/>
  <c r="E1095" i="1"/>
  <c r="D1095" i="1"/>
  <c r="B1095" i="1"/>
  <c r="A1095" i="1"/>
  <c r="L1094" i="1"/>
  <c r="K1094" i="1"/>
  <c r="J1094" i="1"/>
  <c r="G1094" i="1"/>
  <c r="H1094" i="1" s="1"/>
  <c r="I1094" i="1" s="1"/>
  <c r="F1094" i="1"/>
  <c r="E1094" i="1"/>
  <c r="D1094" i="1"/>
  <c r="B1094" i="1"/>
  <c r="A1094" i="1"/>
  <c r="L1093" i="1"/>
  <c r="K1093" i="1"/>
  <c r="J1093" i="1"/>
  <c r="F1093" i="1"/>
  <c r="E1093" i="1"/>
  <c r="D1093" i="1"/>
  <c r="B1093" i="1"/>
  <c r="G1093" i="1" s="1"/>
  <c r="H1093" i="1" s="1"/>
  <c r="I1093" i="1" s="1"/>
  <c r="A1093" i="1"/>
  <c r="L1092" i="1"/>
  <c r="K1092" i="1"/>
  <c r="F1092" i="1"/>
  <c r="E1092" i="1"/>
  <c r="D1092" i="1"/>
  <c r="B1092" i="1"/>
  <c r="G1092" i="1" s="1"/>
  <c r="H1092" i="1" s="1"/>
  <c r="I1092" i="1" s="1"/>
  <c r="A1092" i="1"/>
  <c r="L1091" i="1"/>
  <c r="K1091" i="1"/>
  <c r="G1091" i="1"/>
  <c r="F1091" i="1"/>
  <c r="H1091" i="1" s="1"/>
  <c r="I1091" i="1" s="1"/>
  <c r="E1091" i="1"/>
  <c r="D1091" i="1"/>
  <c r="B1091" i="1"/>
  <c r="A1091" i="1"/>
  <c r="L1090" i="1"/>
  <c r="K1090" i="1"/>
  <c r="F1090" i="1"/>
  <c r="E1090" i="1"/>
  <c r="D1090" i="1"/>
  <c r="B1090" i="1"/>
  <c r="G1090" i="1" s="1"/>
  <c r="H1090" i="1" s="1"/>
  <c r="I1090" i="1" s="1"/>
  <c r="A1090" i="1"/>
  <c r="L1089" i="1"/>
  <c r="K1089" i="1"/>
  <c r="J1089" i="1"/>
  <c r="G1089" i="1"/>
  <c r="F1089" i="1"/>
  <c r="E1089" i="1"/>
  <c r="D1089" i="1"/>
  <c r="B1089" i="1"/>
  <c r="A1089" i="1"/>
  <c r="L1088" i="1"/>
  <c r="K1088" i="1"/>
  <c r="J1088" i="1"/>
  <c r="G1088" i="1"/>
  <c r="H1088" i="1" s="1"/>
  <c r="I1088" i="1" s="1"/>
  <c r="F1088" i="1"/>
  <c r="E1088" i="1"/>
  <c r="D1088" i="1"/>
  <c r="B1088" i="1"/>
  <c r="A1088" i="1"/>
  <c r="L1087" i="1"/>
  <c r="K1087" i="1"/>
  <c r="J1087" i="1"/>
  <c r="F1087" i="1"/>
  <c r="E1087" i="1"/>
  <c r="D1087" i="1"/>
  <c r="B1087" i="1"/>
  <c r="G1087" i="1" s="1"/>
  <c r="H1087" i="1" s="1"/>
  <c r="I1087" i="1" s="1"/>
  <c r="A1087" i="1"/>
  <c r="L1086" i="1"/>
  <c r="K1086" i="1"/>
  <c r="J1086" i="1"/>
  <c r="F1086" i="1"/>
  <c r="E1086" i="1"/>
  <c r="D1086" i="1"/>
  <c r="B1086" i="1"/>
  <c r="G1086" i="1" s="1"/>
  <c r="A1086" i="1"/>
  <c r="L1085" i="1"/>
  <c r="K1085" i="1"/>
  <c r="J1085" i="1"/>
  <c r="I1085" i="1"/>
  <c r="F1085" i="1"/>
  <c r="H1085" i="1" s="1"/>
  <c r="E1085" i="1"/>
  <c r="D1085" i="1"/>
  <c r="B1085" i="1"/>
  <c r="G1085" i="1" s="1"/>
  <c r="A1085" i="1"/>
  <c r="L1084" i="1"/>
  <c r="K1084" i="1"/>
  <c r="G1084" i="1"/>
  <c r="H1084" i="1" s="1"/>
  <c r="I1084" i="1" s="1"/>
  <c r="F1084" i="1"/>
  <c r="E1084" i="1"/>
  <c r="D1084" i="1"/>
  <c r="B1084" i="1"/>
  <c r="A1084" i="1"/>
  <c r="L1083" i="1"/>
  <c r="K1083" i="1"/>
  <c r="J1083" i="1"/>
  <c r="I1083" i="1"/>
  <c r="F1083" i="1"/>
  <c r="E1083" i="1"/>
  <c r="D1083" i="1"/>
  <c r="B1083" i="1"/>
  <c r="G1083" i="1" s="1"/>
  <c r="H1083" i="1" s="1"/>
  <c r="A1083" i="1"/>
  <c r="L1082" i="1"/>
  <c r="K1082" i="1"/>
  <c r="J1082" i="1"/>
  <c r="F1082" i="1"/>
  <c r="E1082" i="1"/>
  <c r="D1082" i="1"/>
  <c r="B1082" i="1"/>
  <c r="G1082" i="1" s="1"/>
  <c r="H1082" i="1" s="1"/>
  <c r="I1082" i="1" s="1"/>
  <c r="A1082" i="1"/>
  <c r="J1084" i="1" s="1"/>
  <c r="L1081" i="1"/>
  <c r="K1081" i="1"/>
  <c r="I1081" i="1"/>
  <c r="H1081" i="1"/>
  <c r="G1081" i="1"/>
  <c r="F1081" i="1"/>
  <c r="E1081" i="1"/>
  <c r="D1081" i="1"/>
  <c r="B1081" i="1"/>
  <c r="A1081" i="1"/>
  <c r="L1080" i="1"/>
  <c r="K1080" i="1"/>
  <c r="I1080" i="1"/>
  <c r="F1080" i="1"/>
  <c r="E1080" i="1"/>
  <c r="D1080" i="1"/>
  <c r="B1080" i="1"/>
  <c r="G1080" i="1" s="1"/>
  <c r="H1080" i="1" s="1"/>
  <c r="A1080" i="1"/>
  <c r="L1079" i="1"/>
  <c r="K1079" i="1"/>
  <c r="F1079" i="1"/>
  <c r="E1079" i="1"/>
  <c r="D1079" i="1"/>
  <c r="B1079" i="1"/>
  <c r="G1079" i="1" s="1"/>
  <c r="H1079" i="1" s="1"/>
  <c r="I1079" i="1" s="1"/>
  <c r="A1079" i="1"/>
  <c r="L1078" i="1"/>
  <c r="K1078" i="1"/>
  <c r="F1078" i="1"/>
  <c r="E1078" i="1"/>
  <c r="D1078" i="1"/>
  <c r="B1078" i="1"/>
  <c r="G1078" i="1" s="1"/>
  <c r="H1078" i="1" s="1"/>
  <c r="I1078" i="1" s="1"/>
  <c r="A1078" i="1"/>
  <c r="L1077" i="1"/>
  <c r="K1077" i="1"/>
  <c r="F1077" i="1"/>
  <c r="E1077" i="1"/>
  <c r="D1077" i="1"/>
  <c r="B1077" i="1"/>
  <c r="G1077" i="1" s="1"/>
  <c r="H1077" i="1" s="1"/>
  <c r="I1077" i="1" s="1"/>
  <c r="A1077" i="1"/>
  <c r="L1076" i="1"/>
  <c r="K1076" i="1"/>
  <c r="F1076" i="1"/>
  <c r="E1076" i="1"/>
  <c r="D1076" i="1"/>
  <c r="B1076" i="1"/>
  <c r="G1076" i="1" s="1"/>
  <c r="H1076" i="1" s="1"/>
  <c r="I1076" i="1" s="1"/>
  <c r="A1076" i="1"/>
  <c r="L1075" i="1"/>
  <c r="K1075" i="1"/>
  <c r="J1075" i="1"/>
  <c r="G1075" i="1"/>
  <c r="F1075" i="1"/>
  <c r="E1075" i="1"/>
  <c r="D1075" i="1"/>
  <c r="B1075" i="1"/>
  <c r="A1075" i="1"/>
  <c r="L1074" i="1"/>
  <c r="K1074" i="1"/>
  <c r="G1074" i="1"/>
  <c r="H1074" i="1" s="1"/>
  <c r="I1074" i="1" s="1"/>
  <c r="F1074" i="1"/>
  <c r="E1074" i="1"/>
  <c r="D1074" i="1"/>
  <c r="A1074" i="1"/>
  <c r="L1073" i="1"/>
  <c r="K1073" i="1"/>
  <c r="H1073" i="1"/>
  <c r="I1073" i="1" s="1"/>
  <c r="F1073" i="1"/>
  <c r="E1073" i="1"/>
  <c r="D1073" i="1"/>
  <c r="B1073" i="1"/>
  <c r="G1073" i="1" s="1"/>
  <c r="A1073" i="1"/>
  <c r="L1072" i="1"/>
  <c r="K1072" i="1"/>
  <c r="H1072" i="1"/>
  <c r="I1072" i="1" s="1"/>
  <c r="F1072" i="1"/>
  <c r="E1072" i="1"/>
  <c r="D1072" i="1"/>
  <c r="B1072" i="1"/>
  <c r="G1072" i="1" s="1"/>
  <c r="A1072" i="1"/>
  <c r="L1071" i="1"/>
  <c r="K1071" i="1"/>
  <c r="G1071" i="1"/>
  <c r="F1071" i="1"/>
  <c r="E1071" i="1"/>
  <c r="D1071" i="1"/>
  <c r="B1071" i="1"/>
  <c r="A1071" i="1"/>
  <c r="L1070" i="1"/>
  <c r="K1070" i="1"/>
  <c r="I1070" i="1"/>
  <c r="G1070" i="1"/>
  <c r="F1070" i="1"/>
  <c r="H1070" i="1" s="1"/>
  <c r="E1070" i="1"/>
  <c r="D1070" i="1"/>
  <c r="B1070" i="1"/>
  <c r="A1070" i="1"/>
  <c r="L1069" i="1"/>
  <c r="K1069" i="1"/>
  <c r="F1069" i="1"/>
  <c r="E1069" i="1"/>
  <c r="D1069" i="1"/>
  <c r="B1069" i="1"/>
  <c r="G1069" i="1" s="1"/>
  <c r="H1069" i="1" s="1"/>
  <c r="I1069" i="1" s="1"/>
  <c r="A1069" i="1"/>
  <c r="L1068" i="1"/>
  <c r="K1068" i="1"/>
  <c r="F1068" i="1"/>
  <c r="E1068" i="1"/>
  <c r="D1068" i="1"/>
  <c r="B1068" i="1"/>
  <c r="G1068" i="1" s="1"/>
  <c r="H1068" i="1" s="1"/>
  <c r="I1068" i="1" s="1"/>
  <c r="A1068" i="1"/>
  <c r="J1068" i="1" s="1"/>
  <c r="L1067" i="1"/>
  <c r="K1067" i="1"/>
  <c r="F1067" i="1"/>
  <c r="E1067" i="1"/>
  <c r="D1067" i="1"/>
  <c r="B1067" i="1"/>
  <c r="G1067" i="1" s="1"/>
  <c r="H1067" i="1" s="1"/>
  <c r="I1067" i="1" s="1"/>
  <c r="A1067" i="1"/>
  <c r="L1066" i="1"/>
  <c r="K1066" i="1"/>
  <c r="F1066" i="1"/>
  <c r="H1066" i="1" s="1"/>
  <c r="I1066" i="1" s="1"/>
  <c r="E1066" i="1"/>
  <c r="D1066" i="1"/>
  <c r="B1066" i="1"/>
  <c r="G1066" i="1" s="1"/>
  <c r="A1066" i="1"/>
  <c r="L1065" i="1"/>
  <c r="K1065" i="1"/>
  <c r="F1065" i="1"/>
  <c r="E1065" i="1"/>
  <c r="D1065" i="1"/>
  <c r="B1065" i="1"/>
  <c r="G1065" i="1" s="1"/>
  <c r="H1065" i="1" s="1"/>
  <c r="I1065" i="1" s="1"/>
  <c r="A1065" i="1"/>
  <c r="L1064" i="1"/>
  <c r="K1064" i="1"/>
  <c r="J1064" i="1"/>
  <c r="F1064" i="1"/>
  <c r="E1064" i="1"/>
  <c r="D1064" i="1"/>
  <c r="B1064" i="1"/>
  <c r="G1064" i="1" s="1"/>
  <c r="H1064" i="1" s="1"/>
  <c r="I1064" i="1" s="1"/>
  <c r="A1064" i="1"/>
  <c r="L1063" i="1"/>
  <c r="K1063" i="1"/>
  <c r="F1063" i="1"/>
  <c r="E1063" i="1"/>
  <c r="D1063" i="1"/>
  <c r="B1063" i="1"/>
  <c r="G1063" i="1" s="1"/>
  <c r="H1063" i="1" s="1"/>
  <c r="I1063" i="1" s="1"/>
  <c r="A1063" i="1"/>
  <c r="L1062" i="1"/>
  <c r="K1062" i="1"/>
  <c r="J1062" i="1"/>
  <c r="G1062" i="1"/>
  <c r="F1062" i="1"/>
  <c r="E1062" i="1"/>
  <c r="D1062" i="1"/>
  <c r="B1062" i="1"/>
  <c r="A1062" i="1"/>
  <c r="L1061" i="1"/>
  <c r="K1061" i="1"/>
  <c r="J1061" i="1"/>
  <c r="I1061" i="1"/>
  <c r="F1061" i="1"/>
  <c r="E1061" i="1"/>
  <c r="D1061" i="1"/>
  <c r="B1061" i="1"/>
  <c r="G1061" i="1" s="1"/>
  <c r="H1061" i="1" s="1"/>
  <c r="A1061" i="1"/>
  <c r="J1067" i="1" s="1"/>
  <c r="L1060" i="1"/>
  <c r="K1060" i="1"/>
  <c r="G1060" i="1"/>
  <c r="H1060" i="1" s="1"/>
  <c r="I1060" i="1" s="1"/>
  <c r="F1060" i="1"/>
  <c r="E1060" i="1"/>
  <c r="D1060" i="1"/>
  <c r="B1060" i="1"/>
  <c r="A1060" i="1"/>
  <c r="L1059" i="1"/>
  <c r="K1059" i="1"/>
  <c r="J1059" i="1"/>
  <c r="G1059" i="1"/>
  <c r="H1059" i="1" s="1"/>
  <c r="I1059" i="1" s="1"/>
  <c r="F1059" i="1"/>
  <c r="E1059" i="1"/>
  <c r="D1059" i="1"/>
  <c r="B1059" i="1"/>
  <c r="A1059" i="1"/>
  <c r="L1058" i="1"/>
  <c r="K1058" i="1"/>
  <c r="J1058" i="1"/>
  <c r="F1058" i="1"/>
  <c r="E1058" i="1"/>
  <c r="D1058" i="1"/>
  <c r="B1058" i="1"/>
  <c r="G1058" i="1" s="1"/>
  <c r="H1058" i="1" s="1"/>
  <c r="I1058" i="1" s="1"/>
  <c r="A1058" i="1"/>
  <c r="L1057" i="1"/>
  <c r="K1057" i="1"/>
  <c r="F1057" i="1"/>
  <c r="E1057" i="1"/>
  <c r="D1057" i="1"/>
  <c r="B1057" i="1"/>
  <c r="G1057" i="1" s="1"/>
  <c r="H1057" i="1" s="1"/>
  <c r="I1057" i="1" s="1"/>
  <c r="A1057" i="1"/>
  <c r="L1056" i="1"/>
  <c r="K1056" i="1"/>
  <c r="J1056" i="1"/>
  <c r="F1056" i="1"/>
  <c r="H1056" i="1" s="1"/>
  <c r="I1056" i="1" s="1"/>
  <c r="E1056" i="1"/>
  <c r="D1056" i="1"/>
  <c r="B1056" i="1"/>
  <c r="G1056" i="1" s="1"/>
  <c r="A1056" i="1"/>
  <c r="L1055" i="1"/>
  <c r="K1055" i="1"/>
  <c r="F1055" i="1"/>
  <c r="E1055" i="1"/>
  <c r="D1055" i="1"/>
  <c r="B1055" i="1"/>
  <c r="G1055" i="1" s="1"/>
  <c r="H1055" i="1" s="1"/>
  <c r="I1055" i="1" s="1"/>
  <c r="A1055" i="1"/>
  <c r="L1054" i="1"/>
  <c r="K1054" i="1"/>
  <c r="J1054" i="1"/>
  <c r="F1054" i="1"/>
  <c r="E1054" i="1"/>
  <c r="D1054" i="1"/>
  <c r="B1054" i="1"/>
  <c r="G1054" i="1" s="1"/>
  <c r="H1054" i="1" s="1"/>
  <c r="I1054" i="1" s="1"/>
  <c r="A1054" i="1"/>
  <c r="L1053" i="1"/>
  <c r="K1053" i="1"/>
  <c r="J1053" i="1"/>
  <c r="G1053" i="1"/>
  <c r="F1053" i="1"/>
  <c r="E1053" i="1"/>
  <c r="D1053" i="1"/>
  <c r="B1053" i="1"/>
  <c r="A1053" i="1"/>
  <c r="L1052" i="1"/>
  <c r="K1052" i="1"/>
  <c r="J1052" i="1"/>
  <c r="H1052" i="1"/>
  <c r="I1052" i="1" s="1"/>
  <c r="G1052" i="1"/>
  <c r="F1052" i="1"/>
  <c r="E1052" i="1"/>
  <c r="D1052" i="1"/>
  <c r="B1052" i="1"/>
  <c r="A1052" i="1"/>
  <c r="L1051" i="1"/>
  <c r="K1051" i="1"/>
  <c r="J1051" i="1"/>
  <c r="F1051" i="1"/>
  <c r="E1051" i="1"/>
  <c r="D1051" i="1"/>
  <c r="B1051" i="1"/>
  <c r="G1051" i="1" s="1"/>
  <c r="H1051" i="1" s="1"/>
  <c r="I1051" i="1" s="1"/>
  <c r="A1051" i="1"/>
  <c r="L1050" i="1"/>
  <c r="K1050" i="1"/>
  <c r="J1050" i="1"/>
  <c r="H1050" i="1"/>
  <c r="I1050" i="1" s="1"/>
  <c r="G1050" i="1"/>
  <c r="F1050" i="1"/>
  <c r="E1050" i="1"/>
  <c r="D1050" i="1"/>
  <c r="B1050" i="1"/>
  <c r="A1050" i="1"/>
  <c r="L1049" i="1"/>
  <c r="K1049" i="1"/>
  <c r="J1049" i="1"/>
  <c r="H1049" i="1"/>
  <c r="I1049" i="1" s="1"/>
  <c r="G1049" i="1"/>
  <c r="F1049" i="1"/>
  <c r="E1049" i="1"/>
  <c r="D1049" i="1"/>
  <c r="B1049" i="1"/>
  <c r="A1049" i="1"/>
  <c r="L1048" i="1"/>
  <c r="K1048" i="1"/>
  <c r="J1048" i="1"/>
  <c r="F1048" i="1"/>
  <c r="E1048" i="1"/>
  <c r="D1048" i="1"/>
  <c r="B1048" i="1"/>
  <c r="G1048" i="1" s="1"/>
  <c r="A1048" i="1"/>
  <c r="L1047" i="1"/>
  <c r="K1047" i="1"/>
  <c r="G1047" i="1"/>
  <c r="H1047" i="1" s="1"/>
  <c r="I1047" i="1" s="1"/>
  <c r="F1047" i="1"/>
  <c r="E1047" i="1"/>
  <c r="D1047" i="1"/>
  <c r="B1047" i="1"/>
  <c r="A1047" i="1"/>
  <c r="J1047" i="1" s="1"/>
  <c r="L1046" i="1"/>
  <c r="K1046" i="1"/>
  <c r="J1046" i="1"/>
  <c r="G1046" i="1"/>
  <c r="H1046" i="1" s="1"/>
  <c r="I1046" i="1" s="1"/>
  <c r="E1046" i="1"/>
  <c r="D1046" i="1"/>
  <c r="A1046" i="1"/>
  <c r="L1045" i="1"/>
  <c r="K1045" i="1"/>
  <c r="J1045" i="1"/>
  <c r="G1045" i="1"/>
  <c r="H1045" i="1" s="1"/>
  <c r="I1045" i="1" s="1"/>
  <c r="E1045" i="1"/>
  <c r="D1045" i="1"/>
  <c r="A1045" i="1"/>
  <c r="L1044" i="1"/>
  <c r="K1044" i="1"/>
  <c r="J1044" i="1"/>
  <c r="H1044" i="1"/>
  <c r="I1044" i="1" s="1"/>
  <c r="G1044" i="1"/>
  <c r="E1044" i="1"/>
  <c r="D1044" i="1"/>
  <c r="A1044" i="1"/>
  <c r="L1043" i="1"/>
  <c r="K1043" i="1"/>
  <c r="J1043" i="1"/>
  <c r="I1043" i="1"/>
  <c r="E1043" i="1"/>
  <c r="D1043" i="1"/>
  <c r="B1043" i="1"/>
  <c r="G1043" i="1" s="1"/>
  <c r="H1043" i="1" s="1"/>
  <c r="A1043" i="1"/>
  <c r="L1042" i="1"/>
  <c r="K1042" i="1"/>
  <c r="I1042" i="1"/>
  <c r="E1042" i="1"/>
  <c r="D1042" i="1"/>
  <c r="B1042" i="1"/>
  <c r="G1042" i="1" s="1"/>
  <c r="H1042" i="1" s="1"/>
  <c r="A1042" i="1"/>
  <c r="L1041" i="1"/>
  <c r="K1041" i="1"/>
  <c r="J1041" i="1"/>
  <c r="G1041" i="1"/>
  <c r="H1041" i="1" s="1"/>
  <c r="I1041" i="1" s="1"/>
  <c r="E1041" i="1"/>
  <c r="D1041" i="1"/>
  <c r="B1041" i="1"/>
  <c r="A1041" i="1"/>
  <c r="L1040" i="1"/>
  <c r="K1040" i="1"/>
  <c r="J1040" i="1"/>
  <c r="I1040" i="1"/>
  <c r="G1040" i="1"/>
  <c r="H1040" i="1" s="1"/>
  <c r="E1040" i="1"/>
  <c r="D1040" i="1"/>
  <c r="B1040" i="1"/>
  <c r="A1040" i="1"/>
  <c r="J1042" i="1" s="1"/>
  <c r="L1039" i="1"/>
  <c r="K1039" i="1"/>
  <c r="G1039" i="1"/>
  <c r="H1039" i="1" s="1"/>
  <c r="I1039" i="1" s="1"/>
  <c r="E1039" i="1"/>
  <c r="D1039" i="1"/>
  <c r="B1039" i="1"/>
  <c r="A1039" i="1"/>
  <c r="L1038" i="1"/>
  <c r="K1038" i="1"/>
  <c r="G1038" i="1"/>
  <c r="H1038" i="1" s="1"/>
  <c r="I1038" i="1" s="1"/>
  <c r="E1038" i="1"/>
  <c r="D1038" i="1"/>
  <c r="B1038" i="1"/>
  <c r="A1038" i="1"/>
  <c r="L1037" i="1"/>
  <c r="K1037" i="1"/>
  <c r="J1037" i="1"/>
  <c r="I1037" i="1"/>
  <c r="H1037" i="1"/>
  <c r="G1037" i="1"/>
  <c r="E1037" i="1"/>
  <c r="D1037" i="1"/>
  <c r="B1037" i="1"/>
  <c r="A1037" i="1"/>
  <c r="L1036" i="1"/>
  <c r="K1036" i="1"/>
  <c r="E1036" i="1"/>
  <c r="D1036" i="1"/>
  <c r="B1036" i="1"/>
  <c r="G1036" i="1" s="1"/>
  <c r="H1036" i="1" s="1"/>
  <c r="I1036" i="1" s="1"/>
  <c r="A1036" i="1"/>
  <c r="L1035" i="1"/>
  <c r="K1035" i="1"/>
  <c r="J1035" i="1"/>
  <c r="E1035" i="1"/>
  <c r="D1035" i="1"/>
  <c r="B1035" i="1"/>
  <c r="G1035" i="1" s="1"/>
  <c r="H1035" i="1" s="1"/>
  <c r="I1035" i="1" s="1"/>
  <c r="A1035" i="1"/>
  <c r="L1034" i="1"/>
  <c r="K1034" i="1"/>
  <c r="I1034" i="1"/>
  <c r="G1034" i="1"/>
  <c r="H1034" i="1" s="1"/>
  <c r="E1034" i="1"/>
  <c r="D1034" i="1"/>
  <c r="B1034" i="1"/>
  <c r="A1034" i="1"/>
  <c r="L1033" i="1"/>
  <c r="K1033" i="1"/>
  <c r="H1033" i="1"/>
  <c r="I1033" i="1" s="1"/>
  <c r="G1033" i="1"/>
  <c r="E1033" i="1"/>
  <c r="D1033" i="1"/>
  <c r="B1033" i="1"/>
  <c r="A1033" i="1"/>
  <c r="L1032" i="1"/>
  <c r="K1032" i="1"/>
  <c r="J1032" i="1"/>
  <c r="E1032" i="1"/>
  <c r="D1032" i="1"/>
  <c r="B1032" i="1"/>
  <c r="G1032" i="1" s="1"/>
  <c r="H1032" i="1" s="1"/>
  <c r="I1032" i="1" s="1"/>
  <c r="A1032" i="1"/>
  <c r="L1031" i="1"/>
  <c r="K1031" i="1"/>
  <c r="G1031" i="1"/>
  <c r="H1031" i="1" s="1"/>
  <c r="I1031" i="1" s="1"/>
  <c r="E1031" i="1"/>
  <c r="D1031" i="1"/>
  <c r="B1031" i="1"/>
  <c r="A1031" i="1"/>
  <c r="L1030" i="1"/>
  <c r="K1030" i="1"/>
  <c r="H1030" i="1"/>
  <c r="I1030" i="1" s="1"/>
  <c r="G1030" i="1"/>
  <c r="E1030" i="1"/>
  <c r="D1030" i="1"/>
  <c r="B1030" i="1"/>
  <c r="A1030" i="1"/>
  <c r="L1029" i="1"/>
  <c r="K1029" i="1"/>
  <c r="J1029" i="1"/>
  <c r="I1029" i="1"/>
  <c r="G1029" i="1"/>
  <c r="H1029" i="1" s="1"/>
  <c r="E1029" i="1"/>
  <c r="D1029" i="1"/>
  <c r="B1029" i="1"/>
  <c r="A1029" i="1"/>
  <c r="L1028" i="1"/>
  <c r="K1028" i="1"/>
  <c r="E1028" i="1"/>
  <c r="D1028" i="1"/>
  <c r="B1028" i="1"/>
  <c r="G1028" i="1" s="1"/>
  <c r="H1028" i="1" s="1"/>
  <c r="I1028" i="1" s="1"/>
  <c r="A1028" i="1"/>
  <c r="L1027" i="1"/>
  <c r="K1027" i="1"/>
  <c r="J1027" i="1"/>
  <c r="E1027" i="1"/>
  <c r="D1027" i="1"/>
  <c r="B1027" i="1"/>
  <c r="G1027" i="1" s="1"/>
  <c r="H1027" i="1" s="1"/>
  <c r="I1027" i="1" s="1"/>
  <c r="A1027" i="1"/>
  <c r="L1026" i="1"/>
  <c r="K1026" i="1"/>
  <c r="I1026" i="1"/>
  <c r="E1026" i="1"/>
  <c r="D1026" i="1"/>
  <c r="B1026" i="1"/>
  <c r="G1026" i="1" s="1"/>
  <c r="H1026" i="1" s="1"/>
  <c r="A1026" i="1"/>
  <c r="L1025" i="1"/>
  <c r="K1025" i="1"/>
  <c r="H1025" i="1"/>
  <c r="I1025" i="1" s="1"/>
  <c r="G1025" i="1"/>
  <c r="E1025" i="1"/>
  <c r="D1025" i="1"/>
  <c r="B1025" i="1"/>
  <c r="A1025" i="1"/>
  <c r="L1024" i="1"/>
  <c r="K1024" i="1"/>
  <c r="J1024" i="1"/>
  <c r="G1024" i="1"/>
  <c r="H1024" i="1" s="1"/>
  <c r="I1024" i="1" s="1"/>
  <c r="E1024" i="1"/>
  <c r="D1024" i="1"/>
  <c r="B1024" i="1"/>
  <c r="A1024" i="1"/>
  <c r="L1023" i="1"/>
  <c r="K1023" i="1"/>
  <c r="J1023" i="1"/>
  <c r="G1023" i="1"/>
  <c r="H1023" i="1" s="1"/>
  <c r="I1023" i="1" s="1"/>
  <c r="E1023" i="1"/>
  <c r="D1023" i="1"/>
  <c r="B1023" i="1"/>
  <c r="A1023" i="1"/>
  <c r="L1022" i="1"/>
  <c r="K1022" i="1"/>
  <c r="E1022" i="1"/>
  <c r="D1022" i="1"/>
  <c r="B1022" i="1"/>
  <c r="G1022" i="1" s="1"/>
  <c r="H1022" i="1" s="1"/>
  <c r="I1022" i="1" s="1"/>
  <c r="A1022" i="1"/>
  <c r="L1021" i="1"/>
  <c r="K1021" i="1"/>
  <c r="J1021" i="1"/>
  <c r="I1021" i="1"/>
  <c r="H1021" i="1"/>
  <c r="G1021" i="1"/>
  <c r="E1021" i="1"/>
  <c r="D1021" i="1"/>
  <c r="B1021" i="1"/>
  <c r="A1021" i="1"/>
  <c r="L1020" i="1"/>
  <c r="K1020" i="1"/>
  <c r="G1020" i="1"/>
  <c r="H1020" i="1" s="1"/>
  <c r="I1020" i="1" s="1"/>
  <c r="E1020" i="1"/>
  <c r="D1020" i="1"/>
  <c r="B1020" i="1"/>
  <c r="A1020" i="1"/>
  <c r="L1019" i="1"/>
  <c r="K1019" i="1"/>
  <c r="J1019" i="1"/>
  <c r="G1019" i="1"/>
  <c r="H1019" i="1" s="1"/>
  <c r="I1019" i="1" s="1"/>
  <c r="E1019" i="1"/>
  <c r="D1019" i="1"/>
  <c r="B1019" i="1"/>
  <c r="A1019" i="1"/>
  <c r="J1022" i="1" s="1"/>
  <c r="L1018" i="1"/>
  <c r="K1018" i="1"/>
  <c r="J1018" i="1"/>
  <c r="I1018" i="1"/>
  <c r="H1018" i="1"/>
  <c r="G1018" i="1"/>
  <c r="E1018" i="1"/>
  <c r="D1018" i="1"/>
  <c r="B1018" i="1"/>
  <c r="A1018" i="1"/>
  <c r="L1017" i="1"/>
  <c r="K1017" i="1"/>
  <c r="J1017" i="1"/>
  <c r="E1017" i="1"/>
  <c r="D1017" i="1"/>
  <c r="B1017" i="1"/>
  <c r="G1017" i="1" s="1"/>
  <c r="H1017" i="1" s="1"/>
  <c r="I1017" i="1" s="1"/>
  <c r="A1017" i="1"/>
  <c r="L1016" i="1"/>
  <c r="K1016" i="1"/>
  <c r="E1016" i="1"/>
  <c r="D1016" i="1"/>
  <c r="B1016" i="1"/>
  <c r="G1016" i="1" s="1"/>
  <c r="H1016" i="1" s="1"/>
  <c r="I1016" i="1" s="1"/>
  <c r="A1016" i="1"/>
  <c r="L1015" i="1"/>
  <c r="K1015" i="1"/>
  <c r="E1015" i="1"/>
  <c r="D1015" i="1"/>
  <c r="B1015" i="1"/>
  <c r="G1015" i="1" s="1"/>
  <c r="H1015" i="1" s="1"/>
  <c r="I1015" i="1" s="1"/>
  <c r="A1015" i="1"/>
  <c r="L1014" i="1"/>
  <c r="K1014" i="1"/>
  <c r="J1014" i="1"/>
  <c r="H1014" i="1"/>
  <c r="I1014" i="1" s="1"/>
  <c r="G1014" i="1"/>
  <c r="E1014" i="1"/>
  <c r="D1014" i="1"/>
  <c r="B1014" i="1"/>
  <c r="A1014" i="1"/>
  <c r="L1013" i="1"/>
  <c r="K1013" i="1"/>
  <c r="J1013" i="1"/>
  <c r="H1013" i="1"/>
  <c r="I1013" i="1" s="1"/>
  <c r="E1013" i="1"/>
  <c r="D1013" i="1"/>
  <c r="B1013" i="1"/>
  <c r="G1013" i="1" s="1"/>
  <c r="A1013" i="1"/>
  <c r="L1012" i="1"/>
  <c r="K1012" i="1"/>
  <c r="J1012" i="1"/>
  <c r="G1012" i="1"/>
  <c r="H1012" i="1" s="1"/>
  <c r="I1012" i="1" s="1"/>
  <c r="E1012" i="1"/>
  <c r="D1012" i="1"/>
  <c r="A1012" i="1"/>
  <c r="J1015" i="1" s="1"/>
  <c r="L1011" i="1"/>
  <c r="K1011" i="1"/>
  <c r="G1011" i="1"/>
  <c r="F1011" i="1"/>
  <c r="H1011" i="1" s="1"/>
  <c r="I1011" i="1" s="1"/>
  <c r="E1011" i="1"/>
  <c r="D1011" i="1"/>
  <c r="B1011" i="1"/>
  <c r="A1011" i="1"/>
  <c r="L1010" i="1"/>
  <c r="K1010" i="1"/>
  <c r="H1010" i="1"/>
  <c r="I1010" i="1" s="1"/>
  <c r="G1010" i="1"/>
  <c r="F1010" i="1"/>
  <c r="E1010" i="1"/>
  <c r="D1010" i="1"/>
  <c r="B1010" i="1"/>
  <c r="A1010" i="1"/>
  <c r="L1009" i="1"/>
  <c r="K1009" i="1"/>
  <c r="F1009" i="1"/>
  <c r="E1009" i="1"/>
  <c r="D1009" i="1"/>
  <c r="B1009" i="1"/>
  <c r="G1009" i="1" s="1"/>
  <c r="H1009" i="1" s="1"/>
  <c r="I1009" i="1" s="1"/>
  <c r="A1009" i="1"/>
  <c r="L1008" i="1"/>
  <c r="K1008" i="1"/>
  <c r="G1008" i="1"/>
  <c r="H1008" i="1" s="1"/>
  <c r="I1008" i="1" s="1"/>
  <c r="F1008" i="1"/>
  <c r="E1008" i="1"/>
  <c r="D1008" i="1"/>
  <c r="B1008" i="1"/>
  <c r="A1008" i="1"/>
  <c r="L1007" i="1"/>
  <c r="K1007" i="1"/>
  <c r="G1007" i="1"/>
  <c r="H1007" i="1" s="1"/>
  <c r="I1007" i="1" s="1"/>
  <c r="F1007" i="1"/>
  <c r="E1007" i="1"/>
  <c r="D1007" i="1"/>
  <c r="B1007" i="1"/>
  <c r="A1007" i="1"/>
  <c r="L1006" i="1"/>
  <c r="K1006" i="1"/>
  <c r="G1006" i="1"/>
  <c r="H1006" i="1" s="1"/>
  <c r="I1006" i="1" s="1"/>
  <c r="F1006" i="1"/>
  <c r="E1006" i="1"/>
  <c r="D1006" i="1"/>
  <c r="B1006" i="1"/>
  <c r="A1006" i="1"/>
  <c r="L1005" i="1"/>
  <c r="K1005" i="1"/>
  <c r="G1005" i="1"/>
  <c r="H1005" i="1" s="1"/>
  <c r="I1005" i="1" s="1"/>
  <c r="F1005" i="1"/>
  <c r="E1005" i="1"/>
  <c r="D1005" i="1"/>
  <c r="B1005" i="1"/>
  <c r="A1005" i="1"/>
  <c r="J1009" i="1" s="1"/>
  <c r="L1004" i="1"/>
  <c r="K1004" i="1"/>
  <c r="F1004" i="1"/>
  <c r="E1004" i="1"/>
  <c r="D1004" i="1"/>
  <c r="B1004" i="1"/>
  <c r="G1004" i="1" s="1"/>
  <c r="H1004" i="1" s="1"/>
  <c r="I1004" i="1" s="1"/>
  <c r="A1004" i="1"/>
  <c r="L1003" i="1"/>
  <c r="K1003" i="1"/>
  <c r="G1003" i="1"/>
  <c r="F1003" i="1"/>
  <c r="H1003" i="1" s="1"/>
  <c r="I1003" i="1" s="1"/>
  <c r="E1003" i="1"/>
  <c r="D1003" i="1"/>
  <c r="B1003" i="1"/>
  <c r="A1003" i="1"/>
  <c r="L1002" i="1"/>
  <c r="K1002" i="1"/>
  <c r="H1002" i="1"/>
  <c r="I1002" i="1" s="1"/>
  <c r="G1002" i="1"/>
  <c r="F1002" i="1"/>
  <c r="E1002" i="1"/>
  <c r="D1002" i="1"/>
  <c r="B1002" i="1"/>
  <c r="A1002" i="1"/>
  <c r="L1001" i="1"/>
  <c r="K1001" i="1"/>
  <c r="J1001" i="1"/>
  <c r="F1001" i="1"/>
  <c r="E1001" i="1"/>
  <c r="D1001" i="1"/>
  <c r="B1001" i="1"/>
  <c r="G1001" i="1" s="1"/>
  <c r="H1001" i="1" s="1"/>
  <c r="I1001" i="1" s="1"/>
  <c r="A1001" i="1"/>
  <c r="L1000" i="1"/>
  <c r="K1000" i="1"/>
  <c r="G1000" i="1"/>
  <c r="H1000" i="1" s="1"/>
  <c r="I1000" i="1" s="1"/>
  <c r="F1000" i="1"/>
  <c r="E1000" i="1"/>
  <c r="D1000" i="1"/>
  <c r="B1000" i="1"/>
  <c r="A1000" i="1"/>
  <c r="L999" i="1"/>
  <c r="K999" i="1"/>
  <c r="G999" i="1"/>
  <c r="H999" i="1" s="1"/>
  <c r="I999" i="1" s="1"/>
  <c r="F999" i="1"/>
  <c r="E999" i="1"/>
  <c r="D999" i="1"/>
  <c r="B999" i="1"/>
  <c r="A999" i="1"/>
  <c r="L998" i="1"/>
  <c r="K998" i="1"/>
  <c r="J998" i="1"/>
  <c r="G998" i="1"/>
  <c r="H998" i="1" s="1"/>
  <c r="I998" i="1" s="1"/>
  <c r="F998" i="1"/>
  <c r="E998" i="1"/>
  <c r="D998" i="1"/>
  <c r="B998" i="1"/>
  <c r="A998" i="1"/>
  <c r="J1002" i="1" s="1"/>
  <c r="L997" i="1"/>
  <c r="K997" i="1"/>
  <c r="J997" i="1"/>
  <c r="G997" i="1"/>
  <c r="H997" i="1" s="1"/>
  <c r="I997" i="1" s="1"/>
  <c r="F997" i="1"/>
  <c r="E997" i="1"/>
  <c r="D997" i="1"/>
  <c r="B997" i="1"/>
  <c r="A997" i="1"/>
  <c r="L996" i="1"/>
  <c r="K996" i="1"/>
  <c r="F996" i="1"/>
  <c r="E996" i="1"/>
  <c r="D996" i="1"/>
  <c r="B996" i="1"/>
  <c r="G996" i="1" s="1"/>
  <c r="H996" i="1" s="1"/>
  <c r="I996" i="1" s="1"/>
  <c r="A996" i="1"/>
  <c r="L995" i="1"/>
  <c r="K995" i="1"/>
  <c r="G995" i="1"/>
  <c r="F995" i="1"/>
  <c r="H995" i="1" s="1"/>
  <c r="I995" i="1" s="1"/>
  <c r="E995" i="1"/>
  <c r="D995" i="1"/>
  <c r="B995" i="1"/>
  <c r="A995" i="1"/>
  <c r="L994" i="1"/>
  <c r="K994" i="1"/>
  <c r="H994" i="1"/>
  <c r="I994" i="1" s="1"/>
  <c r="G994" i="1"/>
  <c r="F994" i="1"/>
  <c r="E994" i="1"/>
  <c r="D994" i="1"/>
  <c r="B994" i="1"/>
  <c r="A994" i="1"/>
  <c r="L993" i="1"/>
  <c r="K993" i="1"/>
  <c r="J993" i="1"/>
  <c r="F993" i="1"/>
  <c r="E993" i="1"/>
  <c r="D993" i="1"/>
  <c r="B993" i="1"/>
  <c r="G993" i="1" s="1"/>
  <c r="H993" i="1" s="1"/>
  <c r="I993" i="1" s="1"/>
  <c r="A993" i="1"/>
  <c r="L992" i="1"/>
  <c r="K992" i="1"/>
  <c r="G992" i="1"/>
  <c r="H992" i="1" s="1"/>
  <c r="I992" i="1" s="1"/>
  <c r="F992" i="1"/>
  <c r="E992" i="1"/>
  <c r="D992" i="1"/>
  <c r="B992" i="1"/>
  <c r="A992" i="1"/>
  <c r="L991" i="1"/>
  <c r="K991" i="1"/>
  <c r="G991" i="1"/>
  <c r="H991" i="1" s="1"/>
  <c r="I991" i="1" s="1"/>
  <c r="F991" i="1"/>
  <c r="E991" i="1"/>
  <c r="D991" i="1"/>
  <c r="B991" i="1"/>
  <c r="A991" i="1"/>
  <c r="J994" i="1" s="1"/>
  <c r="L990" i="1"/>
  <c r="K990" i="1"/>
  <c r="J990" i="1"/>
  <c r="G990" i="1"/>
  <c r="H990" i="1" s="1"/>
  <c r="I990" i="1" s="1"/>
  <c r="F990" i="1"/>
  <c r="E990" i="1"/>
  <c r="D990" i="1"/>
  <c r="B990" i="1"/>
  <c r="A990" i="1"/>
  <c r="L989" i="1"/>
  <c r="K989" i="1"/>
  <c r="J989" i="1"/>
  <c r="G989" i="1"/>
  <c r="H989" i="1" s="1"/>
  <c r="I989" i="1" s="1"/>
  <c r="F989" i="1"/>
  <c r="E989" i="1"/>
  <c r="D989" i="1"/>
  <c r="B989" i="1"/>
  <c r="A989" i="1"/>
  <c r="L988" i="1"/>
  <c r="K988" i="1"/>
  <c r="J988" i="1"/>
  <c r="F988" i="1"/>
  <c r="E988" i="1"/>
  <c r="D988" i="1"/>
  <c r="B988" i="1"/>
  <c r="G988" i="1" s="1"/>
  <c r="H988" i="1" s="1"/>
  <c r="I988" i="1" s="1"/>
  <c r="A988" i="1"/>
  <c r="L987" i="1"/>
  <c r="K987" i="1"/>
  <c r="J987" i="1"/>
  <c r="G987" i="1"/>
  <c r="H987" i="1" s="1"/>
  <c r="I987" i="1" s="1"/>
  <c r="F987" i="1"/>
  <c r="E987" i="1"/>
  <c r="D987" i="1"/>
  <c r="B987" i="1"/>
  <c r="A987" i="1"/>
  <c r="L986" i="1"/>
  <c r="K986" i="1"/>
  <c r="J986" i="1"/>
  <c r="F986" i="1"/>
  <c r="E986" i="1"/>
  <c r="D986" i="1"/>
  <c r="B986" i="1"/>
  <c r="G986" i="1" s="1"/>
  <c r="H986" i="1" s="1"/>
  <c r="I986" i="1" s="1"/>
  <c r="A986" i="1"/>
  <c r="L985" i="1"/>
  <c r="K985" i="1"/>
  <c r="J985" i="1"/>
  <c r="F985" i="1"/>
  <c r="E985" i="1"/>
  <c r="D985" i="1"/>
  <c r="B985" i="1"/>
  <c r="G985" i="1" s="1"/>
  <c r="H985" i="1" s="1"/>
  <c r="I985" i="1" s="1"/>
  <c r="A985" i="1"/>
  <c r="L984" i="1"/>
  <c r="K984" i="1"/>
  <c r="G984" i="1"/>
  <c r="H984" i="1" s="1"/>
  <c r="I984" i="1" s="1"/>
  <c r="F984" i="1"/>
  <c r="E984" i="1"/>
  <c r="D984" i="1"/>
  <c r="B984" i="1"/>
  <c r="A984" i="1"/>
  <c r="J984" i="1" s="1"/>
  <c r="L983" i="1"/>
  <c r="K983" i="1"/>
  <c r="J983" i="1"/>
  <c r="G983" i="1"/>
  <c r="H983" i="1" s="1"/>
  <c r="I983" i="1" s="1"/>
  <c r="E983" i="1"/>
  <c r="D983" i="1"/>
  <c r="A983" i="1"/>
  <c r="L982" i="1"/>
  <c r="K982" i="1"/>
  <c r="H982" i="1"/>
  <c r="I982" i="1" s="1"/>
  <c r="G982" i="1"/>
  <c r="E982" i="1"/>
  <c r="D982" i="1"/>
  <c r="B982" i="1"/>
  <c r="A982" i="1"/>
  <c r="L981" i="1"/>
  <c r="K981" i="1"/>
  <c r="J981" i="1"/>
  <c r="E981" i="1"/>
  <c r="D981" i="1"/>
  <c r="B981" i="1"/>
  <c r="G981" i="1" s="1"/>
  <c r="H981" i="1" s="1"/>
  <c r="I981" i="1" s="1"/>
  <c r="A981" i="1"/>
  <c r="L980" i="1"/>
  <c r="K980" i="1"/>
  <c r="E980" i="1"/>
  <c r="D980" i="1"/>
  <c r="B980" i="1"/>
  <c r="G980" i="1" s="1"/>
  <c r="H980" i="1" s="1"/>
  <c r="I980" i="1" s="1"/>
  <c r="A980" i="1"/>
  <c r="L979" i="1"/>
  <c r="K979" i="1"/>
  <c r="G979" i="1"/>
  <c r="H979" i="1" s="1"/>
  <c r="I979" i="1" s="1"/>
  <c r="E979" i="1"/>
  <c r="D979" i="1"/>
  <c r="B979" i="1"/>
  <c r="A979" i="1"/>
  <c r="L978" i="1"/>
  <c r="K978" i="1"/>
  <c r="G978" i="1"/>
  <c r="H978" i="1" s="1"/>
  <c r="I978" i="1" s="1"/>
  <c r="E978" i="1"/>
  <c r="D978" i="1"/>
  <c r="B978" i="1"/>
  <c r="A978" i="1"/>
  <c r="L977" i="1"/>
  <c r="K977" i="1"/>
  <c r="G977" i="1"/>
  <c r="H977" i="1" s="1"/>
  <c r="I977" i="1" s="1"/>
  <c r="E977" i="1"/>
  <c r="D977" i="1"/>
  <c r="B977" i="1"/>
  <c r="A977" i="1"/>
  <c r="J980" i="1" s="1"/>
  <c r="L976" i="1"/>
  <c r="K976" i="1"/>
  <c r="H976" i="1"/>
  <c r="I976" i="1" s="1"/>
  <c r="G976" i="1"/>
  <c r="E976" i="1"/>
  <c r="D976" i="1"/>
  <c r="B976" i="1"/>
  <c r="A976" i="1"/>
  <c r="L975" i="1"/>
  <c r="K975" i="1"/>
  <c r="J975" i="1"/>
  <c r="I975" i="1"/>
  <c r="H975" i="1"/>
  <c r="G975" i="1"/>
  <c r="E975" i="1"/>
  <c r="D975" i="1"/>
  <c r="B975" i="1"/>
  <c r="A975" i="1"/>
  <c r="L974" i="1"/>
  <c r="K974" i="1"/>
  <c r="E974" i="1"/>
  <c r="D974" i="1"/>
  <c r="B974" i="1"/>
  <c r="G974" i="1" s="1"/>
  <c r="H974" i="1" s="1"/>
  <c r="I974" i="1" s="1"/>
  <c r="A974" i="1"/>
  <c r="L973" i="1"/>
  <c r="K973" i="1"/>
  <c r="E973" i="1"/>
  <c r="D973" i="1"/>
  <c r="B973" i="1"/>
  <c r="G973" i="1" s="1"/>
  <c r="H973" i="1" s="1"/>
  <c r="I973" i="1" s="1"/>
  <c r="A973" i="1"/>
  <c r="L972" i="1"/>
  <c r="K972" i="1"/>
  <c r="G972" i="1"/>
  <c r="H972" i="1" s="1"/>
  <c r="I972" i="1" s="1"/>
  <c r="E972" i="1"/>
  <c r="D972" i="1"/>
  <c r="B972" i="1"/>
  <c r="A972" i="1"/>
  <c r="L971" i="1"/>
  <c r="K971" i="1"/>
  <c r="H971" i="1"/>
  <c r="I971" i="1" s="1"/>
  <c r="G971" i="1"/>
  <c r="E971" i="1"/>
  <c r="D971" i="1"/>
  <c r="B971" i="1"/>
  <c r="A971" i="1"/>
  <c r="L970" i="1"/>
  <c r="K970" i="1"/>
  <c r="J970" i="1"/>
  <c r="E970" i="1"/>
  <c r="D970" i="1"/>
  <c r="B970" i="1"/>
  <c r="G970" i="1" s="1"/>
  <c r="H970" i="1" s="1"/>
  <c r="I970" i="1" s="1"/>
  <c r="A970" i="1"/>
  <c r="J974" i="1" s="1"/>
  <c r="L969" i="1"/>
  <c r="K969" i="1"/>
  <c r="E969" i="1"/>
  <c r="D969" i="1"/>
  <c r="B969" i="1"/>
  <c r="G969" i="1" s="1"/>
  <c r="H969" i="1" s="1"/>
  <c r="I969" i="1" s="1"/>
  <c r="A969" i="1"/>
  <c r="L968" i="1"/>
  <c r="K968" i="1"/>
  <c r="E968" i="1"/>
  <c r="D968" i="1"/>
  <c r="B968" i="1"/>
  <c r="G968" i="1" s="1"/>
  <c r="H968" i="1" s="1"/>
  <c r="I968" i="1" s="1"/>
  <c r="A968" i="1"/>
  <c r="L967" i="1"/>
  <c r="K967" i="1"/>
  <c r="G967" i="1"/>
  <c r="H967" i="1" s="1"/>
  <c r="I967" i="1" s="1"/>
  <c r="E967" i="1"/>
  <c r="D967" i="1"/>
  <c r="B967" i="1"/>
  <c r="A967" i="1"/>
  <c r="L966" i="1"/>
  <c r="K966" i="1"/>
  <c r="H966" i="1"/>
  <c r="I966" i="1" s="1"/>
  <c r="G966" i="1"/>
  <c r="E966" i="1"/>
  <c r="D966" i="1"/>
  <c r="B966" i="1"/>
  <c r="A966" i="1"/>
  <c r="L965" i="1"/>
  <c r="K965" i="1"/>
  <c r="J965" i="1"/>
  <c r="E965" i="1"/>
  <c r="D965" i="1"/>
  <c r="B965" i="1"/>
  <c r="G965" i="1" s="1"/>
  <c r="H965" i="1" s="1"/>
  <c r="I965" i="1" s="1"/>
  <c r="A965" i="1"/>
  <c r="L964" i="1"/>
  <c r="K964" i="1"/>
  <c r="E964" i="1"/>
  <c r="D964" i="1"/>
  <c r="B964" i="1"/>
  <c r="G964" i="1" s="1"/>
  <c r="H964" i="1" s="1"/>
  <c r="I964" i="1" s="1"/>
  <c r="A964" i="1"/>
  <c r="L963" i="1"/>
  <c r="K963" i="1"/>
  <c r="G963" i="1"/>
  <c r="H963" i="1" s="1"/>
  <c r="I963" i="1" s="1"/>
  <c r="E963" i="1"/>
  <c r="D963" i="1"/>
  <c r="B963" i="1"/>
  <c r="A963" i="1"/>
  <c r="J969" i="1" s="1"/>
  <c r="L962" i="1"/>
  <c r="K962" i="1"/>
  <c r="J962" i="1"/>
  <c r="G962" i="1"/>
  <c r="H962" i="1" s="1"/>
  <c r="I962" i="1" s="1"/>
  <c r="E962" i="1"/>
  <c r="D962" i="1"/>
  <c r="B962" i="1"/>
  <c r="A962" i="1"/>
  <c r="L961" i="1"/>
  <c r="K961" i="1"/>
  <c r="J961" i="1"/>
  <c r="G961" i="1"/>
  <c r="H961" i="1" s="1"/>
  <c r="I961" i="1" s="1"/>
  <c r="E961" i="1"/>
  <c r="D961" i="1"/>
  <c r="B961" i="1"/>
  <c r="A961" i="1"/>
  <c r="L960" i="1"/>
  <c r="K960" i="1"/>
  <c r="H960" i="1"/>
  <c r="I960" i="1" s="1"/>
  <c r="G960" i="1"/>
  <c r="E960" i="1"/>
  <c r="D960" i="1"/>
  <c r="B960" i="1"/>
  <c r="A960" i="1"/>
  <c r="L959" i="1"/>
  <c r="K959" i="1"/>
  <c r="J959" i="1"/>
  <c r="I959" i="1"/>
  <c r="H959" i="1"/>
  <c r="G959" i="1"/>
  <c r="E959" i="1"/>
  <c r="D959" i="1"/>
  <c r="B959" i="1"/>
  <c r="A959" i="1"/>
  <c r="L958" i="1"/>
  <c r="K958" i="1"/>
  <c r="E958" i="1"/>
  <c r="D958" i="1"/>
  <c r="B958" i="1"/>
  <c r="G958" i="1" s="1"/>
  <c r="H958" i="1" s="1"/>
  <c r="I958" i="1" s="1"/>
  <c r="A958" i="1"/>
  <c r="L957" i="1"/>
  <c r="K957" i="1"/>
  <c r="J957" i="1"/>
  <c r="E957" i="1"/>
  <c r="D957" i="1"/>
  <c r="B957" i="1"/>
  <c r="G957" i="1" s="1"/>
  <c r="H957" i="1" s="1"/>
  <c r="I957" i="1" s="1"/>
  <c r="A957" i="1"/>
  <c r="L956" i="1"/>
  <c r="K956" i="1"/>
  <c r="G956" i="1"/>
  <c r="H956" i="1" s="1"/>
  <c r="I956" i="1" s="1"/>
  <c r="E956" i="1"/>
  <c r="D956" i="1"/>
  <c r="B956" i="1"/>
  <c r="A956" i="1"/>
  <c r="L955" i="1"/>
  <c r="K955" i="1"/>
  <c r="H955" i="1"/>
  <c r="I955" i="1" s="1"/>
  <c r="G955" i="1"/>
  <c r="E955" i="1"/>
  <c r="D955" i="1"/>
  <c r="B955" i="1"/>
  <c r="A955" i="1"/>
  <c r="L954" i="1"/>
  <c r="K954" i="1"/>
  <c r="J954" i="1"/>
  <c r="E954" i="1"/>
  <c r="D954" i="1"/>
  <c r="B954" i="1"/>
  <c r="G954" i="1" s="1"/>
  <c r="H954" i="1" s="1"/>
  <c r="I954" i="1" s="1"/>
  <c r="A954" i="1"/>
  <c r="L953" i="1"/>
  <c r="K953" i="1"/>
  <c r="E953" i="1"/>
  <c r="D953" i="1"/>
  <c r="B953" i="1"/>
  <c r="G953" i="1" s="1"/>
  <c r="H953" i="1" s="1"/>
  <c r="I953" i="1" s="1"/>
  <c r="A953" i="1"/>
  <c r="L952" i="1"/>
  <c r="K952" i="1"/>
  <c r="E952" i="1"/>
  <c r="D952" i="1"/>
  <c r="B952" i="1"/>
  <c r="G952" i="1" s="1"/>
  <c r="H952" i="1" s="1"/>
  <c r="I952" i="1" s="1"/>
  <c r="A952" i="1"/>
  <c r="L951" i="1"/>
  <c r="K951" i="1"/>
  <c r="G951" i="1"/>
  <c r="H951" i="1" s="1"/>
  <c r="I951" i="1" s="1"/>
  <c r="E951" i="1"/>
  <c r="D951" i="1"/>
  <c r="A951" i="1"/>
  <c r="L950" i="1"/>
  <c r="K950" i="1"/>
  <c r="J950" i="1"/>
  <c r="G950" i="1"/>
  <c r="H950" i="1" s="1"/>
  <c r="I950" i="1" s="1"/>
  <c r="E950" i="1"/>
  <c r="D950" i="1"/>
  <c r="A950" i="1"/>
  <c r="L949" i="1"/>
  <c r="K949" i="1"/>
  <c r="H949" i="1"/>
  <c r="I949" i="1" s="1"/>
  <c r="G949" i="1"/>
  <c r="E949" i="1"/>
  <c r="D949" i="1"/>
  <c r="A949" i="1"/>
  <c r="J952" i="1" s="1"/>
  <c r="L948" i="1"/>
  <c r="K948" i="1"/>
  <c r="J948" i="1"/>
  <c r="I948" i="1"/>
  <c r="H948" i="1"/>
  <c r="F948" i="1"/>
  <c r="E948" i="1"/>
  <c r="D948" i="1"/>
  <c r="B948" i="1"/>
  <c r="G948" i="1" s="1"/>
  <c r="A948" i="1"/>
  <c r="L947" i="1"/>
  <c r="K947" i="1"/>
  <c r="F947" i="1"/>
  <c r="E947" i="1"/>
  <c r="D947" i="1"/>
  <c r="B947" i="1"/>
  <c r="G947" i="1" s="1"/>
  <c r="H947" i="1" s="1"/>
  <c r="I947" i="1" s="1"/>
  <c r="A947" i="1"/>
  <c r="L946" i="1"/>
  <c r="K946" i="1"/>
  <c r="G946" i="1"/>
  <c r="F946" i="1"/>
  <c r="H946" i="1" s="1"/>
  <c r="I946" i="1" s="1"/>
  <c r="E946" i="1"/>
  <c r="D946" i="1"/>
  <c r="B946" i="1"/>
  <c r="A946" i="1"/>
  <c r="L945" i="1"/>
  <c r="K945" i="1"/>
  <c r="G945" i="1"/>
  <c r="H945" i="1" s="1"/>
  <c r="I945" i="1" s="1"/>
  <c r="F945" i="1"/>
  <c r="E945" i="1"/>
  <c r="D945" i="1"/>
  <c r="B945" i="1"/>
  <c r="A945" i="1"/>
  <c r="L944" i="1"/>
  <c r="K944" i="1"/>
  <c r="J944" i="1"/>
  <c r="G944" i="1"/>
  <c r="F944" i="1"/>
  <c r="H944" i="1" s="1"/>
  <c r="I944" i="1" s="1"/>
  <c r="E944" i="1"/>
  <c r="D944" i="1"/>
  <c r="B944" i="1"/>
  <c r="A944" i="1"/>
  <c r="L943" i="1"/>
  <c r="K943" i="1"/>
  <c r="I943" i="1"/>
  <c r="H943" i="1"/>
  <c r="G943" i="1"/>
  <c r="F943" i="1"/>
  <c r="E943" i="1"/>
  <c r="D943" i="1"/>
  <c r="B943" i="1"/>
  <c r="A943" i="1"/>
  <c r="L942" i="1"/>
  <c r="K942" i="1"/>
  <c r="G942" i="1"/>
  <c r="H942" i="1" s="1"/>
  <c r="I942" i="1" s="1"/>
  <c r="F942" i="1"/>
  <c r="E942" i="1"/>
  <c r="D942" i="1"/>
  <c r="B942" i="1"/>
  <c r="A942" i="1"/>
  <c r="J947" i="1" s="1"/>
  <c r="L941" i="1"/>
  <c r="K941" i="1"/>
  <c r="J941" i="1"/>
  <c r="F941" i="1"/>
  <c r="E941" i="1"/>
  <c r="D941" i="1"/>
  <c r="B941" i="1"/>
  <c r="G941" i="1" s="1"/>
  <c r="H941" i="1" s="1"/>
  <c r="I941" i="1" s="1"/>
  <c r="A941" i="1"/>
  <c r="L940" i="1"/>
  <c r="K940" i="1"/>
  <c r="F940" i="1"/>
  <c r="E940" i="1"/>
  <c r="D940" i="1"/>
  <c r="B940" i="1"/>
  <c r="G940" i="1" s="1"/>
  <c r="H940" i="1" s="1"/>
  <c r="I940" i="1" s="1"/>
  <c r="A940" i="1"/>
  <c r="L939" i="1"/>
  <c r="K939" i="1"/>
  <c r="G939" i="1"/>
  <c r="F939" i="1"/>
  <c r="E939" i="1"/>
  <c r="D939" i="1"/>
  <c r="B939" i="1"/>
  <c r="A939" i="1"/>
  <c r="L938" i="1"/>
  <c r="K938" i="1"/>
  <c r="F938" i="1"/>
  <c r="E938" i="1"/>
  <c r="D938" i="1"/>
  <c r="B938" i="1"/>
  <c r="G938" i="1" s="1"/>
  <c r="H938" i="1" s="1"/>
  <c r="I938" i="1" s="1"/>
  <c r="A938" i="1"/>
  <c r="L937" i="1"/>
  <c r="K937" i="1"/>
  <c r="F937" i="1"/>
  <c r="E937" i="1"/>
  <c r="D937" i="1"/>
  <c r="B937" i="1"/>
  <c r="G937" i="1" s="1"/>
  <c r="H937" i="1" s="1"/>
  <c r="I937" i="1" s="1"/>
  <c r="A937" i="1"/>
  <c r="L936" i="1"/>
  <c r="K936" i="1"/>
  <c r="G936" i="1"/>
  <c r="H936" i="1" s="1"/>
  <c r="I936" i="1" s="1"/>
  <c r="F936" i="1"/>
  <c r="E936" i="1"/>
  <c r="D936" i="1"/>
  <c r="B936" i="1"/>
  <c r="A936" i="1"/>
  <c r="L935" i="1"/>
  <c r="K935" i="1"/>
  <c r="I935" i="1"/>
  <c r="F935" i="1"/>
  <c r="E935" i="1"/>
  <c r="D935" i="1"/>
  <c r="B935" i="1"/>
  <c r="G935" i="1" s="1"/>
  <c r="H935" i="1" s="1"/>
  <c r="A935" i="1"/>
  <c r="J939" i="1" s="1"/>
  <c r="L934" i="1"/>
  <c r="K934" i="1"/>
  <c r="F934" i="1"/>
  <c r="E934" i="1"/>
  <c r="D934" i="1"/>
  <c r="B934" i="1"/>
  <c r="G934" i="1" s="1"/>
  <c r="H934" i="1" s="1"/>
  <c r="I934" i="1" s="1"/>
  <c r="A934" i="1"/>
  <c r="L933" i="1"/>
  <c r="K933" i="1"/>
  <c r="G933" i="1"/>
  <c r="F933" i="1"/>
  <c r="E933" i="1"/>
  <c r="D933" i="1"/>
  <c r="B933" i="1"/>
  <c r="A933" i="1"/>
  <c r="L932" i="1"/>
  <c r="K932" i="1"/>
  <c r="I932" i="1"/>
  <c r="H932" i="1"/>
  <c r="F932" i="1"/>
  <c r="E932" i="1"/>
  <c r="D932" i="1"/>
  <c r="B932" i="1"/>
  <c r="G932" i="1" s="1"/>
  <c r="A932" i="1"/>
  <c r="L931" i="1"/>
  <c r="K931" i="1"/>
  <c r="F931" i="1"/>
  <c r="E931" i="1"/>
  <c r="D931" i="1"/>
  <c r="B931" i="1"/>
  <c r="G931" i="1" s="1"/>
  <c r="H931" i="1" s="1"/>
  <c r="I931" i="1" s="1"/>
  <c r="A931" i="1"/>
  <c r="L930" i="1"/>
  <c r="K930" i="1"/>
  <c r="G930" i="1"/>
  <c r="F930" i="1"/>
  <c r="H930" i="1" s="1"/>
  <c r="I930" i="1" s="1"/>
  <c r="E930" i="1"/>
  <c r="D930" i="1"/>
  <c r="B930" i="1"/>
  <c r="A930" i="1"/>
  <c r="L929" i="1"/>
  <c r="K929" i="1"/>
  <c r="H929" i="1"/>
  <c r="I929" i="1" s="1"/>
  <c r="G929" i="1"/>
  <c r="F929" i="1"/>
  <c r="E929" i="1"/>
  <c r="D929" i="1"/>
  <c r="B929" i="1"/>
  <c r="A929" i="1"/>
  <c r="L928" i="1"/>
  <c r="K928" i="1"/>
  <c r="F928" i="1"/>
  <c r="E928" i="1"/>
  <c r="D928" i="1"/>
  <c r="B928" i="1"/>
  <c r="G928" i="1" s="1"/>
  <c r="H928" i="1" s="1"/>
  <c r="I928" i="1" s="1"/>
  <c r="A928" i="1"/>
  <c r="J931" i="1" s="1"/>
  <c r="L927" i="1"/>
  <c r="K927" i="1"/>
  <c r="J927" i="1"/>
  <c r="G927" i="1"/>
  <c r="H927" i="1" s="1"/>
  <c r="I927" i="1" s="1"/>
  <c r="F927" i="1"/>
  <c r="E927" i="1"/>
  <c r="D927" i="1"/>
  <c r="B927" i="1"/>
  <c r="A927" i="1"/>
  <c r="L926" i="1"/>
  <c r="K926" i="1"/>
  <c r="J926" i="1"/>
  <c r="F926" i="1"/>
  <c r="E926" i="1"/>
  <c r="D926" i="1"/>
  <c r="B926" i="1"/>
  <c r="G926" i="1" s="1"/>
  <c r="H926" i="1" s="1"/>
  <c r="I926" i="1" s="1"/>
  <c r="A926" i="1"/>
  <c r="L925" i="1"/>
  <c r="K925" i="1"/>
  <c r="F925" i="1"/>
  <c r="E925" i="1"/>
  <c r="D925" i="1"/>
  <c r="B925" i="1"/>
  <c r="G925" i="1" s="1"/>
  <c r="H925" i="1" s="1"/>
  <c r="I925" i="1" s="1"/>
  <c r="A925" i="1"/>
  <c r="L924" i="1"/>
  <c r="K924" i="1"/>
  <c r="J924" i="1"/>
  <c r="G924" i="1"/>
  <c r="H924" i="1" s="1"/>
  <c r="I924" i="1" s="1"/>
  <c r="F924" i="1"/>
  <c r="E924" i="1"/>
  <c r="D924" i="1"/>
  <c r="B924" i="1"/>
  <c r="A924" i="1"/>
  <c r="L923" i="1"/>
  <c r="K923" i="1"/>
  <c r="J923" i="1"/>
  <c r="F923" i="1"/>
  <c r="E923" i="1"/>
  <c r="D923" i="1"/>
  <c r="B923" i="1"/>
  <c r="G923" i="1" s="1"/>
  <c r="H923" i="1" s="1"/>
  <c r="I923" i="1" s="1"/>
  <c r="A923" i="1"/>
  <c r="L922" i="1"/>
  <c r="K922" i="1"/>
  <c r="G922" i="1"/>
  <c r="F922" i="1"/>
  <c r="H922" i="1" s="1"/>
  <c r="I922" i="1" s="1"/>
  <c r="E922" i="1"/>
  <c r="D922" i="1"/>
  <c r="B922" i="1"/>
  <c r="A922" i="1"/>
  <c r="L921" i="1"/>
  <c r="K921" i="1"/>
  <c r="H921" i="1"/>
  <c r="I921" i="1" s="1"/>
  <c r="G921" i="1"/>
  <c r="F921" i="1"/>
  <c r="E921" i="1"/>
  <c r="D921" i="1"/>
  <c r="B921" i="1"/>
  <c r="A921" i="1"/>
  <c r="J921" i="1" s="1"/>
  <c r="L920" i="1"/>
  <c r="K920" i="1"/>
  <c r="J920" i="1"/>
  <c r="F920" i="1"/>
  <c r="E920" i="1"/>
  <c r="D920" i="1"/>
  <c r="B920" i="1"/>
  <c r="G920" i="1" s="1"/>
  <c r="H920" i="1" s="1"/>
  <c r="I920" i="1" s="1"/>
  <c r="A920" i="1"/>
  <c r="L919" i="1"/>
  <c r="K919" i="1"/>
  <c r="J919" i="1"/>
  <c r="G919" i="1"/>
  <c r="F919" i="1"/>
  <c r="E919" i="1"/>
  <c r="D919" i="1"/>
  <c r="B919" i="1"/>
  <c r="A919" i="1"/>
  <c r="L918" i="1"/>
  <c r="K918" i="1"/>
  <c r="J918" i="1"/>
  <c r="F918" i="1"/>
  <c r="E918" i="1"/>
  <c r="D918" i="1"/>
  <c r="B918" i="1"/>
  <c r="G918" i="1" s="1"/>
  <c r="H918" i="1" s="1"/>
  <c r="I918" i="1" s="1"/>
  <c r="A918" i="1"/>
  <c r="L917" i="1"/>
  <c r="K917" i="1"/>
  <c r="F917" i="1"/>
  <c r="E917" i="1"/>
  <c r="D917" i="1"/>
  <c r="B917" i="1"/>
  <c r="G917" i="1" s="1"/>
  <c r="H917" i="1" s="1"/>
  <c r="I917" i="1" s="1"/>
  <c r="A917" i="1"/>
  <c r="L916" i="1"/>
  <c r="K916" i="1"/>
  <c r="J916" i="1"/>
  <c r="G916" i="1"/>
  <c r="H916" i="1" s="1"/>
  <c r="I916" i="1" s="1"/>
  <c r="F916" i="1"/>
  <c r="E916" i="1"/>
  <c r="D916" i="1"/>
  <c r="B916" i="1"/>
  <c r="A916" i="1"/>
  <c r="L915" i="1"/>
  <c r="K915" i="1"/>
  <c r="J915" i="1"/>
  <c r="F915" i="1"/>
  <c r="E915" i="1"/>
  <c r="D915" i="1"/>
  <c r="B915" i="1"/>
  <c r="G915" i="1" s="1"/>
  <c r="H915" i="1" s="1"/>
  <c r="I915" i="1" s="1"/>
  <c r="A915" i="1"/>
  <c r="L914" i="1"/>
  <c r="K914" i="1"/>
  <c r="G914" i="1"/>
  <c r="F914" i="1"/>
  <c r="H914" i="1" s="1"/>
  <c r="I914" i="1" s="1"/>
  <c r="E914" i="1"/>
  <c r="D914" i="1"/>
  <c r="B914" i="1"/>
  <c r="A914" i="1"/>
  <c r="J917" i="1" s="1"/>
  <c r="L913" i="1"/>
  <c r="K913" i="1"/>
  <c r="H913" i="1"/>
  <c r="I913" i="1" s="1"/>
  <c r="G913" i="1"/>
  <c r="F913" i="1"/>
  <c r="E913" i="1"/>
  <c r="D913" i="1"/>
  <c r="B913" i="1"/>
  <c r="A913" i="1"/>
  <c r="L912" i="1"/>
  <c r="K912" i="1"/>
  <c r="F912" i="1"/>
  <c r="E912" i="1"/>
  <c r="D912" i="1"/>
  <c r="B912" i="1"/>
  <c r="G912" i="1" s="1"/>
  <c r="H912" i="1" s="1"/>
  <c r="I912" i="1" s="1"/>
  <c r="A912" i="1"/>
  <c r="L911" i="1"/>
  <c r="K911" i="1"/>
  <c r="G911" i="1"/>
  <c r="F911" i="1"/>
  <c r="E911" i="1"/>
  <c r="D911" i="1"/>
  <c r="B911" i="1"/>
  <c r="A911" i="1"/>
  <c r="L910" i="1"/>
  <c r="K910" i="1"/>
  <c r="F910" i="1"/>
  <c r="E910" i="1"/>
  <c r="D910" i="1"/>
  <c r="B910" i="1"/>
  <c r="G910" i="1" s="1"/>
  <c r="H910" i="1" s="1"/>
  <c r="I910" i="1" s="1"/>
  <c r="A910" i="1"/>
  <c r="L909" i="1"/>
  <c r="K909" i="1"/>
  <c r="F909" i="1"/>
  <c r="E909" i="1"/>
  <c r="D909" i="1"/>
  <c r="B909" i="1"/>
  <c r="G909" i="1" s="1"/>
  <c r="H909" i="1" s="1"/>
  <c r="I909" i="1" s="1"/>
  <c r="A909" i="1"/>
  <c r="L908" i="1"/>
  <c r="K908" i="1"/>
  <c r="G908" i="1"/>
  <c r="H908" i="1" s="1"/>
  <c r="I908" i="1" s="1"/>
  <c r="F908" i="1"/>
  <c r="E908" i="1"/>
  <c r="D908" i="1"/>
  <c r="B908" i="1"/>
  <c r="A908" i="1"/>
  <c r="L907" i="1"/>
  <c r="K907" i="1"/>
  <c r="F907" i="1"/>
  <c r="E907" i="1"/>
  <c r="D907" i="1"/>
  <c r="B907" i="1"/>
  <c r="G907" i="1" s="1"/>
  <c r="H907" i="1" s="1"/>
  <c r="I907" i="1" s="1"/>
  <c r="A907" i="1"/>
  <c r="L906" i="1"/>
  <c r="K906" i="1"/>
  <c r="G906" i="1"/>
  <c r="F906" i="1"/>
  <c r="H906" i="1" s="1"/>
  <c r="I906" i="1" s="1"/>
  <c r="E906" i="1"/>
  <c r="D906" i="1"/>
  <c r="B906" i="1"/>
  <c r="A906" i="1"/>
  <c r="L905" i="1"/>
  <c r="K905" i="1"/>
  <c r="G905" i="1"/>
  <c r="H905" i="1" s="1"/>
  <c r="I905" i="1" s="1"/>
  <c r="F905" i="1"/>
  <c r="E905" i="1"/>
  <c r="D905" i="1"/>
  <c r="B905" i="1"/>
  <c r="A905" i="1"/>
  <c r="L904" i="1"/>
  <c r="K904" i="1"/>
  <c r="J904" i="1"/>
  <c r="F904" i="1"/>
  <c r="E904" i="1"/>
  <c r="D904" i="1"/>
  <c r="B904" i="1"/>
  <c r="G904" i="1" s="1"/>
  <c r="H904" i="1" s="1"/>
  <c r="I904" i="1" s="1"/>
  <c r="A904" i="1"/>
  <c r="L903" i="1"/>
  <c r="K903" i="1"/>
  <c r="G903" i="1"/>
  <c r="H903" i="1" s="1"/>
  <c r="I903" i="1" s="1"/>
  <c r="F903" i="1"/>
  <c r="E903" i="1"/>
  <c r="D903" i="1"/>
  <c r="B903" i="1"/>
  <c r="A903" i="1"/>
  <c r="L902" i="1"/>
  <c r="K902" i="1"/>
  <c r="J902" i="1"/>
  <c r="H902" i="1"/>
  <c r="I902" i="1" s="1"/>
  <c r="F902" i="1"/>
  <c r="E902" i="1"/>
  <c r="D902" i="1"/>
  <c r="B902" i="1"/>
  <c r="G902" i="1" s="1"/>
  <c r="A902" i="1"/>
  <c r="L901" i="1"/>
  <c r="K901" i="1"/>
  <c r="F901" i="1"/>
  <c r="E901" i="1"/>
  <c r="D901" i="1"/>
  <c r="B901" i="1"/>
  <c r="G901" i="1" s="1"/>
  <c r="H901" i="1" s="1"/>
  <c r="I901" i="1" s="1"/>
  <c r="A901" i="1"/>
  <c r="L900" i="1"/>
  <c r="K900" i="1"/>
  <c r="G900" i="1"/>
  <c r="F900" i="1"/>
  <c r="E900" i="1"/>
  <c r="D900" i="1"/>
  <c r="B900" i="1"/>
  <c r="A900" i="1"/>
  <c r="J903" i="1" s="1"/>
  <c r="L899" i="1"/>
  <c r="K899" i="1"/>
  <c r="J899" i="1"/>
  <c r="I899" i="1"/>
  <c r="F899" i="1"/>
  <c r="E899" i="1"/>
  <c r="D899" i="1"/>
  <c r="B899" i="1"/>
  <c r="G899" i="1" s="1"/>
  <c r="H899" i="1" s="1"/>
  <c r="A899" i="1"/>
  <c r="L898" i="1"/>
  <c r="K898" i="1"/>
  <c r="G898" i="1"/>
  <c r="F898" i="1"/>
  <c r="H898" i="1" s="1"/>
  <c r="I898" i="1" s="1"/>
  <c r="E898" i="1"/>
  <c r="D898" i="1"/>
  <c r="B898" i="1"/>
  <c r="A898" i="1"/>
  <c r="L897" i="1"/>
  <c r="K897" i="1"/>
  <c r="J897" i="1"/>
  <c r="H897" i="1"/>
  <c r="I897" i="1" s="1"/>
  <c r="G897" i="1"/>
  <c r="F897" i="1"/>
  <c r="E897" i="1"/>
  <c r="D897" i="1"/>
  <c r="B897" i="1"/>
  <c r="A897" i="1"/>
  <c r="L896" i="1"/>
  <c r="K896" i="1"/>
  <c r="J896" i="1"/>
  <c r="F896" i="1"/>
  <c r="E896" i="1"/>
  <c r="D896" i="1"/>
  <c r="B896" i="1"/>
  <c r="G896" i="1" s="1"/>
  <c r="H896" i="1" s="1"/>
  <c r="I896" i="1" s="1"/>
  <c r="A896" i="1"/>
  <c r="L895" i="1"/>
  <c r="K895" i="1"/>
  <c r="J895" i="1"/>
  <c r="G895" i="1"/>
  <c r="F895" i="1"/>
  <c r="E895" i="1"/>
  <c r="D895" i="1"/>
  <c r="B895" i="1"/>
  <c r="A895" i="1"/>
  <c r="L894" i="1"/>
  <c r="K894" i="1"/>
  <c r="J894" i="1"/>
  <c r="F894" i="1"/>
  <c r="E894" i="1"/>
  <c r="D894" i="1"/>
  <c r="B894" i="1"/>
  <c r="G894" i="1" s="1"/>
  <c r="H894" i="1" s="1"/>
  <c r="I894" i="1" s="1"/>
  <c r="A894" i="1"/>
  <c r="L893" i="1"/>
  <c r="K893" i="1"/>
  <c r="F893" i="1"/>
  <c r="E893" i="1"/>
  <c r="D893" i="1"/>
  <c r="B893" i="1"/>
  <c r="G893" i="1" s="1"/>
  <c r="H893" i="1" s="1"/>
  <c r="I893" i="1" s="1"/>
  <c r="A893" i="1"/>
  <c r="J893" i="1" s="1"/>
  <c r="L892" i="1"/>
  <c r="K892" i="1"/>
  <c r="J892" i="1"/>
  <c r="G892" i="1"/>
  <c r="H892" i="1" s="1"/>
  <c r="I892" i="1" s="1"/>
  <c r="E892" i="1"/>
  <c r="D892" i="1"/>
  <c r="A892" i="1"/>
  <c r="L891" i="1"/>
  <c r="K891" i="1"/>
  <c r="G891" i="1"/>
  <c r="H891" i="1" s="1"/>
  <c r="I891" i="1" s="1"/>
  <c r="E891" i="1"/>
  <c r="D891" i="1"/>
  <c r="A891" i="1"/>
  <c r="L890" i="1"/>
  <c r="K890" i="1"/>
  <c r="J890" i="1"/>
  <c r="E890" i="1"/>
  <c r="D890" i="1"/>
  <c r="B890" i="1"/>
  <c r="G890" i="1" s="1"/>
  <c r="H890" i="1" s="1"/>
  <c r="I890" i="1" s="1"/>
  <c r="A890" i="1"/>
  <c r="L889" i="1"/>
  <c r="K889" i="1"/>
  <c r="J889" i="1"/>
  <c r="E889" i="1"/>
  <c r="D889" i="1"/>
  <c r="B889" i="1"/>
  <c r="G889" i="1" s="1"/>
  <c r="H889" i="1" s="1"/>
  <c r="I889" i="1" s="1"/>
  <c r="A889" i="1"/>
  <c r="L888" i="1"/>
  <c r="K888" i="1"/>
  <c r="E888" i="1"/>
  <c r="D888" i="1"/>
  <c r="B888" i="1"/>
  <c r="G888" i="1" s="1"/>
  <c r="H888" i="1" s="1"/>
  <c r="I888" i="1" s="1"/>
  <c r="A888" i="1"/>
  <c r="L887" i="1"/>
  <c r="K887" i="1"/>
  <c r="J887" i="1"/>
  <c r="G887" i="1"/>
  <c r="H887" i="1" s="1"/>
  <c r="I887" i="1" s="1"/>
  <c r="E887" i="1"/>
  <c r="D887" i="1"/>
  <c r="B887" i="1"/>
  <c r="A887" i="1"/>
  <c r="L886" i="1"/>
  <c r="K886" i="1"/>
  <c r="J886" i="1"/>
  <c r="H886" i="1"/>
  <c r="I886" i="1" s="1"/>
  <c r="E886" i="1"/>
  <c r="D886" i="1"/>
  <c r="B886" i="1"/>
  <c r="G886" i="1" s="1"/>
  <c r="A886" i="1"/>
  <c r="J891" i="1" s="1"/>
  <c r="L885" i="1"/>
  <c r="K885" i="1"/>
  <c r="J885" i="1"/>
  <c r="E885" i="1"/>
  <c r="D885" i="1"/>
  <c r="B885" i="1"/>
  <c r="G885" i="1" s="1"/>
  <c r="H885" i="1" s="1"/>
  <c r="I885" i="1" s="1"/>
  <c r="A885" i="1"/>
  <c r="L884" i="1"/>
  <c r="K884" i="1"/>
  <c r="E884" i="1"/>
  <c r="D884" i="1"/>
  <c r="B884" i="1"/>
  <c r="G884" i="1" s="1"/>
  <c r="H884" i="1" s="1"/>
  <c r="I884" i="1" s="1"/>
  <c r="A884" i="1"/>
  <c r="L883" i="1"/>
  <c r="K883" i="1"/>
  <c r="J883" i="1"/>
  <c r="G883" i="1"/>
  <c r="H883" i="1" s="1"/>
  <c r="I883" i="1" s="1"/>
  <c r="E883" i="1"/>
  <c r="D883" i="1"/>
  <c r="B883" i="1"/>
  <c r="A883" i="1"/>
  <c r="L882" i="1"/>
  <c r="K882" i="1"/>
  <c r="J882" i="1"/>
  <c r="E882" i="1"/>
  <c r="D882" i="1"/>
  <c r="B882" i="1"/>
  <c r="G882" i="1" s="1"/>
  <c r="H882" i="1" s="1"/>
  <c r="I882" i="1" s="1"/>
  <c r="A882" i="1"/>
  <c r="L881" i="1"/>
  <c r="K881" i="1"/>
  <c r="J881" i="1"/>
  <c r="E881" i="1"/>
  <c r="D881" i="1"/>
  <c r="B881" i="1"/>
  <c r="G881" i="1" s="1"/>
  <c r="H881" i="1" s="1"/>
  <c r="I881" i="1" s="1"/>
  <c r="A881" i="1"/>
  <c r="L880" i="1"/>
  <c r="K880" i="1"/>
  <c r="E880" i="1"/>
  <c r="D880" i="1"/>
  <c r="B880" i="1"/>
  <c r="G880" i="1" s="1"/>
  <c r="H880" i="1" s="1"/>
  <c r="I880" i="1" s="1"/>
  <c r="A880" i="1"/>
  <c r="L879" i="1"/>
  <c r="K879" i="1"/>
  <c r="J879" i="1"/>
  <c r="H879" i="1"/>
  <c r="I879" i="1" s="1"/>
  <c r="G879" i="1"/>
  <c r="E879" i="1"/>
  <c r="D879" i="1"/>
  <c r="B879" i="1"/>
  <c r="A879" i="1"/>
  <c r="J884" i="1" s="1"/>
  <c r="L878" i="1"/>
  <c r="K878" i="1"/>
  <c r="J878" i="1"/>
  <c r="E878" i="1"/>
  <c r="D878" i="1"/>
  <c r="B878" i="1"/>
  <c r="G878" i="1" s="1"/>
  <c r="H878" i="1" s="1"/>
  <c r="I878" i="1" s="1"/>
  <c r="A878" i="1"/>
  <c r="L877" i="1"/>
  <c r="K877" i="1"/>
  <c r="J877" i="1"/>
  <c r="E877" i="1"/>
  <c r="D877" i="1"/>
  <c r="B877" i="1"/>
  <c r="G877" i="1" s="1"/>
  <c r="H877" i="1" s="1"/>
  <c r="I877" i="1" s="1"/>
  <c r="A877" i="1"/>
  <c r="L876" i="1"/>
  <c r="K876" i="1"/>
  <c r="E876" i="1"/>
  <c r="D876" i="1"/>
  <c r="B876" i="1"/>
  <c r="G876" i="1" s="1"/>
  <c r="H876" i="1" s="1"/>
  <c r="I876" i="1" s="1"/>
  <c r="A876" i="1"/>
  <c r="L875" i="1"/>
  <c r="K875" i="1"/>
  <c r="J875" i="1"/>
  <c r="G875" i="1"/>
  <c r="H875" i="1" s="1"/>
  <c r="I875" i="1" s="1"/>
  <c r="E875" i="1"/>
  <c r="D875" i="1"/>
  <c r="B875" i="1"/>
  <c r="A875" i="1"/>
  <c r="L874" i="1"/>
  <c r="K874" i="1"/>
  <c r="J874" i="1"/>
  <c r="E874" i="1"/>
  <c r="D874" i="1"/>
  <c r="B874" i="1"/>
  <c r="G874" i="1" s="1"/>
  <c r="H874" i="1" s="1"/>
  <c r="I874" i="1" s="1"/>
  <c r="A874" i="1"/>
  <c r="L873" i="1"/>
  <c r="K873" i="1"/>
  <c r="J873" i="1"/>
  <c r="E873" i="1"/>
  <c r="D873" i="1"/>
  <c r="B873" i="1"/>
  <c r="G873" i="1" s="1"/>
  <c r="H873" i="1" s="1"/>
  <c r="I873" i="1" s="1"/>
  <c r="A873" i="1"/>
  <c r="L872" i="1"/>
  <c r="K872" i="1"/>
  <c r="J872" i="1"/>
  <c r="E872" i="1"/>
  <c r="D872" i="1"/>
  <c r="B872" i="1"/>
  <c r="G872" i="1" s="1"/>
  <c r="H872" i="1" s="1"/>
  <c r="I872" i="1" s="1"/>
  <c r="A872" i="1"/>
  <c r="J876" i="1" s="1"/>
  <c r="L871" i="1"/>
  <c r="K871" i="1"/>
  <c r="G871" i="1"/>
  <c r="H871" i="1" s="1"/>
  <c r="I871" i="1" s="1"/>
  <c r="E871" i="1"/>
  <c r="D871" i="1"/>
  <c r="B871" i="1"/>
  <c r="A871" i="1"/>
  <c r="L870" i="1"/>
  <c r="K870" i="1"/>
  <c r="J870" i="1"/>
  <c r="H870" i="1"/>
  <c r="I870" i="1" s="1"/>
  <c r="E870" i="1"/>
  <c r="D870" i="1"/>
  <c r="B870" i="1"/>
  <c r="G870" i="1" s="1"/>
  <c r="A870" i="1"/>
  <c r="L869" i="1"/>
  <c r="K869" i="1"/>
  <c r="J869" i="1"/>
  <c r="E869" i="1"/>
  <c r="D869" i="1"/>
  <c r="B869" i="1"/>
  <c r="G869" i="1" s="1"/>
  <c r="H869" i="1" s="1"/>
  <c r="I869" i="1" s="1"/>
  <c r="A869" i="1"/>
  <c r="L868" i="1"/>
  <c r="K868" i="1"/>
  <c r="E868" i="1"/>
  <c r="D868" i="1"/>
  <c r="B868" i="1"/>
  <c r="G868" i="1" s="1"/>
  <c r="H868" i="1" s="1"/>
  <c r="I868" i="1" s="1"/>
  <c r="A868" i="1"/>
  <c r="L867" i="1"/>
  <c r="K867" i="1"/>
  <c r="G867" i="1"/>
  <c r="H867" i="1" s="1"/>
  <c r="I867" i="1" s="1"/>
  <c r="E867" i="1"/>
  <c r="D867" i="1"/>
  <c r="B867" i="1"/>
  <c r="A867" i="1"/>
  <c r="L866" i="1"/>
  <c r="K866" i="1"/>
  <c r="J866" i="1"/>
  <c r="I866" i="1"/>
  <c r="H866" i="1"/>
  <c r="E866" i="1"/>
  <c r="D866" i="1"/>
  <c r="B866" i="1"/>
  <c r="G866" i="1" s="1"/>
  <c r="A866" i="1"/>
  <c r="L865" i="1"/>
  <c r="K865" i="1"/>
  <c r="J865" i="1"/>
  <c r="E865" i="1"/>
  <c r="D865" i="1"/>
  <c r="B865" i="1"/>
  <c r="G865" i="1" s="1"/>
  <c r="H865" i="1" s="1"/>
  <c r="I865" i="1" s="1"/>
  <c r="A865" i="1"/>
  <c r="L864" i="1"/>
  <c r="K864" i="1"/>
  <c r="E864" i="1"/>
  <c r="D864" i="1"/>
  <c r="B864" i="1"/>
  <c r="G864" i="1" s="1"/>
  <c r="H864" i="1" s="1"/>
  <c r="I864" i="1" s="1"/>
  <c r="A864" i="1"/>
  <c r="L863" i="1"/>
  <c r="K863" i="1"/>
  <c r="J863" i="1"/>
  <c r="G863" i="1"/>
  <c r="H863" i="1" s="1"/>
  <c r="I863" i="1" s="1"/>
  <c r="E863" i="1"/>
  <c r="D863" i="1"/>
  <c r="B863" i="1"/>
  <c r="A863" i="1"/>
  <c r="L862" i="1"/>
  <c r="K862" i="1"/>
  <c r="J862" i="1"/>
  <c r="E862" i="1"/>
  <c r="D862" i="1"/>
  <c r="B862" i="1"/>
  <c r="G862" i="1" s="1"/>
  <c r="H862" i="1" s="1"/>
  <c r="I862" i="1" s="1"/>
  <c r="A862" i="1"/>
  <c r="L861" i="1"/>
  <c r="K861" i="1"/>
  <c r="J861" i="1"/>
  <c r="E861" i="1"/>
  <c r="D861" i="1"/>
  <c r="B861" i="1"/>
  <c r="G861" i="1" s="1"/>
  <c r="H861" i="1" s="1"/>
  <c r="I861" i="1" s="1"/>
  <c r="A861" i="1"/>
  <c r="L860" i="1"/>
  <c r="K860" i="1"/>
  <c r="E860" i="1"/>
  <c r="D860" i="1"/>
  <c r="B860" i="1"/>
  <c r="G860" i="1" s="1"/>
  <c r="H860" i="1" s="1"/>
  <c r="I860" i="1" s="1"/>
  <c r="A860" i="1"/>
  <c r="L859" i="1"/>
  <c r="K859" i="1"/>
  <c r="J859" i="1"/>
  <c r="G859" i="1"/>
  <c r="H859" i="1" s="1"/>
  <c r="I859" i="1" s="1"/>
  <c r="E859" i="1"/>
  <c r="D859" i="1"/>
  <c r="A859" i="1"/>
  <c r="L858" i="1"/>
  <c r="K858" i="1"/>
  <c r="G858" i="1"/>
  <c r="H858" i="1" s="1"/>
  <c r="I858" i="1" s="1"/>
  <c r="E858" i="1"/>
  <c r="D858" i="1"/>
  <c r="A858" i="1"/>
  <c r="J858" i="1" s="1"/>
  <c r="L857" i="1"/>
  <c r="K857" i="1"/>
  <c r="F857" i="1"/>
  <c r="E857" i="1"/>
  <c r="D857" i="1"/>
  <c r="B857" i="1"/>
  <c r="G857" i="1" s="1"/>
  <c r="H857" i="1" s="1"/>
  <c r="I857" i="1" s="1"/>
  <c r="A857" i="1"/>
  <c r="L856" i="1"/>
  <c r="K856" i="1"/>
  <c r="F856" i="1"/>
  <c r="E856" i="1"/>
  <c r="D856" i="1"/>
  <c r="B856" i="1"/>
  <c r="G856" i="1" s="1"/>
  <c r="H856" i="1" s="1"/>
  <c r="I856" i="1" s="1"/>
  <c r="A856" i="1"/>
  <c r="L855" i="1"/>
  <c r="K855" i="1"/>
  <c r="H855" i="1"/>
  <c r="I855" i="1" s="1"/>
  <c r="G855" i="1"/>
  <c r="F855" i="1"/>
  <c r="E855" i="1"/>
  <c r="D855" i="1"/>
  <c r="B855" i="1"/>
  <c r="A855" i="1"/>
  <c r="L854" i="1"/>
  <c r="K854" i="1"/>
  <c r="I854" i="1"/>
  <c r="F854" i="1"/>
  <c r="E854" i="1"/>
  <c r="D854" i="1"/>
  <c r="B854" i="1"/>
  <c r="G854" i="1" s="1"/>
  <c r="H854" i="1" s="1"/>
  <c r="A854" i="1"/>
  <c r="L853" i="1"/>
  <c r="K853" i="1"/>
  <c r="H853" i="1"/>
  <c r="I853" i="1" s="1"/>
  <c r="G853" i="1"/>
  <c r="F853" i="1"/>
  <c r="E853" i="1"/>
  <c r="D853" i="1"/>
  <c r="B853" i="1"/>
  <c r="A853" i="1"/>
  <c r="L852" i="1"/>
  <c r="K852" i="1"/>
  <c r="F852" i="1"/>
  <c r="E852" i="1"/>
  <c r="D852" i="1"/>
  <c r="B852" i="1"/>
  <c r="G852" i="1" s="1"/>
  <c r="H852" i="1" s="1"/>
  <c r="I852" i="1" s="1"/>
  <c r="A852" i="1"/>
  <c r="L851" i="1"/>
  <c r="K851" i="1"/>
  <c r="F851" i="1"/>
  <c r="E851" i="1"/>
  <c r="D851" i="1"/>
  <c r="B851" i="1"/>
  <c r="G851" i="1" s="1"/>
  <c r="H851" i="1" s="1"/>
  <c r="I851" i="1" s="1"/>
  <c r="A851" i="1"/>
  <c r="J857" i="1" s="1"/>
  <c r="L850" i="1"/>
  <c r="K850" i="1"/>
  <c r="J850" i="1"/>
  <c r="G850" i="1"/>
  <c r="F850" i="1"/>
  <c r="E850" i="1"/>
  <c r="D850" i="1"/>
  <c r="B850" i="1"/>
  <c r="A850" i="1"/>
  <c r="L849" i="1"/>
  <c r="K849" i="1"/>
  <c r="J849" i="1"/>
  <c r="I849" i="1"/>
  <c r="H849" i="1"/>
  <c r="F849" i="1"/>
  <c r="E849" i="1"/>
  <c r="D849" i="1"/>
  <c r="B849" i="1"/>
  <c r="G849" i="1" s="1"/>
  <c r="A849" i="1"/>
  <c r="L848" i="1"/>
  <c r="K848" i="1"/>
  <c r="G848" i="1"/>
  <c r="H848" i="1" s="1"/>
  <c r="I848" i="1" s="1"/>
  <c r="F848" i="1"/>
  <c r="E848" i="1"/>
  <c r="D848" i="1"/>
  <c r="B848" i="1"/>
  <c r="A848" i="1"/>
  <c r="L847" i="1"/>
  <c r="K847" i="1"/>
  <c r="J847" i="1"/>
  <c r="G847" i="1"/>
  <c r="H847" i="1" s="1"/>
  <c r="I847" i="1" s="1"/>
  <c r="F847" i="1"/>
  <c r="E847" i="1"/>
  <c r="D847" i="1"/>
  <c r="B847" i="1"/>
  <c r="A847" i="1"/>
  <c r="L846" i="1"/>
  <c r="K846" i="1"/>
  <c r="J846" i="1"/>
  <c r="F846" i="1"/>
  <c r="E846" i="1"/>
  <c r="D846" i="1"/>
  <c r="B846" i="1"/>
  <c r="G846" i="1" s="1"/>
  <c r="H846" i="1" s="1"/>
  <c r="I846" i="1" s="1"/>
  <c r="A846" i="1"/>
  <c r="L845" i="1"/>
  <c r="K845" i="1"/>
  <c r="G845" i="1"/>
  <c r="F845" i="1"/>
  <c r="H845" i="1" s="1"/>
  <c r="I845" i="1" s="1"/>
  <c r="E845" i="1"/>
  <c r="D845" i="1"/>
  <c r="B845" i="1"/>
  <c r="A845" i="1"/>
  <c r="L844" i="1"/>
  <c r="K844" i="1"/>
  <c r="F844" i="1"/>
  <c r="E844" i="1"/>
  <c r="D844" i="1"/>
  <c r="B844" i="1"/>
  <c r="G844" i="1" s="1"/>
  <c r="H844" i="1" s="1"/>
  <c r="I844" i="1" s="1"/>
  <c r="A844" i="1"/>
  <c r="J844" i="1" s="1"/>
  <c r="L843" i="1"/>
  <c r="K843" i="1"/>
  <c r="J843" i="1"/>
  <c r="F843" i="1"/>
  <c r="E843" i="1"/>
  <c r="D843" i="1"/>
  <c r="B843" i="1"/>
  <c r="G843" i="1" s="1"/>
  <c r="H843" i="1" s="1"/>
  <c r="I843" i="1" s="1"/>
  <c r="A843" i="1"/>
  <c r="L842" i="1"/>
  <c r="K842" i="1"/>
  <c r="J842" i="1"/>
  <c r="G842" i="1"/>
  <c r="F842" i="1"/>
  <c r="E842" i="1"/>
  <c r="D842" i="1"/>
  <c r="B842" i="1"/>
  <c r="A842" i="1"/>
  <c r="L841" i="1"/>
  <c r="K841" i="1"/>
  <c r="J841" i="1"/>
  <c r="H841" i="1"/>
  <c r="I841" i="1" s="1"/>
  <c r="F841" i="1"/>
  <c r="E841" i="1"/>
  <c r="D841" i="1"/>
  <c r="B841" i="1"/>
  <c r="G841" i="1" s="1"/>
  <c r="A841" i="1"/>
  <c r="L840" i="1"/>
  <c r="K840" i="1"/>
  <c r="G840" i="1"/>
  <c r="H840" i="1" s="1"/>
  <c r="I840" i="1" s="1"/>
  <c r="F840" i="1"/>
  <c r="E840" i="1"/>
  <c r="D840" i="1"/>
  <c r="B840" i="1"/>
  <c r="A840" i="1"/>
  <c r="L839" i="1"/>
  <c r="K839" i="1"/>
  <c r="J839" i="1"/>
  <c r="G839" i="1"/>
  <c r="H839" i="1" s="1"/>
  <c r="I839" i="1" s="1"/>
  <c r="F839" i="1"/>
  <c r="E839" i="1"/>
  <c r="D839" i="1"/>
  <c r="B839" i="1"/>
  <c r="A839" i="1"/>
  <c r="L838" i="1"/>
  <c r="K838" i="1"/>
  <c r="J838" i="1"/>
  <c r="F838" i="1"/>
  <c r="E838" i="1"/>
  <c r="D838" i="1"/>
  <c r="B838" i="1"/>
  <c r="G838" i="1" s="1"/>
  <c r="H838" i="1" s="1"/>
  <c r="I838" i="1" s="1"/>
  <c r="A838" i="1"/>
  <c r="L837" i="1"/>
  <c r="K837" i="1"/>
  <c r="G837" i="1"/>
  <c r="F837" i="1"/>
  <c r="H837" i="1" s="1"/>
  <c r="I837" i="1" s="1"/>
  <c r="E837" i="1"/>
  <c r="D837" i="1"/>
  <c r="B837" i="1"/>
  <c r="A837" i="1"/>
  <c r="J840" i="1" s="1"/>
  <c r="L836" i="1"/>
  <c r="K836" i="1"/>
  <c r="H836" i="1"/>
  <c r="I836" i="1" s="1"/>
  <c r="G836" i="1"/>
  <c r="F836" i="1"/>
  <c r="E836" i="1"/>
  <c r="D836" i="1"/>
  <c r="B836" i="1"/>
  <c r="A836" i="1"/>
  <c r="L835" i="1"/>
  <c r="K835" i="1"/>
  <c r="J835" i="1"/>
  <c r="F835" i="1"/>
  <c r="E835" i="1"/>
  <c r="D835" i="1"/>
  <c r="B835" i="1"/>
  <c r="G835" i="1" s="1"/>
  <c r="A835" i="1"/>
  <c r="L834" i="1"/>
  <c r="K834" i="1"/>
  <c r="G834" i="1"/>
  <c r="F834" i="1"/>
  <c r="E834" i="1"/>
  <c r="D834" i="1"/>
  <c r="B834" i="1"/>
  <c r="A834" i="1"/>
  <c r="L833" i="1"/>
  <c r="K833" i="1"/>
  <c r="J833" i="1"/>
  <c r="F833" i="1"/>
  <c r="E833" i="1"/>
  <c r="D833" i="1"/>
  <c r="B833" i="1"/>
  <c r="G833" i="1" s="1"/>
  <c r="H833" i="1" s="1"/>
  <c r="I833" i="1" s="1"/>
  <c r="A833" i="1"/>
  <c r="L832" i="1"/>
  <c r="K832" i="1"/>
  <c r="F832" i="1"/>
  <c r="E832" i="1"/>
  <c r="D832" i="1"/>
  <c r="B832" i="1"/>
  <c r="G832" i="1" s="1"/>
  <c r="H832" i="1" s="1"/>
  <c r="I832" i="1" s="1"/>
  <c r="A832" i="1"/>
  <c r="L831" i="1"/>
  <c r="K831" i="1"/>
  <c r="G831" i="1"/>
  <c r="H831" i="1" s="1"/>
  <c r="I831" i="1" s="1"/>
  <c r="F831" i="1"/>
  <c r="E831" i="1"/>
  <c r="D831" i="1"/>
  <c r="B831" i="1"/>
  <c r="A831" i="1"/>
  <c r="L830" i="1"/>
  <c r="K830" i="1"/>
  <c r="J830" i="1"/>
  <c r="F830" i="1"/>
  <c r="E830" i="1"/>
  <c r="D830" i="1"/>
  <c r="B830" i="1"/>
  <c r="G830" i="1" s="1"/>
  <c r="H830" i="1" s="1"/>
  <c r="I830" i="1" s="1"/>
  <c r="A830" i="1"/>
  <c r="L829" i="1"/>
  <c r="K829" i="1"/>
  <c r="G829" i="1"/>
  <c r="F829" i="1"/>
  <c r="H829" i="1" s="1"/>
  <c r="I829" i="1" s="1"/>
  <c r="E829" i="1"/>
  <c r="D829" i="1"/>
  <c r="B829" i="1"/>
  <c r="A829" i="1"/>
  <c r="L828" i="1"/>
  <c r="K828" i="1"/>
  <c r="G828" i="1"/>
  <c r="H828" i="1" s="1"/>
  <c r="I828" i="1" s="1"/>
  <c r="F828" i="1"/>
  <c r="E828" i="1"/>
  <c r="D828" i="1"/>
  <c r="B828" i="1"/>
  <c r="A828" i="1"/>
  <c r="L827" i="1"/>
  <c r="K827" i="1"/>
  <c r="J827" i="1"/>
  <c r="F827" i="1"/>
  <c r="E827" i="1"/>
  <c r="D827" i="1"/>
  <c r="B827" i="1"/>
  <c r="G827" i="1" s="1"/>
  <c r="A827" i="1"/>
  <c r="L826" i="1"/>
  <c r="K826" i="1"/>
  <c r="G826" i="1"/>
  <c r="H826" i="1" s="1"/>
  <c r="I826" i="1" s="1"/>
  <c r="F826" i="1"/>
  <c r="E826" i="1"/>
  <c r="D826" i="1"/>
  <c r="B826" i="1"/>
  <c r="A826" i="1"/>
  <c r="L825" i="1"/>
  <c r="K825" i="1"/>
  <c r="J825" i="1"/>
  <c r="F825" i="1"/>
  <c r="E825" i="1"/>
  <c r="D825" i="1"/>
  <c r="B825" i="1"/>
  <c r="G825" i="1" s="1"/>
  <c r="H825" i="1" s="1"/>
  <c r="I825" i="1" s="1"/>
  <c r="A825" i="1"/>
  <c r="L824" i="1"/>
  <c r="K824" i="1"/>
  <c r="F824" i="1"/>
  <c r="E824" i="1"/>
  <c r="D824" i="1"/>
  <c r="B824" i="1"/>
  <c r="G824" i="1" s="1"/>
  <c r="H824" i="1" s="1"/>
  <c r="I824" i="1" s="1"/>
  <c r="A824" i="1"/>
  <c r="L823" i="1"/>
  <c r="K823" i="1"/>
  <c r="J823" i="1"/>
  <c r="G823" i="1"/>
  <c r="H823" i="1" s="1"/>
  <c r="I823" i="1" s="1"/>
  <c r="F823" i="1"/>
  <c r="E823" i="1"/>
  <c r="D823" i="1"/>
  <c r="B823" i="1"/>
  <c r="A823" i="1"/>
  <c r="L822" i="1"/>
  <c r="K822" i="1"/>
  <c r="J822" i="1"/>
  <c r="I822" i="1"/>
  <c r="F822" i="1"/>
  <c r="E822" i="1"/>
  <c r="D822" i="1"/>
  <c r="B822" i="1"/>
  <c r="G822" i="1" s="1"/>
  <c r="H822" i="1" s="1"/>
  <c r="A822" i="1"/>
  <c r="L821" i="1"/>
  <c r="K821" i="1"/>
  <c r="G821" i="1"/>
  <c r="F821" i="1"/>
  <c r="H821" i="1" s="1"/>
  <c r="I821" i="1" s="1"/>
  <c r="E821" i="1"/>
  <c r="D821" i="1"/>
  <c r="B821" i="1"/>
  <c r="A821" i="1"/>
  <c r="L820" i="1"/>
  <c r="K820" i="1"/>
  <c r="J820" i="1"/>
  <c r="F820" i="1"/>
  <c r="E820" i="1"/>
  <c r="D820" i="1"/>
  <c r="B820" i="1"/>
  <c r="G820" i="1" s="1"/>
  <c r="H820" i="1" s="1"/>
  <c r="I820" i="1" s="1"/>
  <c r="A820" i="1"/>
  <c r="L819" i="1"/>
  <c r="K819" i="1"/>
  <c r="J819" i="1"/>
  <c r="F819" i="1"/>
  <c r="E819" i="1"/>
  <c r="D819" i="1"/>
  <c r="B819" i="1"/>
  <c r="G819" i="1" s="1"/>
  <c r="H819" i="1" s="1"/>
  <c r="I819" i="1" s="1"/>
  <c r="A819" i="1"/>
  <c r="L818" i="1"/>
  <c r="K818" i="1"/>
  <c r="J818" i="1"/>
  <c r="G818" i="1"/>
  <c r="F818" i="1"/>
  <c r="E818" i="1"/>
  <c r="D818" i="1"/>
  <c r="B818" i="1"/>
  <c r="A818" i="1"/>
  <c r="L817" i="1"/>
  <c r="K817" i="1"/>
  <c r="J817" i="1"/>
  <c r="I817" i="1"/>
  <c r="H817" i="1"/>
  <c r="F817" i="1"/>
  <c r="E817" i="1"/>
  <c r="D817" i="1"/>
  <c r="B817" i="1"/>
  <c r="G817" i="1" s="1"/>
  <c r="A817" i="1"/>
  <c r="L816" i="1"/>
  <c r="K816" i="1"/>
  <c r="G816" i="1"/>
  <c r="H816" i="1" s="1"/>
  <c r="I816" i="1" s="1"/>
  <c r="F816" i="1"/>
  <c r="E816" i="1"/>
  <c r="D816" i="1"/>
  <c r="B816" i="1"/>
  <c r="A816" i="1"/>
  <c r="J816" i="1" s="1"/>
  <c r="L815" i="1"/>
  <c r="K815" i="1"/>
  <c r="F815" i="1"/>
  <c r="E815" i="1"/>
  <c r="D815" i="1"/>
  <c r="B815" i="1"/>
  <c r="G815" i="1" s="1"/>
  <c r="H815" i="1" s="1"/>
  <c r="I815" i="1" s="1"/>
  <c r="A815" i="1"/>
  <c r="L814" i="1"/>
  <c r="K814" i="1"/>
  <c r="F814" i="1"/>
  <c r="E814" i="1"/>
  <c r="D814" i="1"/>
  <c r="B814" i="1"/>
  <c r="G814" i="1" s="1"/>
  <c r="H814" i="1" s="1"/>
  <c r="I814" i="1" s="1"/>
  <c r="A814" i="1"/>
  <c r="L813" i="1"/>
  <c r="K813" i="1"/>
  <c r="G813" i="1"/>
  <c r="F813" i="1"/>
  <c r="H813" i="1" s="1"/>
  <c r="I813" i="1" s="1"/>
  <c r="E813" i="1"/>
  <c r="D813" i="1"/>
  <c r="B813" i="1"/>
  <c r="A813" i="1"/>
  <c r="L812" i="1"/>
  <c r="K812" i="1"/>
  <c r="I812" i="1"/>
  <c r="H812" i="1"/>
  <c r="G812" i="1"/>
  <c r="F812" i="1"/>
  <c r="E812" i="1"/>
  <c r="D812" i="1"/>
  <c r="B812" i="1"/>
  <c r="A812" i="1"/>
  <c r="L811" i="1"/>
  <c r="K811" i="1"/>
  <c r="G811" i="1"/>
  <c r="F811" i="1"/>
  <c r="E811" i="1"/>
  <c r="D811" i="1"/>
  <c r="B811" i="1"/>
  <c r="A811" i="1"/>
  <c r="L810" i="1"/>
  <c r="K810" i="1"/>
  <c r="G810" i="1"/>
  <c r="F810" i="1"/>
  <c r="E810" i="1"/>
  <c r="D810" i="1"/>
  <c r="B810" i="1"/>
  <c r="A810" i="1"/>
  <c r="L809" i="1"/>
  <c r="K809" i="1"/>
  <c r="F809" i="1"/>
  <c r="E809" i="1"/>
  <c r="D809" i="1"/>
  <c r="B809" i="1"/>
  <c r="G809" i="1" s="1"/>
  <c r="H809" i="1" s="1"/>
  <c r="I809" i="1" s="1"/>
  <c r="A809" i="1"/>
  <c r="J814" i="1" s="1"/>
  <c r="L808" i="1"/>
  <c r="K808" i="1"/>
  <c r="F808" i="1"/>
  <c r="E808" i="1"/>
  <c r="D808" i="1"/>
  <c r="B808" i="1"/>
  <c r="G808" i="1" s="1"/>
  <c r="H808" i="1" s="1"/>
  <c r="I808" i="1" s="1"/>
  <c r="A808" i="1"/>
  <c r="L807" i="1"/>
  <c r="K807" i="1"/>
  <c r="J807" i="1"/>
  <c r="H807" i="1"/>
  <c r="I807" i="1" s="1"/>
  <c r="G807" i="1"/>
  <c r="F807" i="1"/>
  <c r="E807" i="1"/>
  <c r="D807" i="1"/>
  <c r="B807" i="1"/>
  <c r="A807" i="1"/>
  <c r="L806" i="1"/>
  <c r="K806" i="1"/>
  <c r="J806" i="1"/>
  <c r="F806" i="1"/>
  <c r="E806" i="1"/>
  <c r="D806" i="1"/>
  <c r="B806" i="1"/>
  <c r="G806" i="1" s="1"/>
  <c r="A806" i="1"/>
  <c r="L805" i="1"/>
  <c r="K805" i="1"/>
  <c r="H805" i="1"/>
  <c r="I805" i="1" s="1"/>
  <c r="G805" i="1"/>
  <c r="F805" i="1"/>
  <c r="E805" i="1"/>
  <c r="D805" i="1"/>
  <c r="B805" i="1"/>
  <c r="A805" i="1"/>
  <c r="L804" i="1"/>
  <c r="K804" i="1"/>
  <c r="F804" i="1"/>
  <c r="E804" i="1"/>
  <c r="D804" i="1"/>
  <c r="B804" i="1"/>
  <c r="G804" i="1" s="1"/>
  <c r="H804" i="1" s="1"/>
  <c r="I804" i="1" s="1"/>
  <c r="A804" i="1"/>
  <c r="L803" i="1"/>
  <c r="K803" i="1"/>
  <c r="F803" i="1"/>
  <c r="E803" i="1"/>
  <c r="D803" i="1"/>
  <c r="B803" i="1"/>
  <c r="G803" i="1" s="1"/>
  <c r="H803" i="1" s="1"/>
  <c r="I803" i="1" s="1"/>
  <c r="A803" i="1"/>
  <c r="L802" i="1"/>
  <c r="K802" i="1"/>
  <c r="J802" i="1"/>
  <c r="G802" i="1"/>
  <c r="F802" i="1"/>
  <c r="E802" i="1"/>
  <c r="D802" i="1"/>
  <c r="B802" i="1"/>
  <c r="A802" i="1"/>
  <c r="L801" i="1"/>
  <c r="K801" i="1"/>
  <c r="H801" i="1"/>
  <c r="I801" i="1" s="1"/>
  <c r="G801" i="1"/>
  <c r="E801" i="1"/>
  <c r="D801" i="1"/>
  <c r="A801" i="1"/>
  <c r="L800" i="1"/>
  <c r="K800" i="1"/>
  <c r="I800" i="1"/>
  <c r="G800" i="1"/>
  <c r="H800" i="1" s="1"/>
  <c r="E800" i="1"/>
  <c r="D800" i="1"/>
  <c r="A800" i="1"/>
  <c r="L799" i="1"/>
  <c r="K799" i="1"/>
  <c r="G799" i="1"/>
  <c r="H799" i="1" s="1"/>
  <c r="I799" i="1" s="1"/>
  <c r="E799" i="1"/>
  <c r="D799" i="1"/>
  <c r="A799" i="1"/>
  <c r="L798" i="1"/>
  <c r="K798" i="1"/>
  <c r="G798" i="1"/>
  <c r="H798" i="1" s="1"/>
  <c r="I798" i="1" s="1"/>
  <c r="E798" i="1"/>
  <c r="D798" i="1"/>
  <c r="B798" i="1"/>
  <c r="A798" i="1"/>
  <c r="L797" i="1"/>
  <c r="K797" i="1"/>
  <c r="G797" i="1"/>
  <c r="H797" i="1" s="1"/>
  <c r="I797" i="1" s="1"/>
  <c r="E797" i="1"/>
  <c r="D797" i="1"/>
  <c r="B797" i="1"/>
  <c r="A797" i="1"/>
  <c r="L796" i="1"/>
  <c r="K796" i="1"/>
  <c r="E796" i="1"/>
  <c r="D796" i="1"/>
  <c r="B796" i="1"/>
  <c r="G796" i="1" s="1"/>
  <c r="H796" i="1" s="1"/>
  <c r="I796" i="1" s="1"/>
  <c r="A796" i="1"/>
  <c r="L795" i="1"/>
  <c r="K795" i="1"/>
  <c r="J795" i="1"/>
  <c r="E795" i="1"/>
  <c r="D795" i="1"/>
  <c r="B795" i="1"/>
  <c r="G795" i="1" s="1"/>
  <c r="H795" i="1" s="1"/>
  <c r="I795" i="1" s="1"/>
  <c r="A795" i="1"/>
  <c r="J801" i="1" s="1"/>
  <c r="L794" i="1"/>
  <c r="K794" i="1"/>
  <c r="E794" i="1"/>
  <c r="D794" i="1"/>
  <c r="B794" i="1"/>
  <c r="G794" i="1" s="1"/>
  <c r="H794" i="1" s="1"/>
  <c r="I794" i="1" s="1"/>
  <c r="A794" i="1"/>
  <c r="L793" i="1"/>
  <c r="K793" i="1"/>
  <c r="J793" i="1"/>
  <c r="G793" i="1"/>
  <c r="H793" i="1" s="1"/>
  <c r="I793" i="1" s="1"/>
  <c r="E793" i="1"/>
  <c r="D793" i="1"/>
  <c r="B793" i="1"/>
  <c r="A793" i="1"/>
  <c r="L792" i="1"/>
  <c r="K792" i="1"/>
  <c r="E792" i="1"/>
  <c r="D792" i="1"/>
  <c r="B792" i="1"/>
  <c r="G792" i="1" s="1"/>
  <c r="H792" i="1" s="1"/>
  <c r="I792" i="1" s="1"/>
  <c r="A792" i="1"/>
  <c r="L791" i="1"/>
  <c r="K791" i="1"/>
  <c r="J791" i="1"/>
  <c r="E791" i="1"/>
  <c r="D791" i="1"/>
  <c r="B791" i="1"/>
  <c r="G791" i="1" s="1"/>
  <c r="H791" i="1" s="1"/>
  <c r="I791" i="1" s="1"/>
  <c r="A791" i="1"/>
  <c r="L790" i="1"/>
  <c r="K790" i="1"/>
  <c r="E790" i="1"/>
  <c r="D790" i="1"/>
  <c r="B790" i="1"/>
  <c r="G790" i="1" s="1"/>
  <c r="H790" i="1" s="1"/>
  <c r="I790" i="1" s="1"/>
  <c r="A790" i="1"/>
  <c r="L789" i="1"/>
  <c r="K789" i="1"/>
  <c r="J789" i="1"/>
  <c r="G789" i="1"/>
  <c r="H789" i="1" s="1"/>
  <c r="I789" i="1" s="1"/>
  <c r="E789" i="1"/>
  <c r="D789" i="1"/>
  <c r="B789" i="1"/>
  <c r="A789" i="1"/>
  <c r="L788" i="1"/>
  <c r="K788" i="1"/>
  <c r="E788" i="1"/>
  <c r="D788" i="1"/>
  <c r="B788" i="1"/>
  <c r="G788" i="1" s="1"/>
  <c r="H788" i="1" s="1"/>
  <c r="I788" i="1" s="1"/>
  <c r="A788" i="1"/>
  <c r="L787" i="1"/>
  <c r="K787" i="1"/>
  <c r="J787" i="1"/>
  <c r="E787" i="1"/>
  <c r="D787" i="1"/>
  <c r="B787" i="1"/>
  <c r="G787" i="1" s="1"/>
  <c r="H787" i="1" s="1"/>
  <c r="I787" i="1" s="1"/>
  <c r="A787" i="1"/>
  <c r="L786" i="1"/>
  <c r="K786" i="1"/>
  <c r="E786" i="1"/>
  <c r="D786" i="1"/>
  <c r="B786" i="1"/>
  <c r="G786" i="1" s="1"/>
  <c r="H786" i="1" s="1"/>
  <c r="I786" i="1" s="1"/>
  <c r="A786" i="1"/>
  <c r="L785" i="1"/>
  <c r="K785" i="1"/>
  <c r="J785" i="1"/>
  <c r="I785" i="1"/>
  <c r="G785" i="1"/>
  <c r="H785" i="1" s="1"/>
  <c r="E785" i="1"/>
  <c r="D785" i="1"/>
  <c r="B785" i="1"/>
  <c r="A785" i="1"/>
  <c r="L784" i="1"/>
  <c r="K784" i="1"/>
  <c r="J784" i="1"/>
  <c r="G784" i="1"/>
  <c r="H784" i="1" s="1"/>
  <c r="I784" i="1" s="1"/>
  <c r="E784" i="1"/>
  <c r="D784" i="1"/>
  <c r="B784" i="1"/>
  <c r="A784" i="1"/>
  <c r="L783" i="1"/>
  <c r="K783" i="1"/>
  <c r="J783" i="1"/>
  <c r="I783" i="1"/>
  <c r="E783" i="1"/>
  <c r="D783" i="1"/>
  <c r="B783" i="1"/>
  <c r="G783" i="1" s="1"/>
  <c r="H783" i="1" s="1"/>
  <c r="A783" i="1"/>
  <c r="L782" i="1"/>
  <c r="K782" i="1"/>
  <c r="J782" i="1"/>
  <c r="E782" i="1"/>
  <c r="D782" i="1"/>
  <c r="B782" i="1"/>
  <c r="G782" i="1" s="1"/>
  <c r="H782" i="1" s="1"/>
  <c r="I782" i="1" s="1"/>
  <c r="A782" i="1"/>
  <c r="L781" i="1"/>
  <c r="K781" i="1"/>
  <c r="J781" i="1"/>
  <c r="G781" i="1"/>
  <c r="H781" i="1" s="1"/>
  <c r="I781" i="1" s="1"/>
  <c r="E781" i="1"/>
  <c r="D781" i="1"/>
  <c r="B781" i="1"/>
  <c r="A781" i="1"/>
  <c r="J786" i="1" s="1"/>
  <c r="L780" i="1"/>
  <c r="K780" i="1"/>
  <c r="E780" i="1"/>
  <c r="D780" i="1"/>
  <c r="B780" i="1"/>
  <c r="G780" i="1" s="1"/>
  <c r="H780" i="1" s="1"/>
  <c r="I780" i="1" s="1"/>
  <c r="A780" i="1"/>
  <c r="L779" i="1"/>
  <c r="K779" i="1"/>
  <c r="J779" i="1"/>
  <c r="E779" i="1"/>
  <c r="D779" i="1"/>
  <c r="B779" i="1"/>
  <c r="G779" i="1" s="1"/>
  <c r="H779" i="1" s="1"/>
  <c r="I779" i="1" s="1"/>
  <c r="A779" i="1"/>
  <c r="L778" i="1"/>
  <c r="K778" i="1"/>
  <c r="E778" i="1"/>
  <c r="D778" i="1"/>
  <c r="B778" i="1"/>
  <c r="G778" i="1" s="1"/>
  <c r="H778" i="1" s="1"/>
  <c r="I778" i="1" s="1"/>
  <c r="A778" i="1"/>
  <c r="L777" i="1"/>
  <c r="K777" i="1"/>
  <c r="J777" i="1"/>
  <c r="G777" i="1"/>
  <c r="H777" i="1" s="1"/>
  <c r="I777" i="1" s="1"/>
  <c r="E777" i="1"/>
  <c r="D777" i="1"/>
  <c r="B777" i="1"/>
  <c r="A777" i="1"/>
  <c r="L776" i="1"/>
  <c r="K776" i="1"/>
  <c r="E776" i="1"/>
  <c r="D776" i="1"/>
  <c r="B776" i="1"/>
  <c r="G776" i="1" s="1"/>
  <c r="H776" i="1" s="1"/>
  <c r="I776" i="1" s="1"/>
  <c r="A776" i="1"/>
  <c r="L775" i="1"/>
  <c r="K775" i="1"/>
  <c r="J775" i="1"/>
  <c r="E775" i="1"/>
  <c r="D775" i="1"/>
  <c r="B775" i="1"/>
  <c r="G775" i="1" s="1"/>
  <c r="H775" i="1" s="1"/>
  <c r="I775" i="1" s="1"/>
  <c r="A775" i="1"/>
  <c r="L774" i="1"/>
  <c r="K774" i="1"/>
  <c r="E774" i="1"/>
  <c r="D774" i="1"/>
  <c r="B774" i="1"/>
  <c r="G774" i="1" s="1"/>
  <c r="H774" i="1" s="1"/>
  <c r="I774" i="1" s="1"/>
  <c r="A774" i="1"/>
  <c r="L773" i="1"/>
  <c r="K773" i="1"/>
  <c r="J773" i="1"/>
  <c r="I773" i="1"/>
  <c r="G773" i="1"/>
  <c r="H773" i="1" s="1"/>
  <c r="E773" i="1"/>
  <c r="D773" i="1"/>
  <c r="B773" i="1"/>
  <c r="A773" i="1"/>
  <c r="L772" i="1"/>
  <c r="K772" i="1"/>
  <c r="G772" i="1"/>
  <c r="H772" i="1" s="1"/>
  <c r="I772" i="1" s="1"/>
  <c r="E772" i="1"/>
  <c r="D772" i="1"/>
  <c r="B772" i="1"/>
  <c r="A772" i="1"/>
  <c r="L771" i="1"/>
  <c r="K771" i="1"/>
  <c r="J771" i="1"/>
  <c r="I771" i="1"/>
  <c r="E771" i="1"/>
  <c r="D771" i="1"/>
  <c r="B771" i="1"/>
  <c r="G771" i="1" s="1"/>
  <c r="H771" i="1" s="1"/>
  <c r="A771" i="1"/>
  <c r="L770" i="1"/>
  <c r="K770" i="1"/>
  <c r="G770" i="1"/>
  <c r="H770" i="1" s="1"/>
  <c r="I770" i="1" s="1"/>
  <c r="E770" i="1"/>
  <c r="D770" i="1"/>
  <c r="B770" i="1"/>
  <c r="A770" i="1"/>
  <c r="L769" i="1"/>
  <c r="K769" i="1"/>
  <c r="J769" i="1"/>
  <c r="G769" i="1"/>
  <c r="H769" i="1" s="1"/>
  <c r="I769" i="1" s="1"/>
  <c r="E769" i="1"/>
  <c r="D769" i="1"/>
  <c r="A769" i="1"/>
  <c r="L768" i="1"/>
  <c r="K768" i="1"/>
  <c r="J768" i="1"/>
  <c r="G768" i="1"/>
  <c r="H768" i="1" s="1"/>
  <c r="I768" i="1" s="1"/>
  <c r="E768" i="1"/>
  <c r="D768" i="1"/>
  <c r="A768" i="1"/>
  <c r="L767" i="1"/>
  <c r="K767" i="1"/>
  <c r="G767" i="1"/>
  <c r="H767" i="1" s="1"/>
  <c r="I767" i="1" s="1"/>
  <c r="E767" i="1"/>
  <c r="D767" i="1"/>
  <c r="A767" i="1"/>
  <c r="L766" i="1"/>
  <c r="K766" i="1"/>
  <c r="H766" i="1"/>
  <c r="I766" i="1" s="1"/>
  <c r="F766" i="1"/>
  <c r="E766" i="1"/>
  <c r="D766" i="1"/>
  <c r="B766" i="1"/>
  <c r="G766" i="1" s="1"/>
  <c r="A766" i="1"/>
  <c r="L765" i="1"/>
  <c r="K765" i="1"/>
  <c r="F765" i="1"/>
  <c r="E765" i="1"/>
  <c r="D765" i="1"/>
  <c r="B765" i="1"/>
  <c r="G765" i="1" s="1"/>
  <c r="H765" i="1" s="1"/>
  <c r="I765" i="1" s="1"/>
  <c r="A765" i="1"/>
  <c r="L764" i="1"/>
  <c r="K764" i="1"/>
  <c r="F764" i="1"/>
  <c r="E764" i="1"/>
  <c r="D764" i="1"/>
  <c r="B764" i="1"/>
  <c r="G764" i="1" s="1"/>
  <c r="H764" i="1" s="1"/>
  <c r="I764" i="1" s="1"/>
  <c r="A764" i="1"/>
  <c r="L763" i="1"/>
  <c r="K763" i="1"/>
  <c r="F763" i="1"/>
  <c r="E763" i="1"/>
  <c r="D763" i="1"/>
  <c r="B763" i="1"/>
  <c r="G763" i="1" s="1"/>
  <c r="A763" i="1"/>
  <c r="L762" i="1"/>
  <c r="K762" i="1"/>
  <c r="G762" i="1"/>
  <c r="F762" i="1"/>
  <c r="H762" i="1" s="1"/>
  <c r="I762" i="1" s="1"/>
  <c r="E762" i="1"/>
  <c r="D762" i="1"/>
  <c r="B762" i="1"/>
  <c r="A762" i="1"/>
  <c r="L761" i="1"/>
  <c r="K761" i="1"/>
  <c r="F761" i="1"/>
  <c r="E761" i="1"/>
  <c r="D761" i="1"/>
  <c r="B761" i="1"/>
  <c r="G761" i="1" s="1"/>
  <c r="H761" i="1" s="1"/>
  <c r="I761" i="1" s="1"/>
  <c r="A761" i="1"/>
  <c r="L760" i="1"/>
  <c r="K760" i="1"/>
  <c r="F760" i="1"/>
  <c r="E760" i="1"/>
  <c r="D760" i="1"/>
  <c r="B760" i="1"/>
  <c r="G760" i="1" s="1"/>
  <c r="H760" i="1" s="1"/>
  <c r="I760" i="1" s="1"/>
  <c r="A760" i="1"/>
  <c r="J764" i="1" s="1"/>
  <c r="L759" i="1"/>
  <c r="K759" i="1"/>
  <c r="G759" i="1"/>
  <c r="H759" i="1" s="1"/>
  <c r="I759" i="1" s="1"/>
  <c r="F759" i="1"/>
  <c r="E759" i="1"/>
  <c r="D759" i="1"/>
  <c r="B759" i="1"/>
  <c r="A759" i="1"/>
  <c r="L758" i="1"/>
  <c r="K758" i="1"/>
  <c r="J758" i="1"/>
  <c r="H758" i="1"/>
  <c r="I758" i="1" s="1"/>
  <c r="F758" i="1"/>
  <c r="E758" i="1"/>
  <c r="D758" i="1"/>
  <c r="B758" i="1"/>
  <c r="G758" i="1" s="1"/>
  <c r="A758" i="1"/>
  <c r="L757" i="1"/>
  <c r="K757" i="1"/>
  <c r="F757" i="1"/>
  <c r="E757" i="1"/>
  <c r="D757" i="1"/>
  <c r="B757" i="1"/>
  <c r="G757" i="1" s="1"/>
  <c r="H757" i="1" s="1"/>
  <c r="I757" i="1" s="1"/>
  <c r="A757" i="1"/>
  <c r="L756" i="1"/>
  <c r="K756" i="1"/>
  <c r="F756" i="1"/>
  <c r="E756" i="1"/>
  <c r="D756" i="1"/>
  <c r="B756" i="1"/>
  <c r="G756" i="1" s="1"/>
  <c r="H756" i="1" s="1"/>
  <c r="I756" i="1" s="1"/>
  <c r="A756" i="1"/>
  <c r="L755" i="1"/>
  <c r="K755" i="1"/>
  <c r="J755" i="1"/>
  <c r="F755" i="1"/>
  <c r="E755" i="1"/>
  <c r="D755" i="1"/>
  <c r="B755" i="1"/>
  <c r="G755" i="1" s="1"/>
  <c r="A755" i="1"/>
  <c r="L754" i="1"/>
  <c r="K754" i="1"/>
  <c r="G754" i="1"/>
  <c r="F754" i="1"/>
  <c r="H754" i="1" s="1"/>
  <c r="I754" i="1" s="1"/>
  <c r="E754" i="1"/>
  <c r="D754" i="1"/>
  <c r="B754" i="1"/>
  <c r="A754" i="1"/>
  <c r="L753" i="1"/>
  <c r="K753" i="1"/>
  <c r="F753" i="1"/>
  <c r="E753" i="1"/>
  <c r="D753" i="1"/>
  <c r="B753" i="1"/>
  <c r="G753" i="1" s="1"/>
  <c r="H753" i="1" s="1"/>
  <c r="I753" i="1" s="1"/>
  <c r="A753" i="1"/>
  <c r="J756" i="1" s="1"/>
  <c r="L752" i="1"/>
  <c r="K752" i="1"/>
  <c r="J752" i="1"/>
  <c r="F752" i="1"/>
  <c r="E752" i="1"/>
  <c r="D752" i="1"/>
  <c r="B752" i="1"/>
  <c r="G752" i="1" s="1"/>
  <c r="H752" i="1" s="1"/>
  <c r="I752" i="1" s="1"/>
  <c r="A752" i="1"/>
  <c r="L751" i="1"/>
  <c r="K751" i="1"/>
  <c r="J751" i="1"/>
  <c r="G751" i="1"/>
  <c r="H751" i="1" s="1"/>
  <c r="I751" i="1" s="1"/>
  <c r="F751" i="1"/>
  <c r="E751" i="1"/>
  <c r="D751" i="1"/>
  <c r="B751" i="1"/>
  <c r="A751" i="1"/>
  <c r="L750" i="1"/>
  <c r="K750" i="1"/>
  <c r="J750" i="1"/>
  <c r="H750" i="1"/>
  <c r="I750" i="1" s="1"/>
  <c r="F750" i="1"/>
  <c r="E750" i="1"/>
  <c r="D750" i="1"/>
  <c r="B750" i="1"/>
  <c r="G750" i="1" s="1"/>
  <c r="A750" i="1"/>
  <c r="L749" i="1"/>
  <c r="K749" i="1"/>
  <c r="J749" i="1"/>
  <c r="F749" i="1"/>
  <c r="E749" i="1"/>
  <c r="D749" i="1"/>
  <c r="B749" i="1"/>
  <c r="G749" i="1" s="1"/>
  <c r="H749" i="1" s="1"/>
  <c r="I749" i="1" s="1"/>
  <c r="A749" i="1"/>
  <c r="L748" i="1"/>
  <c r="K748" i="1"/>
  <c r="J748" i="1"/>
  <c r="H748" i="1"/>
  <c r="I748" i="1" s="1"/>
  <c r="G748" i="1"/>
  <c r="F748" i="1"/>
  <c r="E748" i="1"/>
  <c r="D748" i="1"/>
  <c r="B748" i="1"/>
  <c r="A748" i="1"/>
  <c r="L747" i="1"/>
  <c r="K747" i="1"/>
  <c r="J747" i="1"/>
  <c r="F747" i="1"/>
  <c r="E747" i="1"/>
  <c r="D747" i="1"/>
  <c r="B747" i="1"/>
  <c r="G747" i="1" s="1"/>
  <c r="A747" i="1"/>
  <c r="L746" i="1"/>
  <c r="K746" i="1"/>
  <c r="G746" i="1"/>
  <c r="H746" i="1" s="1"/>
  <c r="I746" i="1" s="1"/>
  <c r="F746" i="1"/>
  <c r="E746" i="1"/>
  <c r="D746" i="1"/>
  <c r="B746" i="1"/>
  <c r="A746" i="1"/>
  <c r="J746" i="1" s="1"/>
  <c r="L745" i="1"/>
  <c r="K745" i="1"/>
  <c r="J745" i="1"/>
  <c r="F745" i="1"/>
  <c r="E745" i="1"/>
  <c r="D745" i="1"/>
  <c r="B745" i="1"/>
  <c r="G745" i="1" s="1"/>
  <c r="H745" i="1" s="1"/>
  <c r="I745" i="1" s="1"/>
  <c r="A745" i="1"/>
  <c r="L744" i="1"/>
  <c r="K744" i="1"/>
  <c r="F744" i="1"/>
  <c r="E744" i="1"/>
  <c r="D744" i="1"/>
  <c r="B744" i="1"/>
  <c r="G744" i="1" s="1"/>
  <c r="H744" i="1" s="1"/>
  <c r="I744" i="1" s="1"/>
  <c r="A744" i="1"/>
  <c r="L743" i="1"/>
  <c r="K743" i="1"/>
  <c r="J743" i="1"/>
  <c r="G743" i="1"/>
  <c r="F743" i="1"/>
  <c r="H743" i="1" s="1"/>
  <c r="I743" i="1" s="1"/>
  <c r="E743" i="1"/>
  <c r="D743" i="1"/>
  <c r="B743" i="1"/>
  <c r="A743" i="1"/>
  <c r="L742" i="1"/>
  <c r="K742" i="1"/>
  <c r="J742" i="1"/>
  <c r="F742" i="1"/>
  <c r="E742" i="1"/>
  <c r="D742" i="1"/>
  <c r="B742" i="1"/>
  <c r="G742" i="1" s="1"/>
  <c r="H742" i="1" s="1"/>
  <c r="I742" i="1" s="1"/>
  <c r="A742" i="1"/>
  <c r="L741" i="1"/>
  <c r="K741" i="1"/>
  <c r="F741" i="1"/>
  <c r="E741" i="1"/>
  <c r="D741" i="1"/>
  <c r="B741" i="1"/>
  <c r="G741" i="1" s="1"/>
  <c r="H741" i="1" s="1"/>
  <c r="I741" i="1" s="1"/>
  <c r="A741" i="1"/>
  <c r="L740" i="1"/>
  <c r="K740" i="1"/>
  <c r="J740" i="1"/>
  <c r="H740" i="1"/>
  <c r="I740" i="1" s="1"/>
  <c r="G740" i="1"/>
  <c r="F740" i="1"/>
  <c r="E740" i="1"/>
  <c r="D740" i="1"/>
  <c r="B740" i="1"/>
  <c r="A740" i="1"/>
  <c r="L739" i="1"/>
  <c r="K739" i="1"/>
  <c r="J739" i="1"/>
  <c r="F739" i="1"/>
  <c r="E739" i="1"/>
  <c r="D739" i="1"/>
  <c r="B739" i="1"/>
  <c r="G739" i="1" s="1"/>
  <c r="A739" i="1"/>
  <c r="J741" i="1" s="1"/>
  <c r="L738" i="1"/>
  <c r="K738" i="1"/>
  <c r="G738" i="1"/>
  <c r="H738" i="1" s="1"/>
  <c r="I738" i="1" s="1"/>
  <c r="F738" i="1"/>
  <c r="E738" i="1"/>
  <c r="D738" i="1"/>
  <c r="B738" i="1"/>
  <c r="A738" i="1"/>
  <c r="L737" i="1"/>
  <c r="K737" i="1"/>
  <c r="J737" i="1"/>
  <c r="F737" i="1"/>
  <c r="E737" i="1"/>
  <c r="D737" i="1"/>
  <c r="B737" i="1"/>
  <c r="G737" i="1" s="1"/>
  <c r="H737" i="1" s="1"/>
  <c r="I737" i="1" s="1"/>
  <c r="A737" i="1"/>
  <c r="L736" i="1"/>
  <c r="K736" i="1"/>
  <c r="F736" i="1"/>
  <c r="E736" i="1"/>
  <c r="D736" i="1"/>
  <c r="B736" i="1"/>
  <c r="G736" i="1" s="1"/>
  <c r="H736" i="1" s="1"/>
  <c r="I736" i="1" s="1"/>
  <c r="A736" i="1"/>
  <c r="L735" i="1"/>
  <c r="K735" i="1"/>
  <c r="J735" i="1"/>
  <c r="G735" i="1"/>
  <c r="F735" i="1"/>
  <c r="H735" i="1" s="1"/>
  <c r="I735" i="1" s="1"/>
  <c r="E735" i="1"/>
  <c r="D735" i="1"/>
  <c r="B735" i="1"/>
  <c r="A735" i="1"/>
  <c r="L734" i="1"/>
  <c r="K734" i="1"/>
  <c r="J734" i="1"/>
  <c r="F734" i="1"/>
  <c r="E734" i="1"/>
  <c r="D734" i="1"/>
  <c r="B734" i="1"/>
  <c r="G734" i="1" s="1"/>
  <c r="H734" i="1" s="1"/>
  <c r="I734" i="1" s="1"/>
  <c r="A734" i="1"/>
  <c r="L733" i="1"/>
  <c r="K733" i="1"/>
  <c r="F733" i="1"/>
  <c r="E733" i="1"/>
  <c r="D733" i="1"/>
  <c r="B733" i="1"/>
  <c r="G733" i="1" s="1"/>
  <c r="H733" i="1" s="1"/>
  <c r="I733" i="1" s="1"/>
  <c r="A733" i="1"/>
  <c r="L732" i="1"/>
  <c r="K732" i="1"/>
  <c r="H732" i="1"/>
  <c r="I732" i="1" s="1"/>
  <c r="G732" i="1"/>
  <c r="F732" i="1"/>
  <c r="E732" i="1"/>
  <c r="D732" i="1"/>
  <c r="B732" i="1"/>
  <c r="A732" i="1"/>
  <c r="L731" i="1"/>
  <c r="K731" i="1"/>
  <c r="J731" i="1"/>
  <c r="F731" i="1"/>
  <c r="E731" i="1"/>
  <c r="D731" i="1"/>
  <c r="B731" i="1"/>
  <c r="G731" i="1" s="1"/>
  <c r="A731" i="1"/>
  <c r="L730" i="1"/>
  <c r="K730" i="1"/>
  <c r="G730" i="1"/>
  <c r="H730" i="1" s="1"/>
  <c r="I730" i="1" s="1"/>
  <c r="F730" i="1"/>
  <c r="E730" i="1"/>
  <c r="D730" i="1"/>
  <c r="B730" i="1"/>
  <c r="A730" i="1"/>
  <c r="L729" i="1"/>
  <c r="K729" i="1"/>
  <c r="J729" i="1"/>
  <c r="F729" i="1"/>
  <c r="E729" i="1"/>
  <c r="D729" i="1"/>
  <c r="B729" i="1"/>
  <c r="G729" i="1" s="1"/>
  <c r="H729" i="1" s="1"/>
  <c r="I729" i="1" s="1"/>
  <c r="A729" i="1"/>
  <c r="L728" i="1"/>
  <c r="K728" i="1"/>
  <c r="J728" i="1"/>
  <c r="F728" i="1"/>
  <c r="E728" i="1"/>
  <c r="D728" i="1"/>
  <c r="B728" i="1"/>
  <c r="G728" i="1" s="1"/>
  <c r="H728" i="1" s="1"/>
  <c r="I728" i="1" s="1"/>
  <c r="A728" i="1"/>
  <c r="L727" i="1"/>
  <c r="K727" i="1"/>
  <c r="J727" i="1"/>
  <c r="G727" i="1"/>
  <c r="F727" i="1"/>
  <c r="H727" i="1" s="1"/>
  <c r="I727" i="1" s="1"/>
  <c r="E727" i="1"/>
  <c r="D727" i="1"/>
  <c r="B727" i="1"/>
  <c r="A727" i="1"/>
  <c r="L726" i="1"/>
  <c r="K726" i="1"/>
  <c r="J726" i="1"/>
  <c r="F726" i="1"/>
  <c r="E726" i="1"/>
  <c r="D726" i="1"/>
  <c r="B726" i="1"/>
  <c r="G726" i="1" s="1"/>
  <c r="H726" i="1" s="1"/>
  <c r="I726" i="1" s="1"/>
  <c r="A726" i="1"/>
  <c r="L725" i="1"/>
  <c r="K725" i="1"/>
  <c r="F725" i="1"/>
  <c r="E725" i="1"/>
  <c r="D725" i="1"/>
  <c r="B725" i="1"/>
  <c r="G725" i="1" s="1"/>
  <c r="H725" i="1" s="1"/>
  <c r="I725" i="1" s="1"/>
  <c r="A725" i="1"/>
  <c r="J725" i="1" s="1"/>
  <c r="L724" i="1"/>
  <c r="K724" i="1"/>
  <c r="H724" i="1"/>
  <c r="I724" i="1" s="1"/>
  <c r="G724" i="1"/>
  <c r="F724" i="1"/>
  <c r="E724" i="1"/>
  <c r="D724" i="1"/>
  <c r="B724" i="1"/>
  <c r="A724" i="1"/>
  <c r="L723" i="1"/>
  <c r="K723" i="1"/>
  <c r="J723" i="1"/>
  <c r="F723" i="1"/>
  <c r="E723" i="1"/>
  <c r="D723" i="1"/>
  <c r="B723" i="1"/>
  <c r="G723" i="1" s="1"/>
  <c r="A723" i="1"/>
  <c r="L722" i="1"/>
  <c r="K722" i="1"/>
  <c r="G722" i="1"/>
  <c r="H722" i="1" s="1"/>
  <c r="I722" i="1" s="1"/>
  <c r="F722" i="1"/>
  <c r="E722" i="1"/>
  <c r="D722" i="1"/>
  <c r="B722" i="1"/>
  <c r="A722" i="1"/>
  <c r="L721" i="1"/>
  <c r="K721" i="1"/>
  <c r="J721" i="1"/>
  <c r="F721" i="1"/>
  <c r="E721" i="1"/>
  <c r="D721" i="1"/>
  <c r="B721" i="1"/>
  <c r="G721" i="1" s="1"/>
  <c r="H721" i="1" s="1"/>
  <c r="I721" i="1" s="1"/>
  <c r="A721" i="1"/>
  <c r="L720" i="1"/>
  <c r="K720" i="1"/>
  <c r="F720" i="1"/>
  <c r="E720" i="1"/>
  <c r="D720" i="1"/>
  <c r="B720" i="1"/>
  <c r="G720" i="1" s="1"/>
  <c r="H720" i="1" s="1"/>
  <c r="I720" i="1" s="1"/>
  <c r="A720" i="1"/>
  <c r="L719" i="1"/>
  <c r="K719" i="1"/>
  <c r="J719" i="1"/>
  <c r="G719" i="1"/>
  <c r="F719" i="1"/>
  <c r="H719" i="1" s="1"/>
  <c r="I719" i="1" s="1"/>
  <c r="E719" i="1"/>
  <c r="D719" i="1"/>
  <c r="B719" i="1"/>
  <c r="A719" i="1"/>
  <c r="L718" i="1"/>
  <c r="K718" i="1"/>
  <c r="F718" i="1"/>
  <c r="E718" i="1"/>
  <c r="D718" i="1"/>
  <c r="B718" i="1"/>
  <c r="G718" i="1" s="1"/>
  <c r="H718" i="1" s="1"/>
  <c r="I718" i="1" s="1"/>
  <c r="A718" i="1"/>
  <c r="J722" i="1" s="1"/>
  <c r="L717" i="1"/>
  <c r="K717" i="1"/>
  <c r="F717" i="1"/>
  <c r="E717" i="1"/>
  <c r="D717" i="1"/>
  <c r="B717" i="1"/>
  <c r="G717" i="1" s="1"/>
  <c r="H717" i="1" s="1"/>
  <c r="I717" i="1" s="1"/>
  <c r="A717" i="1"/>
  <c r="L716" i="1"/>
  <c r="K716" i="1"/>
  <c r="H716" i="1"/>
  <c r="I716" i="1" s="1"/>
  <c r="G716" i="1"/>
  <c r="F716" i="1"/>
  <c r="E716" i="1"/>
  <c r="D716" i="1"/>
  <c r="B716" i="1"/>
  <c r="A716" i="1"/>
  <c r="L715" i="1"/>
  <c r="K715" i="1"/>
  <c r="F715" i="1"/>
  <c r="E715" i="1"/>
  <c r="D715" i="1"/>
  <c r="B715" i="1"/>
  <c r="G715" i="1" s="1"/>
  <c r="A715" i="1"/>
  <c r="L714" i="1"/>
  <c r="K714" i="1"/>
  <c r="G714" i="1"/>
  <c r="H714" i="1" s="1"/>
  <c r="I714" i="1" s="1"/>
  <c r="F714" i="1"/>
  <c r="E714" i="1"/>
  <c r="D714" i="1"/>
  <c r="B714" i="1"/>
  <c r="A714" i="1"/>
  <c r="L713" i="1"/>
  <c r="K713" i="1"/>
  <c r="J713" i="1"/>
  <c r="F713" i="1"/>
  <c r="E713" i="1"/>
  <c r="D713" i="1"/>
  <c r="B713" i="1"/>
  <c r="G713" i="1" s="1"/>
  <c r="H713" i="1" s="1"/>
  <c r="I713" i="1" s="1"/>
  <c r="A713" i="1"/>
  <c r="L712" i="1"/>
  <c r="K712" i="1"/>
  <c r="F712" i="1"/>
  <c r="E712" i="1"/>
  <c r="D712" i="1"/>
  <c r="B712" i="1"/>
  <c r="G712" i="1" s="1"/>
  <c r="H712" i="1" s="1"/>
  <c r="I712" i="1" s="1"/>
  <c r="A712" i="1"/>
  <c r="L711" i="1"/>
  <c r="K711" i="1"/>
  <c r="G711" i="1"/>
  <c r="F711" i="1"/>
  <c r="H711" i="1" s="1"/>
  <c r="I711" i="1" s="1"/>
  <c r="E711" i="1"/>
  <c r="D711" i="1"/>
  <c r="B711" i="1"/>
  <c r="A711" i="1"/>
  <c r="J715" i="1" s="1"/>
  <c r="L710" i="1"/>
  <c r="K710" i="1"/>
  <c r="J710" i="1"/>
  <c r="I710" i="1"/>
  <c r="H710" i="1"/>
  <c r="G710" i="1"/>
  <c r="E710" i="1"/>
  <c r="D710" i="1"/>
  <c r="A710" i="1"/>
  <c r="L709" i="1"/>
  <c r="K709" i="1"/>
  <c r="J709" i="1"/>
  <c r="I709" i="1"/>
  <c r="H709" i="1"/>
  <c r="G709" i="1"/>
  <c r="E709" i="1"/>
  <c r="D709" i="1"/>
  <c r="A709" i="1"/>
  <c r="L708" i="1"/>
  <c r="K708" i="1"/>
  <c r="G708" i="1"/>
  <c r="H708" i="1" s="1"/>
  <c r="I708" i="1" s="1"/>
  <c r="E708" i="1"/>
  <c r="D708" i="1"/>
  <c r="A708" i="1"/>
  <c r="L707" i="1"/>
  <c r="K707" i="1"/>
  <c r="H707" i="1"/>
  <c r="I707" i="1" s="1"/>
  <c r="E707" i="1"/>
  <c r="D707" i="1"/>
  <c r="B707" i="1"/>
  <c r="G707" i="1" s="1"/>
  <c r="A707" i="1"/>
  <c r="L706" i="1"/>
  <c r="K706" i="1"/>
  <c r="J706" i="1"/>
  <c r="H706" i="1"/>
  <c r="I706" i="1" s="1"/>
  <c r="G706" i="1"/>
  <c r="E706" i="1"/>
  <c r="D706" i="1"/>
  <c r="B706" i="1"/>
  <c r="A706" i="1"/>
  <c r="L705" i="1"/>
  <c r="K705" i="1"/>
  <c r="J705" i="1"/>
  <c r="E705" i="1"/>
  <c r="D705" i="1"/>
  <c r="B705" i="1"/>
  <c r="G705" i="1" s="1"/>
  <c r="H705" i="1" s="1"/>
  <c r="I705" i="1" s="1"/>
  <c r="A705" i="1"/>
  <c r="L704" i="1"/>
  <c r="K704" i="1"/>
  <c r="J704" i="1"/>
  <c r="E704" i="1"/>
  <c r="D704" i="1"/>
  <c r="B704" i="1"/>
  <c r="G704" i="1" s="1"/>
  <c r="H704" i="1" s="1"/>
  <c r="I704" i="1" s="1"/>
  <c r="A704" i="1"/>
  <c r="J707" i="1" s="1"/>
  <c r="L703" i="1"/>
  <c r="K703" i="1"/>
  <c r="E703" i="1"/>
  <c r="D703" i="1"/>
  <c r="B703" i="1"/>
  <c r="G703" i="1" s="1"/>
  <c r="H703" i="1" s="1"/>
  <c r="I703" i="1" s="1"/>
  <c r="A703" i="1"/>
  <c r="L702" i="1"/>
  <c r="K702" i="1"/>
  <c r="J702" i="1"/>
  <c r="I702" i="1"/>
  <c r="H702" i="1"/>
  <c r="G702" i="1"/>
  <c r="E702" i="1"/>
  <c r="D702" i="1"/>
  <c r="B702" i="1"/>
  <c r="A702" i="1"/>
  <c r="L701" i="1"/>
  <c r="K701" i="1"/>
  <c r="J701" i="1"/>
  <c r="H701" i="1"/>
  <c r="I701" i="1" s="1"/>
  <c r="E701" i="1"/>
  <c r="D701" i="1"/>
  <c r="B701" i="1"/>
  <c r="G701" i="1" s="1"/>
  <c r="A701" i="1"/>
  <c r="L700" i="1"/>
  <c r="K700" i="1"/>
  <c r="J700" i="1"/>
  <c r="E700" i="1"/>
  <c r="D700" i="1"/>
  <c r="B700" i="1"/>
  <c r="G700" i="1" s="1"/>
  <c r="H700" i="1" s="1"/>
  <c r="I700" i="1" s="1"/>
  <c r="A700" i="1"/>
  <c r="L699" i="1"/>
  <c r="K699" i="1"/>
  <c r="E699" i="1"/>
  <c r="D699" i="1"/>
  <c r="B699" i="1"/>
  <c r="G699" i="1" s="1"/>
  <c r="H699" i="1" s="1"/>
  <c r="I699" i="1" s="1"/>
  <c r="A699" i="1"/>
  <c r="L698" i="1"/>
  <c r="K698" i="1"/>
  <c r="J698" i="1"/>
  <c r="H698" i="1"/>
  <c r="I698" i="1" s="1"/>
  <c r="G698" i="1"/>
  <c r="E698" i="1"/>
  <c r="D698" i="1"/>
  <c r="B698" i="1"/>
  <c r="A698" i="1"/>
  <c r="L697" i="1"/>
  <c r="K697" i="1"/>
  <c r="J697" i="1"/>
  <c r="E697" i="1"/>
  <c r="D697" i="1"/>
  <c r="B697" i="1"/>
  <c r="G697" i="1" s="1"/>
  <c r="H697" i="1" s="1"/>
  <c r="I697" i="1" s="1"/>
  <c r="A697" i="1"/>
  <c r="L696" i="1"/>
  <c r="K696" i="1"/>
  <c r="J696" i="1"/>
  <c r="E696" i="1"/>
  <c r="D696" i="1"/>
  <c r="B696" i="1"/>
  <c r="G696" i="1" s="1"/>
  <c r="H696" i="1" s="1"/>
  <c r="I696" i="1" s="1"/>
  <c r="A696" i="1"/>
  <c r="L695" i="1"/>
  <c r="K695" i="1"/>
  <c r="J695" i="1"/>
  <c r="H695" i="1"/>
  <c r="I695" i="1" s="1"/>
  <c r="G695" i="1"/>
  <c r="E695" i="1"/>
  <c r="D695" i="1"/>
  <c r="B695" i="1"/>
  <c r="A695" i="1"/>
  <c r="L694" i="1"/>
  <c r="K694" i="1"/>
  <c r="J694" i="1"/>
  <c r="G694" i="1"/>
  <c r="H694" i="1" s="1"/>
  <c r="I694" i="1" s="1"/>
  <c r="E694" i="1"/>
  <c r="D694" i="1"/>
  <c r="B694" i="1"/>
  <c r="A694" i="1"/>
  <c r="L693" i="1"/>
  <c r="K693" i="1"/>
  <c r="J693" i="1"/>
  <c r="I693" i="1"/>
  <c r="E693" i="1"/>
  <c r="D693" i="1"/>
  <c r="B693" i="1"/>
  <c r="G693" i="1" s="1"/>
  <c r="H693" i="1" s="1"/>
  <c r="A693" i="1"/>
  <c r="L692" i="1"/>
  <c r="K692" i="1"/>
  <c r="J692" i="1"/>
  <c r="E692" i="1"/>
  <c r="D692" i="1"/>
  <c r="B692" i="1"/>
  <c r="G692" i="1" s="1"/>
  <c r="H692" i="1" s="1"/>
  <c r="I692" i="1" s="1"/>
  <c r="A692" i="1"/>
  <c r="L691" i="1"/>
  <c r="K691" i="1"/>
  <c r="J691" i="1"/>
  <c r="G691" i="1"/>
  <c r="H691" i="1" s="1"/>
  <c r="I691" i="1" s="1"/>
  <c r="E691" i="1"/>
  <c r="D691" i="1"/>
  <c r="B691" i="1"/>
  <c r="A691" i="1"/>
  <c r="L690" i="1"/>
  <c r="K690" i="1"/>
  <c r="J690" i="1"/>
  <c r="I690" i="1"/>
  <c r="H690" i="1"/>
  <c r="G690" i="1"/>
  <c r="E690" i="1"/>
  <c r="D690" i="1"/>
  <c r="B690" i="1"/>
  <c r="A690" i="1"/>
  <c r="L689" i="1"/>
  <c r="K689" i="1"/>
  <c r="G689" i="1"/>
  <c r="H689" i="1" s="1"/>
  <c r="I689" i="1" s="1"/>
  <c r="E689" i="1"/>
  <c r="D689" i="1"/>
  <c r="B689" i="1"/>
  <c r="A689" i="1"/>
  <c r="L688" i="1"/>
  <c r="K688" i="1"/>
  <c r="I688" i="1"/>
  <c r="E688" i="1"/>
  <c r="D688" i="1"/>
  <c r="B688" i="1"/>
  <c r="G688" i="1" s="1"/>
  <c r="H688" i="1" s="1"/>
  <c r="A688" i="1"/>
  <c r="L687" i="1"/>
  <c r="K687" i="1"/>
  <c r="E687" i="1"/>
  <c r="D687" i="1"/>
  <c r="B687" i="1"/>
  <c r="G687" i="1" s="1"/>
  <c r="H687" i="1" s="1"/>
  <c r="I687" i="1" s="1"/>
  <c r="A687" i="1"/>
  <c r="L686" i="1"/>
  <c r="K686" i="1"/>
  <c r="G686" i="1"/>
  <c r="H686" i="1" s="1"/>
  <c r="I686" i="1" s="1"/>
  <c r="E686" i="1"/>
  <c r="D686" i="1"/>
  <c r="B686" i="1"/>
  <c r="A686" i="1"/>
  <c r="L685" i="1"/>
  <c r="K685" i="1"/>
  <c r="I685" i="1"/>
  <c r="H685" i="1"/>
  <c r="G685" i="1"/>
  <c r="E685" i="1"/>
  <c r="D685" i="1"/>
  <c r="B685" i="1"/>
  <c r="A685" i="1"/>
  <c r="L684" i="1"/>
  <c r="K684" i="1"/>
  <c r="I684" i="1"/>
  <c r="H684" i="1"/>
  <c r="E684" i="1"/>
  <c r="D684" i="1"/>
  <c r="B684" i="1"/>
  <c r="G684" i="1" s="1"/>
  <c r="A684" i="1"/>
  <c r="L683" i="1"/>
  <c r="K683" i="1"/>
  <c r="G683" i="1"/>
  <c r="H683" i="1" s="1"/>
  <c r="I683" i="1" s="1"/>
  <c r="E683" i="1"/>
  <c r="D683" i="1"/>
  <c r="B683" i="1"/>
  <c r="A683" i="1"/>
  <c r="J687" i="1" s="1"/>
  <c r="L682" i="1"/>
  <c r="K682" i="1"/>
  <c r="E682" i="1"/>
  <c r="D682" i="1"/>
  <c r="B682" i="1"/>
  <c r="G682" i="1" s="1"/>
  <c r="H682" i="1" s="1"/>
  <c r="I682" i="1" s="1"/>
  <c r="A682" i="1"/>
  <c r="L681" i="1"/>
  <c r="K681" i="1"/>
  <c r="G681" i="1"/>
  <c r="H681" i="1" s="1"/>
  <c r="I681" i="1" s="1"/>
  <c r="E681" i="1"/>
  <c r="D681" i="1"/>
  <c r="B681" i="1"/>
  <c r="A681" i="1"/>
  <c r="L680" i="1"/>
  <c r="K680" i="1"/>
  <c r="I680" i="1"/>
  <c r="E680" i="1"/>
  <c r="D680" i="1"/>
  <c r="B680" i="1"/>
  <c r="G680" i="1" s="1"/>
  <c r="H680" i="1" s="1"/>
  <c r="A680" i="1"/>
  <c r="L679" i="1"/>
  <c r="K679" i="1"/>
  <c r="J679" i="1"/>
  <c r="H679" i="1"/>
  <c r="I679" i="1" s="1"/>
  <c r="G679" i="1"/>
  <c r="E679" i="1"/>
  <c r="D679" i="1"/>
  <c r="B679" i="1"/>
  <c r="A679" i="1"/>
  <c r="L678" i="1"/>
  <c r="K678" i="1"/>
  <c r="J678" i="1"/>
  <c r="G678" i="1"/>
  <c r="H678" i="1" s="1"/>
  <c r="I678" i="1" s="1"/>
  <c r="E678" i="1"/>
  <c r="D678" i="1"/>
  <c r="B678" i="1"/>
  <c r="A678" i="1"/>
  <c r="L677" i="1"/>
  <c r="K677" i="1"/>
  <c r="I677" i="1"/>
  <c r="G677" i="1"/>
  <c r="H677" i="1" s="1"/>
  <c r="E677" i="1"/>
  <c r="D677" i="1"/>
  <c r="A677" i="1"/>
  <c r="L676" i="1"/>
  <c r="K676" i="1"/>
  <c r="J676" i="1"/>
  <c r="H676" i="1"/>
  <c r="I676" i="1" s="1"/>
  <c r="G676" i="1"/>
  <c r="E676" i="1"/>
  <c r="D676" i="1"/>
  <c r="A676" i="1"/>
  <c r="J680" i="1" s="1"/>
  <c r="L675" i="1"/>
  <c r="K675" i="1"/>
  <c r="F675" i="1"/>
  <c r="E675" i="1"/>
  <c r="D675" i="1"/>
  <c r="B675" i="1"/>
  <c r="G675" i="1" s="1"/>
  <c r="A675" i="1"/>
  <c r="L674" i="1"/>
  <c r="K674" i="1"/>
  <c r="H674" i="1"/>
  <c r="I674" i="1" s="1"/>
  <c r="G674" i="1"/>
  <c r="F674" i="1"/>
  <c r="E674" i="1"/>
  <c r="D674" i="1"/>
  <c r="B674" i="1"/>
  <c r="A674" i="1"/>
  <c r="L673" i="1"/>
  <c r="K673" i="1"/>
  <c r="J673" i="1"/>
  <c r="G673" i="1"/>
  <c r="H673" i="1" s="1"/>
  <c r="I673" i="1" s="1"/>
  <c r="F673" i="1"/>
  <c r="E673" i="1"/>
  <c r="D673" i="1"/>
  <c r="B673" i="1"/>
  <c r="A673" i="1"/>
  <c r="L672" i="1"/>
  <c r="K672" i="1"/>
  <c r="J672" i="1"/>
  <c r="F672" i="1"/>
  <c r="E672" i="1"/>
  <c r="D672" i="1"/>
  <c r="B672" i="1"/>
  <c r="G672" i="1" s="1"/>
  <c r="H672" i="1" s="1"/>
  <c r="I672" i="1" s="1"/>
  <c r="A672" i="1"/>
  <c r="L671" i="1"/>
  <c r="K671" i="1"/>
  <c r="H671" i="1"/>
  <c r="I671" i="1" s="1"/>
  <c r="G671" i="1"/>
  <c r="F671" i="1"/>
  <c r="E671" i="1"/>
  <c r="D671" i="1"/>
  <c r="B671" i="1"/>
  <c r="A671" i="1"/>
  <c r="L670" i="1"/>
  <c r="K670" i="1"/>
  <c r="J670" i="1"/>
  <c r="G670" i="1"/>
  <c r="H670" i="1" s="1"/>
  <c r="I670" i="1" s="1"/>
  <c r="F670" i="1"/>
  <c r="E670" i="1"/>
  <c r="D670" i="1"/>
  <c r="B670" i="1"/>
  <c r="A670" i="1"/>
  <c r="L669" i="1"/>
  <c r="K669" i="1"/>
  <c r="J669" i="1"/>
  <c r="F669" i="1"/>
  <c r="E669" i="1"/>
  <c r="D669" i="1"/>
  <c r="B669" i="1"/>
  <c r="G669" i="1" s="1"/>
  <c r="H669" i="1" s="1"/>
  <c r="I669" i="1" s="1"/>
  <c r="A669" i="1"/>
  <c r="J674" i="1" s="1"/>
  <c r="L668" i="1"/>
  <c r="K668" i="1"/>
  <c r="J668" i="1"/>
  <c r="H668" i="1"/>
  <c r="I668" i="1" s="1"/>
  <c r="G668" i="1"/>
  <c r="F668" i="1"/>
  <c r="E668" i="1"/>
  <c r="D668" i="1"/>
  <c r="B668" i="1"/>
  <c r="A668" i="1"/>
  <c r="L667" i="1"/>
  <c r="K667" i="1"/>
  <c r="J667" i="1"/>
  <c r="F667" i="1"/>
  <c r="H667" i="1" s="1"/>
  <c r="I667" i="1" s="1"/>
  <c r="E667" i="1"/>
  <c r="D667" i="1"/>
  <c r="B667" i="1"/>
  <c r="G667" i="1" s="1"/>
  <c r="A667" i="1"/>
  <c r="L666" i="1"/>
  <c r="K666" i="1"/>
  <c r="J666" i="1"/>
  <c r="I666" i="1"/>
  <c r="F666" i="1"/>
  <c r="E666" i="1"/>
  <c r="D666" i="1"/>
  <c r="B666" i="1"/>
  <c r="G666" i="1" s="1"/>
  <c r="H666" i="1" s="1"/>
  <c r="A666" i="1"/>
  <c r="L665" i="1"/>
  <c r="K665" i="1"/>
  <c r="J665" i="1"/>
  <c r="G665" i="1"/>
  <c r="H665" i="1" s="1"/>
  <c r="I665" i="1" s="1"/>
  <c r="F665" i="1"/>
  <c r="E665" i="1"/>
  <c r="D665" i="1"/>
  <c r="B665" i="1"/>
  <c r="A665" i="1"/>
  <c r="L664" i="1"/>
  <c r="K664" i="1"/>
  <c r="J664" i="1"/>
  <c r="G664" i="1"/>
  <c r="H664" i="1" s="1"/>
  <c r="I664" i="1" s="1"/>
  <c r="F664" i="1"/>
  <c r="E664" i="1"/>
  <c r="D664" i="1"/>
  <c r="B664" i="1"/>
  <c r="A664" i="1"/>
  <c r="L663" i="1"/>
  <c r="K663" i="1"/>
  <c r="J663" i="1"/>
  <c r="F663" i="1"/>
  <c r="E663" i="1"/>
  <c r="D663" i="1"/>
  <c r="B663" i="1"/>
  <c r="G663" i="1" s="1"/>
  <c r="A663" i="1"/>
  <c r="L662" i="1"/>
  <c r="K662" i="1"/>
  <c r="I662" i="1"/>
  <c r="H662" i="1"/>
  <c r="G662" i="1"/>
  <c r="F662" i="1"/>
  <c r="E662" i="1"/>
  <c r="D662" i="1"/>
  <c r="B662" i="1"/>
  <c r="A662" i="1"/>
  <c r="J662" i="1" s="1"/>
  <c r="L661" i="1"/>
  <c r="K661" i="1"/>
  <c r="H661" i="1"/>
  <c r="I661" i="1" s="1"/>
  <c r="F661" i="1"/>
  <c r="E661" i="1"/>
  <c r="D661" i="1"/>
  <c r="B661" i="1"/>
  <c r="G661" i="1" s="1"/>
  <c r="A661" i="1"/>
  <c r="L660" i="1"/>
  <c r="K660" i="1"/>
  <c r="G660" i="1"/>
  <c r="H660" i="1" s="1"/>
  <c r="I660" i="1" s="1"/>
  <c r="F660" i="1"/>
  <c r="E660" i="1"/>
  <c r="D660" i="1"/>
  <c r="B660" i="1"/>
  <c r="A660" i="1"/>
  <c r="L659" i="1"/>
  <c r="K659" i="1"/>
  <c r="J659" i="1"/>
  <c r="G659" i="1"/>
  <c r="F659" i="1"/>
  <c r="H659" i="1" s="1"/>
  <c r="I659" i="1" s="1"/>
  <c r="E659" i="1"/>
  <c r="D659" i="1"/>
  <c r="B659" i="1"/>
  <c r="A659" i="1"/>
  <c r="L658" i="1"/>
  <c r="K658" i="1"/>
  <c r="F658" i="1"/>
  <c r="E658" i="1"/>
  <c r="D658" i="1"/>
  <c r="B658" i="1"/>
  <c r="G658" i="1" s="1"/>
  <c r="H658" i="1" s="1"/>
  <c r="I658" i="1" s="1"/>
  <c r="A658" i="1"/>
  <c r="L657" i="1"/>
  <c r="K657" i="1"/>
  <c r="G657" i="1"/>
  <c r="H657" i="1" s="1"/>
  <c r="I657" i="1" s="1"/>
  <c r="F657" i="1"/>
  <c r="E657" i="1"/>
  <c r="D657" i="1"/>
  <c r="B657" i="1"/>
  <c r="A657" i="1"/>
  <c r="L656" i="1"/>
  <c r="K656" i="1"/>
  <c r="J656" i="1"/>
  <c r="F656" i="1"/>
  <c r="E656" i="1"/>
  <c r="D656" i="1"/>
  <c r="B656" i="1"/>
  <c r="G656" i="1" s="1"/>
  <c r="H656" i="1" s="1"/>
  <c r="I656" i="1" s="1"/>
  <c r="A656" i="1"/>
  <c r="L655" i="1"/>
  <c r="K655" i="1"/>
  <c r="J655" i="1"/>
  <c r="F655" i="1"/>
  <c r="E655" i="1"/>
  <c r="D655" i="1"/>
  <c r="B655" i="1"/>
  <c r="G655" i="1" s="1"/>
  <c r="H655" i="1" s="1"/>
  <c r="I655" i="1" s="1"/>
  <c r="A655" i="1"/>
  <c r="L654" i="1"/>
  <c r="K654" i="1"/>
  <c r="H654" i="1"/>
  <c r="I654" i="1" s="1"/>
  <c r="G654" i="1"/>
  <c r="F654" i="1"/>
  <c r="E654" i="1"/>
  <c r="D654" i="1"/>
  <c r="B654" i="1"/>
  <c r="A654" i="1"/>
  <c r="L653" i="1"/>
  <c r="K653" i="1"/>
  <c r="H653" i="1"/>
  <c r="I653" i="1" s="1"/>
  <c r="F653" i="1"/>
  <c r="E653" i="1"/>
  <c r="D653" i="1"/>
  <c r="B653" i="1"/>
  <c r="G653" i="1" s="1"/>
  <c r="A653" i="1"/>
  <c r="L652" i="1"/>
  <c r="K652" i="1"/>
  <c r="G652" i="1"/>
  <c r="H652" i="1" s="1"/>
  <c r="I652" i="1" s="1"/>
  <c r="F652" i="1"/>
  <c r="E652" i="1"/>
  <c r="D652" i="1"/>
  <c r="B652" i="1"/>
  <c r="A652" i="1"/>
  <c r="L651" i="1"/>
  <c r="K651" i="1"/>
  <c r="I651" i="1"/>
  <c r="G651" i="1"/>
  <c r="F651" i="1"/>
  <c r="H651" i="1" s="1"/>
  <c r="E651" i="1"/>
  <c r="D651" i="1"/>
  <c r="B651" i="1"/>
  <c r="A651" i="1"/>
  <c r="L650" i="1"/>
  <c r="K650" i="1"/>
  <c r="I650" i="1"/>
  <c r="F650" i="1"/>
  <c r="E650" i="1"/>
  <c r="D650" i="1"/>
  <c r="B650" i="1"/>
  <c r="G650" i="1" s="1"/>
  <c r="H650" i="1" s="1"/>
  <c r="A650" i="1"/>
  <c r="L649" i="1"/>
  <c r="K649" i="1"/>
  <c r="H649" i="1"/>
  <c r="I649" i="1" s="1"/>
  <c r="G649" i="1"/>
  <c r="F649" i="1"/>
  <c r="E649" i="1"/>
  <c r="D649" i="1"/>
  <c r="B649" i="1"/>
  <c r="A649" i="1"/>
  <c r="L648" i="1"/>
  <c r="K648" i="1"/>
  <c r="G648" i="1"/>
  <c r="H648" i="1" s="1"/>
  <c r="I648" i="1" s="1"/>
  <c r="F648" i="1"/>
  <c r="E648" i="1"/>
  <c r="D648" i="1"/>
  <c r="B648" i="1"/>
  <c r="A648" i="1"/>
  <c r="J648" i="1" s="1"/>
  <c r="L647" i="1"/>
  <c r="K647" i="1"/>
  <c r="J647" i="1"/>
  <c r="G647" i="1"/>
  <c r="F647" i="1"/>
  <c r="H647" i="1" s="1"/>
  <c r="I647" i="1" s="1"/>
  <c r="E647" i="1"/>
  <c r="D647" i="1"/>
  <c r="A647" i="1"/>
  <c r="L646" i="1"/>
  <c r="K646" i="1"/>
  <c r="J646" i="1"/>
  <c r="G646" i="1"/>
  <c r="H646" i="1" s="1"/>
  <c r="I646" i="1" s="1"/>
  <c r="F646" i="1"/>
  <c r="E646" i="1"/>
  <c r="D646" i="1"/>
  <c r="B646" i="1"/>
  <c r="A646" i="1"/>
  <c r="L645" i="1"/>
  <c r="K645" i="1"/>
  <c r="J645" i="1"/>
  <c r="F645" i="1"/>
  <c r="E645" i="1"/>
  <c r="D645" i="1"/>
  <c r="B645" i="1"/>
  <c r="G645" i="1" s="1"/>
  <c r="H645" i="1" s="1"/>
  <c r="I645" i="1" s="1"/>
  <c r="A645" i="1"/>
  <c r="L644" i="1"/>
  <c r="K644" i="1"/>
  <c r="J644" i="1"/>
  <c r="F644" i="1"/>
  <c r="E644" i="1"/>
  <c r="D644" i="1"/>
  <c r="B644" i="1"/>
  <c r="G644" i="1" s="1"/>
  <c r="H644" i="1" s="1"/>
  <c r="I644" i="1" s="1"/>
  <c r="A644" i="1"/>
  <c r="L643" i="1"/>
  <c r="K643" i="1"/>
  <c r="J643" i="1"/>
  <c r="G643" i="1"/>
  <c r="F643" i="1"/>
  <c r="H643" i="1" s="1"/>
  <c r="I643" i="1" s="1"/>
  <c r="E643" i="1"/>
  <c r="D643" i="1"/>
  <c r="B643" i="1"/>
  <c r="A643" i="1"/>
  <c r="L642" i="1"/>
  <c r="K642" i="1"/>
  <c r="J642" i="1"/>
  <c r="F642" i="1"/>
  <c r="E642" i="1"/>
  <c r="D642" i="1"/>
  <c r="B642" i="1"/>
  <c r="G642" i="1" s="1"/>
  <c r="H642" i="1" s="1"/>
  <c r="I642" i="1" s="1"/>
  <c r="A642" i="1"/>
  <c r="L641" i="1"/>
  <c r="K641" i="1"/>
  <c r="F641" i="1"/>
  <c r="E641" i="1"/>
  <c r="D641" i="1"/>
  <c r="B641" i="1"/>
  <c r="G641" i="1" s="1"/>
  <c r="H641" i="1" s="1"/>
  <c r="I641" i="1" s="1"/>
  <c r="A641" i="1"/>
  <c r="J641" i="1" s="1"/>
  <c r="L640" i="1"/>
  <c r="K640" i="1"/>
  <c r="G640" i="1"/>
  <c r="F640" i="1"/>
  <c r="H640" i="1" s="1"/>
  <c r="I640" i="1" s="1"/>
  <c r="E640" i="1"/>
  <c r="D640" i="1"/>
  <c r="B640" i="1"/>
  <c r="A640" i="1"/>
  <c r="L639" i="1"/>
  <c r="K639" i="1"/>
  <c r="I639" i="1"/>
  <c r="F639" i="1"/>
  <c r="E639" i="1"/>
  <c r="D639" i="1"/>
  <c r="B639" i="1"/>
  <c r="G639" i="1" s="1"/>
  <c r="H639" i="1" s="1"/>
  <c r="A639" i="1"/>
  <c r="L638" i="1"/>
  <c r="K638" i="1"/>
  <c r="H638" i="1"/>
  <c r="I638" i="1" s="1"/>
  <c r="G638" i="1"/>
  <c r="F638" i="1"/>
  <c r="E638" i="1"/>
  <c r="D638" i="1"/>
  <c r="B638" i="1"/>
  <c r="A638" i="1"/>
  <c r="L637" i="1"/>
  <c r="K637" i="1"/>
  <c r="F637" i="1"/>
  <c r="E637" i="1"/>
  <c r="D637" i="1"/>
  <c r="B637" i="1"/>
  <c r="G637" i="1" s="1"/>
  <c r="H637" i="1" s="1"/>
  <c r="I637" i="1" s="1"/>
  <c r="A637" i="1"/>
  <c r="L636" i="1"/>
  <c r="K636" i="1"/>
  <c r="F636" i="1"/>
  <c r="E636" i="1"/>
  <c r="D636" i="1"/>
  <c r="B636" i="1"/>
  <c r="G636" i="1" s="1"/>
  <c r="H636" i="1" s="1"/>
  <c r="I636" i="1" s="1"/>
  <c r="A636" i="1"/>
  <c r="L635" i="1"/>
  <c r="K635" i="1"/>
  <c r="G635" i="1"/>
  <c r="H635" i="1" s="1"/>
  <c r="I635" i="1" s="1"/>
  <c r="F635" i="1"/>
  <c r="E635" i="1"/>
  <c r="D635" i="1"/>
  <c r="B635" i="1"/>
  <c r="A635" i="1"/>
  <c r="L634" i="1"/>
  <c r="K634" i="1"/>
  <c r="J634" i="1"/>
  <c r="H634" i="1"/>
  <c r="I634" i="1" s="1"/>
  <c r="F634" i="1"/>
  <c r="E634" i="1"/>
  <c r="D634" i="1"/>
  <c r="B634" i="1"/>
  <c r="G634" i="1" s="1"/>
  <c r="A634" i="1"/>
  <c r="J639" i="1" s="1"/>
  <c r="L633" i="1"/>
  <c r="K633" i="1"/>
  <c r="G633" i="1"/>
  <c r="H633" i="1" s="1"/>
  <c r="I633" i="1" s="1"/>
  <c r="F633" i="1"/>
  <c r="E633" i="1"/>
  <c r="D633" i="1"/>
  <c r="B633" i="1"/>
  <c r="A633" i="1"/>
  <c r="L632" i="1"/>
  <c r="K632" i="1"/>
  <c r="J632" i="1"/>
  <c r="G632" i="1"/>
  <c r="H632" i="1" s="1"/>
  <c r="I632" i="1" s="1"/>
  <c r="F632" i="1"/>
  <c r="E632" i="1"/>
  <c r="D632" i="1"/>
  <c r="B632" i="1"/>
  <c r="A632" i="1"/>
  <c r="L631" i="1"/>
  <c r="K631" i="1"/>
  <c r="J631" i="1"/>
  <c r="F631" i="1"/>
  <c r="E631" i="1"/>
  <c r="D631" i="1"/>
  <c r="B631" i="1"/>
  <c r="G631" i="1" s="1"/>
  <c r="H631" i="1" s="1"/>
  <c r="I631" i="1" s="1"/>
  <c r="A631" i="1"/>
  <c r="L630" i="1"/>
  <c r="K630" i="1"/>
  <c r="J630" i="1"/>
  <c r="G630" i="1"/>
  <c r="H630" i="1" s="1"/>
  <c r="I630" i="1" s="1"/>
  <c r="F630" i="1"/>
  <c r="E630" i="1"/>
  <c r="D630" i="1"/>
  <c r="B630" i="1"/>
  <c r="A630" i="1"/>
  <c r="L629" i="1"/>
  <c r="K629" i="1"/>
  <c r="J629" i="1"/>
  <c r="F629" i="1"/>
  <c r="E629" i="1"/>
  <c r="D629" i="1"/>
  <c r="B629" i="1"/>
  <c r="G629" i="1" s="1"/>
  <c r="H629" i="1" s="1"/>
  <c r="I629" i="1" s="1"/>
  <c r="A629" i="1"/>
  <c r="L628" i="1"/>
  <c r="K628" i="1"/>
  <c r="J628" i="1"/>
  <c r="F628" i="1"/>
  <c r="E628" i="1"/>
  <c r="D628" i="1"/>
  <c r="B628" i="1"/>
  <c r="G628" i="1" s="1"/>
  <c r="H628" i="1" s="1"/>
  <c r="I628" i="1" s="1"/>
  <c r="A628" i="1"/>
  <c r="L627" i="1"/>
  <c r="K627" i="1"/>
  <c r="G627" i="1"/>
  <c r="H627" i="1" s="1"/>
  <c r="I627" i="1" s="1"/>
  <c r="F627" i="1"/>
  <c r="E627" i="1"/>
  <c r="D627" i="1"/>
  <c r="B627" i="1"/>
  <c r="A627" i="1"/>
  <c r="J627" i="1" s="1"/>
  <c r="L626" i="1"/>
  <c r="K626" i="1"/>
  <c r="J626" i="1"/>
  <c r="H626" i="1"/>
  <c r="I626" i="1" s="1"/>
  <c r="F626" i="1"/>
  <c r="E626" i="1"/>
  <c r="D626" i="1"/>
  <c r="B626" i="1"/>
  <c r="G626" i="1" s="1"/>
  <c r="A626" i="1"/>
  <c r="L625" i="1"/>
  <c r="K625" i="1"/>
  <c r="G625" i="1"/>
  <c r="F625" i="1"/>
  <c r="E625" i="1"/>
  <c r="D625" i="1"/>
  <c r="B625" i="1"/>
  <c r="A625" i="1"/>
  <c r="L624" i="1"/>
  <c r="K624" i="1"/>
  <c r="J624" i="1"/>
  <c r="G624" i="1"/>
  <c r="H624" i="1" s="1"/>
  <c r="I624" i="1" s="1"/>
  <c r="F624" i="1"/>
  <c r="E624" i="1"/>
  <c r="D624" i="1"/>
  <c r="B624" i="1"/>
  <c r="A624" i="1"/>
  <c r="L623" i="1"/>
  <c r="K623" i="1"/>
  <c r="J623" i="1"/>
  <c r="F623" i="1"/>
  <c r="E623" i="1"/>
  <c r="D623" i="1"/>
  <c r="B623" i="1"/>
  <c r="G623" i="1" s="1"/>
  <c r="H623" i="1" s="1"/>
  <c r="I623" i="1" s="1"/>
  <c r="A623" i="1"/>
  <c r="L622" i="1"/>
  <c r="K622" i="1"/>
  <c r="G622" i="1"/>
  <c r="F622" i="1"/>
  <c r="H622" i="1" s="1"/>
  <c r="I622" i="1" s="1"/>
  <c r="E622" i="1"/>
  <c r="D622" i="1"/>
  <c r="B622" i="1"/>
  <c r="A622" i="1"/>
  <c r="L621" i="1"/>
  <c r="K621" i="1"/>
  <c r="G621" i="1"/>
  <c r="H621" i="1" s="1"/>
  <c r="I621" i="1" s="1"/>
  <c r="F621" i="1"/>
  <c r="E621" i="1"/>
  <c r="D621" i="1"/>
  <c r="B621" i="1"/>
  <c r="A621" i="1"/>
  <c r="L620" i="1"/>
  <c r="K620" i="1"/>
  <c r="J620" i="1"/>
  <c r="F620" i="1"/>
  <c r="E620" i="1"/>
  <c r="D620" i="1"/>
  <c r="B620" i="1"/>
  <c r="G620" i="1" s="1"/>
  <c r="A620" i="1"/>
  <c r="L619" i="1"/>
  <c r="K619" i="1"/>
  <c r="I619" i="1"/>
  <c r="H619" i="1"/>
  <c r="G619" i="1"/>
  <c r="E619" i="1"/>
  <c r="D619" i="1"/>
  <c r="A619" i="1"/>
  <c r="L618" i="1"/>
  <c r="K618" i="1"/>
  <c r="J618" i="1"/>
  <c r="G618" i="1"/>
  <c r="H618" i="1" s="1"/>
  <c r="I618" i="1" s="1"/>
  <c r="E618" i="1"/>
  <c r="D618" i="1"/>
  <c r="A618" i="1"/>
  <c r="L617" i="1"/>
  <c r="K617" i="1"/>
  <c r="J617" i="1"/>
  <c r="H617" i="1"/>
  <c r="I617" i="1" s="1"/>
  <c r="G617" i="1"/>
  <c r="E617" i="1"/>
  <c r="D617" i="1"/>
  <c r="A617" i="1"/>
  <c r="L616" i="1"/>
  <c r="K616" i="1"/>
  <c r="J616" i="1"/>
  <c r="E616" i="1"/>
  <c r="D616" i="1"/>
  <c r="B616" i="1"/>
  <c r="G616" i="1" s="1"/>
  <c r="H616" i="1" s="1"/>
  <c r="I616" i="1" s="1"/>
  <c r="A616" i="1"/>
  <c r="L615" i="1"/>
  <c r="K615" i="1"/>
  <c r="J615" i="1"/>
  <c r="E615" i="1"/>
  <c r="D615" i="1"/>
  <c r="B615" i="1"/>
  <c r="G615" i="1" s="1"/>
  <c r="H615" i="1" s="1"/>
  <c r="I615" i="1" s="1"/>
  <c r="A615" i="1"/>
  <c r="L614" i="1"/>
  <c r="K614" i="1"/>
  <c r="J614" i="1"/>
  <c r="E614" i="1"/>
  <c r="D614" i="1"/>
  <c r="B614" i="1"/>
  <c r="G614" i="1" s="1"/>
  <c r="H614" i="1" s="1"/>
  <c r="I614" i="1" s="1"/>
  <c r="A614" i="1"/>
  <c r="L613" i="1"/>
  <c r="K613" i="1"/>
  <c r="J613" i="1"/>
  <c r="G613" i="1"/>
  <c r="H613" i="1" s="1"/>
  <c r="I613" i="1" s="1"/>
  <c r="E613" i="1"/>
  <c r="D613" i="1"/>
  <c r="B613" i="1"/>
  <c r="A613" i="1"/>
  <c r="J619" i="1" s="1"/>
  <c r="L612" i="1"/>
  <c r="K612" i="1"/>
  <c r="J612" i="1"/>
  <c r="E612" i="1"/>
  <c r="D612" i="1"/>
  <c r="B612" i="1"/>
  <c r="G612" i="1" s="1"/>
  <c r="H612" i="1" s="1"/>
  <c r="I612" i="1" s="1"/>
  <c r="A612" i="1"/>
  <c r="L611" i="1"/>
  <c r="K611" i="1"/>
  <c r="J611" i="1"/>
  <c r="E611" i="1"/>
  <c r="D611" i="1"/>
  <c r="B611" i="1"/>
  <c r="G611" i="1" s="1"/>
  <c r="H611" i="1" s="1"/>
  <c r="I611" i="1" s="1"/>
  <c r="A611" i="1"/>
  <c r="L610" i="1"/>
  <c r="K610" i="1"/>
  <c r="J610" i="1"/>
  <c r="E610" i="1"/>
  <c r="D610" i="1"/>
  <c r="B610" i="1"/>
  <c r="G610" i="1" s="1"/>
  <c r="H610" i="1" s="1"/>
  <c r="I610" i="1" s="1"/>
  <c r="A610" i="1"/>
  <c r="L609" i="1"/>
  <c r="K609" i="1"/>
  <c r="J609" i="1"/>
  <c r="H609" i="1"/>
  <c r="I609" i="1" s="1"/>
  <c r="G609" i="1"/>
  <c r="E609" i="1"/>
  <c r="D609" i="1"/>
  <c r="B609" i="1"/>
  <c r="A609" i="1"/>
  <c r="L608" i="1"/>
  <c r="K608" i="1"/>
  <c r="J608" i="1"/>
  <c r="I608" i="1"/>
  <c r="H608" i="1"/>
  <c r="E608" i="1"/>
  <c r="D608" i="1"/>
  <c r="B608" i="1"/>
  <c r="G608" i="1" s="1"/>
  <c r="A608" i="1"/>
  <c r="L607" i="1"/>
  <c r="K607" i="1"/>
  <c r="J607" i="1"/>
  <c r="E607" i="1"/>
  <c r="D607" i="1"/>
  <c r="B607" i="1"/>
  <c r="G607" i="1" s="1"/>
  <c r="H607" i="1" s="1"/>
  <c r="I607" i="1" s="1"/>
  <c r="A607" i="1"/>
  <c r="L606" i="1"/>
  <c r="K606" i="1"/>
  <c r="J606" i="1"/>
  <c r="H606" i="1"/>
  <c r="I606" i="1" s="1"/>
  <c r="G606" i="1"/>
  <c r="E606" i="1"/>
  <c r="D606" i="1"/>
  <c r="B606" i="1"/>
  <c r="A606" i="1"/>
  <c r="L605" i="1"/>
  <c r="K605" i="1"/>
  <c r="J605" i="1"/>
  <c r="H605" i="1"/>
  <c r="I605" i="1" s="1"/>
  <c r="G605" i="1"/>
  <c r="E605" i="1"/>
  <c r="D605" i="1"/>
  <c r="B605" i="1"/>
  <c r="A605" i="1"/>
  <c r="L604" i="1"/>
  <c r="K604" i="1"/>
  <c r="J604" i="1"/>
  <c r="E604" i="1"/>
  <c r="D604" i="1"/>
  <c r="B604" i="1"/>
  <c r="G604" i="1" s="1"/>
  <c r="H604" i="1" s="1"/>
  <c r="I604" i="1" s="1"/>
  <c r="A604" i="1"/>
  <c r="L603" i="1"/>
  <c r="K603" i="1"/>
  <c r="E603" i="1"/>
  <c r="D603" i="1"/>
  <c r="B603" i="1"/>
  <c r="G603" i="1" s="1"/>
  <c r="H603" i="1" s="1"/>
  <c r="I603" i="1" s="1"/>
  <c r="A603" i="1"/>
  <c r="L602" i="1"/>
  <c r="K602" i="1"/>
  <c r="E602" i="1"/>
  <c r="D602" i="1"/>
  <c r="B602" i="1"/>
  <c r="G602" i="1" s="1"/>
  <c r="H602" i="1" s="1"/>
  <c r="I602" i="1" s="1"/>
  <c r="A602" i="1"/>
  <c r="L601" i="1"/>
  <c r="K601" i="1"/>
  <c r="J601" i="1"/>
  <c r="G601" i="1"/>
  <c r="H601" i="1" s="1"/>
  <c r="I601" i="1" s="1"/>
  <c r="E601" i="1"/>
  <c r="D601" i="1"/>
  <c r="B601" i="1"/>
  <c r="A601" i="1"/>
  <c r="L600" i="1"/>
  <c r="K600" i="1"/>
  <c r="E600" i="1"/>
  <c r="D600" i="1"/>
  <c r="B600" i="1"/>
  <c r="G600" i="1" s="1"/>
  <c r="H600" i="1" s="1"/>
  <c r="I600" i="1" s="1"/>
  <c r="A600" i="1"/>
  <c r="L599" i="1"/>
  <c r="K599" i="1"/>
  <c r="J599" i="1"/>
  <c r="E599" i="1"/>
  <c r="D599" i="1"/>
  <c r="B599" i="1"/>
  <c r="G599" i="1" s="1"/>
  <c r="H599" i="1" s="1"/>
  <c r="I599" i="1" s="1"/>
  <c r="A599" i="1"/>
  <c r="J602" i="1" s="1"/>
  <c r="L598" i="1"/>
  <c r="K598" i="1"/>
  <c r="G598" i="1"/>
  <c r="H598" i="1" s="1"/>
  <c r="I598" i="1" s="1"/>
  <c r="E598" i="1"/>
  <c r="D598" i="1"/>
  <c r="B598" i="1"/>
  <c r="A598" i="1"/>
  <c r="L597" i="1"/>
  <c r="K597" i="1"/>
  <c r="G597" i="1"/>
  <c r="H597" i="1" s="1"/>
  <c r="I597" i="1" s="1"/>
  <c r="E597" i="1"/>
  <c r="D597" i="1"/>
  <c r="B597" i="1"/>
  <c r="A597" i="1"/>
  <c r="L596" i="1"/>
  <c r="K596" i="1"/>
  <c r="H596" i="1"/>
  <c r="I596" i="1" s="1"/>
  <c r="E596" i="1"/>
  <c r="D596" i="1"/>
  <c r="B596" i="1"/>
  <c r="G596" i="1" s="1"/>
  <c r="A596" i="1"/>
  <c r="L595" i="1"/>
  <c r="K595" i="1"/>
  <c r="J595" i="1"/>
  <c r="E595" i="1"/>
  <c r="D595" i="1"/>
  <c r="B595" i="1"/>
  <c r="G595" i="1" s="1"/>
  <c r="H595" i="1" s="1"/>
  <c r="I595" i="1" s="1"/>
  <c r="A595" i="1"/>
  <c r="L594" i="1"/>
  <c r="K594" i="1"/>
  <c r="E594" i="1"/>
  <c r="D594" i="1"/>
  <c r="B594" i="1"/>
  <c r="G594" i="1" s="1"/>
  <c r="H594" i="1" s="1"/>
  <c r="I594" i="1" s="1"/>
  <c r="A594" i="1"/>
  <c r="L593" i="1"/>
  <c r="K593" i="1"/>
  <c r="H593" i="1"/>
  <c r="I593" i="1" s="1"/>
  <c r="G593" i="1"/>
  <c r="E593" i="1"/>
  <c r="D593" i="1"/>
  <c r="B593" i="1"/>
  <c r="A593" i="1"/>
  <c r="L592" i="1"/>
  <c r="K592" i="1"/>
  <c r="J592" i="1"/>
  <c r="H592" i="1"/>
  <c r="I592" i="1" s="1"/>
  <c r="G592" i="1"/>
  <c r="E592" i="1"/>
  <c r="D592" i="1"/>
  <c r="A592" i="1"/>
  <c r="J597" i="1" s="1"/>
  <c r="L591" i="1"/>
  <c r="K591" i="1"/>
  <c r="J591" i="1"/>
  <c r="I591" i="1"/>
  <c r="E591" i="1"/>
  <c r="D591" i="1"/>
  <c r="B591" i="1"/>
  <c r="G591" i="1" s="1"/>
  <c r="H591" i="1" s="1"/>
  <c r="A591" i="1"/>
  <c r="L590" i="1"/>
  <c r="K590" i="1"/>
  <c r="G590" i="1"/>
  <c r="H590" i="1" s="1"/>
  <c r="I590" i="1" s="1"/>
  <c r="E590" i="1"/>
  <c r="D590" i="1"/>
  <c r="B590" i="1"/>
  <c r="A590" i="1"/>
  <c r="L589" i="1"/>
  <c r="K589" i="1"/>
  <c r="J589" i="1"/>
  <c r="H589" i="1"/>
  <c r="I589" i="1" s="1"/>
  <c r="G589" i="1"/>
  <c r="E589" i="1"/>
  <c r="D589" i="1"/>
  <c r="B589" i="1"/>
  <c r="A589" i="1"/>
  <c r="L588" i="1"/>
  <c r="K588" i="1"/>
  <c r="J588" i="1"/>
  <c r="G588" i="1"/>
  <c r="H588" i="1" s="1"/>
  <c r="I588" i="1" s="1"/>
  <c r="E588" i="1"/>
  <c r="D588" i="1"/>
  <c r="B588" i="1"/>
  <c r="A588" i="1"/>
  <c r="L587" i="1"/>
  <c r="K587" i="1"/>
  <c r="J587" i="1"/>
  <c r="E587" i="1"/>
  <c r="D587" i="1"/>
  <c r="B587" i="1"/>
  <c r="G587" i="1" s="1"/>
  <c r="H587" i="1" s="1"/>
  <c r="I587" i="1" s="1"/>
  <c r="A587" i="1"/>
  <c r="L586" i="1"/>
  <c r="K586" i="1"/>
  <c r="E586" i="1"/>
  <c r="D586" i="1"/>
  <c r="B586" i="1"/>
  <c r="G586" i="1" s="1"/>
  <c r="H586" i="1" s="1"/>
  <c r="I586" i="1" s="1"/>
  <c r="A586" i="1"/>
  <c r="L585" i="1"/>
  <c r="K585" i="1"/>
  <c r="J585" i="1"/>
  <c r="G585" i="1"/>
  <c r="H585" i="1" s="1"/>
  <c r="I585" i="1" s="1"/>
  <c r="E585" i="1"/>
  <c r="D585" i="1"/>
  <c r="A585" i="1"/>
  <c r="J590" i="1" s="1"/>
  <c r="L584" i="1"/>
  <c r="K584" i="1"/>
  <c r="G584" i="1"/>
  <c r="F584" i="1"/>
  <c r="H584" i="1" s="1"/>
  <c r="I584" i="1" s="1"/>
  <c r="E584" i="1"/>
  <c r="D584" i="1"/>
  <c r="B584" i="1"/>
  <c r="A584" i="1"/>
  <c r="L583" i="1"/>
  <c r="K583" i="1"/>
  <c r="F583" i="1"/>
  <c r="E583" i="1"/>
  <c r="D583" i="1"/>
  <c r="B583" i="1"/>
  <c r="G583" i="1" s="1"/>
  <c r="H583" i="1" s="1"/>
  <c r="I583" i="1" s="1"/>
  <c r="A583" i="1"/>
  <c r="L582" i="1"/>
  <c r="K582" i="1"/>
  <c r="G582" i="1"/>
  <c r="H582" i="1" s="1"/>
  <c r="I582" i="1" s="1"/>
  <c r="F582" i="1"/>
  <c r="E582" i="1"/>
  <c r="D582" i="1"/>
  <c r="B582" i="1"/>
  <c r="A582" i="1"/>
  <c r="L581" i="1"/>
  <c r="K581" i="1"/>
  <c r="G581" i="1"/>
  <c r="H581" i="1" s="1"/>
  <c r="I581" i="1" s="1"/>
  <c r="F581" i="1"/>
  <c r="E581" i="1"/>
  <c r="D581" i="1"/>
  <c r="B581" i="1"/>
  <c r="A581" i="1"/>
  <c r="L580" i="1"/>
  <c r="K580" i="1"/>
  <c r="F580" i="1"/>
  <c r="E580" i="1"/>
  <c r="D580" i="1"/>
  <c r="B580" i="1"/>
  <c r="G580" i="1" s="1"/>
  <c r="H580" i="1" s="1"/>
  <c r="I580" i="1" s="1"/>
  <c r="A580" i="1"/>
  <c r="L579" i="1"/>
  <c r="K579" i="1"/>
  <c r="F579" i="1"/>
  <c r="E579" i="1"/>
  <c r="D579" i="1"/>
  <c r="B579" i="1"/>
  <c r="G579" i="1" s="1"/>
  <c r="H579" i="1" s="1"/>
  <c r="I579" i="1" s="1"/>
  <c r="A579" i="1"/>
  <c r="L578" i="1"/>
  <c r="K578" i="1"/>
  <c r="H578" i="1"/>
  <c r="I578" i="1" s="1"/>
  <c r="F578" i="1"/>
  <c r="E578" i="1"/>
  <c r="D578" i="1"/>
  <c r="B578" i="1"/>
  <c r="G578" i="1" s="1"/>
  <c r="A578" i="1"/>
  <c r="J579" i="1" s="1"/>
  <c r="L577" i="1"/>
  <c r="K577" i="1"/>
  <c r="F577" i="1"/>
  <c r="E577" i="1"/>
  <c r="D577" i="1"/>
  <c r="B577" i="1"/>
  <c r="G577" i="1" s="1"/>
  <c r="H577" i="1" s="1"/>
  <c r="I577" i="1" s="1"/>
  <c r="A577" i="1"/>
  <c r="L576" i="1"/>
  <c r="K576" i="1"/>
  <c r="J576" i="1"/>
  <c r="G576" i="1"/>
  <c r="F576" i="1"/>
  <c r="H576" i="1" s="1"/>
  <c r="I576" i="1" s="1"/>
  <c r="E576" i="1"/>
  <c r="D576" i="1"/>
  <c r="B576" i="1"/>
  <c r="A576" i="1"/>
  <c r="L575" i="1"/>
  <c r="K575" i="1"/>
  <c r="J575" i="1"/>
  <c r="I575" i="1"/>
  <c r="F575" i="1"/>
  <c r="E575" i="1"/>
  <c r="D575" i="1"/>
  <c r="B575" i="1"/>
  <c r="G575" i="1" s="1"/>
  <c r="H575" i="1" s="1"/>
  <c r="A575" i="1"/>
  <c r="L574" i="1"/>
  <c r="K574" i="1"/>
  <c r="J574" i="1"/>
  <c r="G574" i="1"/>
  <c r="H574" i="1" s="1"/>
  <c r="I574" i="1" s="1"/>
  <c r="F574" i="1"/>
  <c r="E574" i="1"/>
  <c r="D574" i="1"/>
  <c r="B574" i="1"/>
  <c r="A574" i="1"/>
  <c r="L573" i="1"/>
  <c r="K573" i="1"/>
  <c r="J573" i="1"/>
  <c r="G573" i="1"/>
  <c r="H573" i="1" s="1"/>
  <c r="I573" i="1" s="1"/>
  <c r="F573" i="1"/>
  <c r="E573" i="1"/>
  <c r="D573" i="1"/>
  <c r="B573" i="1"/>
  <c r="A573" i="1"/>
  <c r="L572" i="1"/>
  <c r="K572" i="1"/>
  <c r="J572" i="1"/>
  <c r="F572" i="1"/>
  <c r="E572" i="1"/>
  <c r="D572" i="1"/>
  <c r="B572" i="1"/>
  <c r="G572" i="1" s="1"/>
  <c r="A572" i="1"/>
  <c r="L571" i="1"/>
  <c r="K571" i="1"/>
  <c r="H571" i="1"/>
  <c r="I571" i="1" s="1"/>
  <c r="F571" i="1"/>
  <c r="E571" i="1"/>
  <c r="D571" i="1"/>
  <c r="B571" i="1"/>
  <c r="G571" i="1" s="1"/>
  <c r="A571" i="1"/>
  <c r="J571" i="1" s="1"/>
  <c r="L570" i="1"/>
  <c r="K570" i="1"/>
  <c r="H570" i="1"/>
  <c r="I570" i="1" s="1"/>
  <c r="F570" i="1"/>
  <c r="E570" i="1"/>
  <c r="D570" i="1"/>
  <c r="B570" i="1"/>
  <c r="G570" i="1" s="1"/>
  <c r="A570" i="1"/>
  <c r="L569" i="1"/>
  <c r="K569" i="1"/>
  <c r="F569" i="1"/>
  <c r="E569" i="1"/>
  <c r="D569" i="1"/>
  <c r="B569" i="1"/>
  <c r="G569" i="1" s="1"/>
  <c r="H569" i="1" s="1"/>
  <c r="I569" i="1" s="1"/>
  <c r="A569" i="1"/>
  <c r="L568" i="1"/>
  <c r="K568" i="1"/>
  <c r="G568" i="1"/>
  <c r="F568" i="1"/>
  <c r="H568" i="1" s="1"/>
  <c r="I568" i="1" s="1"/>
  <c r="E568" i="1"/>
  <c r="D568" i="1"/>
  <c r="B568" i="1"/>
  <c r="A568" i="1"/>
  <c r="L567" i="1"/>
  <c r="K567" i="1"/>
  <c r="J567" i="1"/>
  <c r="I567" i="1"/>
  <c r="F567" i="1"/>
  <c r="E567" i="1"/>
  <c r="D567" i="1"/>
  <c r="B567" i="1"/>
  <c r="G567" i="1" s="1"/>
  <c r="H567" i="1" s="1"/>
  <c r="A567" i="1"/>
  <c r="L566" i="1"/>
  <c r="K566" i="1"/>
  <c r="G566" i="1"/>
  <c r="H566" i="1" s="1"/>
  <c r="I566" i="1" s="1"/>
  <c r="F566" i="1"/>
  <c r="E566" i="1"/>
  <c r="D566" i="1"/>
  <c r="B566" i="1"/>
  <c r="A566" i="1"/>
  <c r="L565" i="1"/>
  <c r="K565" i="1"/>
  <c r="J565" i="1"/>
  <c r="G565" i="1"/>
  <c r="H565" i="1" s="1"/>
  <c r="I565" i="1" s="1"/>
  <c r="F565" i="1"/>
  <c r="E565" i="1"/>
  <c r="D565" i="1"/>
  <c r="B565" i="1"/>
  <c r="A565" i="1"/>
  <c r="L564" i="1"/>
  <c r="K564" i="1"/>
  <c r="J564" i="1"/>
  <c r="F564" i="1"/>
  <c r="E564" i="1"/>
  <c r="D564" i="1"/>
  <c r="B564" i="1"/>
  <c r="G564" i="1" s="1"/>
  <c r="A564" i="1"/>
  <c r="J569" i="1" s="1"/>
  <c r="L563" i="1"/>
  <c r="K563" i="1"/>
  <c r="H563" i="1"/>
  <c r="I563" i="1" s="1"/>
  <c r="F563" i="1"/>
  <c r="E563" i="1"/>
  <c r="D563" i="1"/>
  <c r="B563" i="1"/>
  <c r="G563" i="1" s="1"/>
  <c r="A563" i="1"/>
  <c r="L562" i="1"/>
  <c r="K562" i="1"/>
  <c r="H562" i="1"/>
  <c r="I562" i="1" s="1"/>
  <c r="F562" i="1"/>
  <c r="E562" i="1"/>
  <c r="D562" i="1"/>
  <c r="B562" i="1"/>
  <c r="G562" i="1" s="1"/>
  <c r="A562" i="1"/>
  <c r="L561" i="1"/>
  <c r="K561" i="1"/>
  <c r="F561" i="1"/>
  <c r="E561" i="1"/>
  <c r="D561" i="1"/>
  <c r="B561" i="1"/>
  <c r="G561" i="1" s="1"/>
  <c r="H561" i="1" s="1"/>
  <c r="I561" i="1" s="1"/>
  <c r="A561" i="1"/>
  <c r="L560" i="1"/>
  <c r="K560" i="1"/>
  <c r="G560" i="1"/>
  <c r="F560" i="1"/>
  <c r="H560" i="1" s="1"/>
  <c r="I560" i="1" s="1"/>
  <c r="E560" i="1"/>
  <c r="D560" i="1"/>
  <c r="B560" i="1"/>
  <c r="A560" i="1"/>
  <c r="L559" i="1"/>
  <c r="K559" i="1"/>
  <c r="I559" i="1"/>
  <c r="F559" i="1"/>
  <c r="E559" i="1"/>
  <c r="D559" i="1"/>
  <c r="B559" i="1"/>
  <c r="G559" i="1" s="1"/>
  <c r="H559" i="1" s="1"/>
  <c r="A559" i="1"/>
  <c r="L558" i="1"/>
  <c r="K558" i="1"/>
  <c r="G558" i="1"/>
  <c r="H558" i="1" s="1"/>
  <c r="I558" i="1" s="1"/>
  <c r="F558" i="1"/>
  <c r="E558" i="1"/>
  <c r="D558" i="1"/>
  <c r="B558" i="1"/>
  <c r="A558" i="1"/>
  <c r="L557" i="1"/>
  <c r="K557" i="1"/>
  <c r="G557" i="1"/>
  <c r="H557" i="1" s="1"/>
  <c r="I557" i="1" s="1"/>
  <c r="F557" i="1"/>
  <c r="E557" i="1"/>
  <c r="D557" i="1"/>
  <c r="B557" i="1"/>
  <c r="A557" i="1"/>
  <c r="J560" i="1" s="1"/>
  <c r="L556" i="1"/>
  <c r="K556" i="1"/>
  <c r="J556" i="1"/>
  <c r="H556" i="1"/>
  <c r="I556" i="1" s="1"/>
  <c r="G556" i="1"/>
  <c r="E556" i="1"/>
  <c r="D556" i="1"/>
  <c r="A556" i="1"/>
  <c r="L555" i="1"/>
  <c r="K555" i="1"/>
  <c r="I555" i="1"/>
  <c r="G555" i="1"/>
  <c r="H555" i="1" s="1"/>
  <c r="E555" i="1"/>
  <c r="D555" i="1"/>
  <c r="A555" i="1"/>
  <c r="L554" i="1"/>
  <c r="K554" i="1"/>
  <c r="J554" i="1"/>
  <c r="H554" i="1"/>
  <c r="I554" i="1" s="1"/>
  <c r="G554" i="1"/>
  <c r="E554" i="1"/>
  <c r="D554" i="1"/>
  <c r="B554" i="1"/>
  <c r="A554" i="1"/>
  <c r="L553" i="1"/>
  <c r="K553" i="1"/>
  <c r="J553" i="1"/>
  <c r="H553" i="1"/>
  <c r="I553" i="1" s="1"/>
  <c r="E553" i="1"/>
  <c r="D553" i="1"/>
  <c r="B553" i="1"/>
  <c r="G553" i="1" s="1"/>
  <c r="A553" i="1"/>
  <c r="L552" i="1"/>
  <c r="K552" i="1"/>
  <c r="J552" i="1"/>
  <c r="E552" i="1"/>
  <c r="D552" i="1"/>
  <c r="B552" i="1"/>
  <c r="G552" i="1" s="1"/>
  <c r="H552" i="1" s="1"/>
  <c r="I552" i="1" s="1"/>
  <c r="A552" i="1"/>
  <c r="L551" i="1"/>
  <c r="K551" i="1"/>
  <c r="J551" i="1"/>
  <c r="E551" i="1"/>
  <c r="D551" i="1"/>
  <c r="B551" i="1"/>
  <c r="G551" i="1" s="1"/>
  <c r="H551" i="1" s="1"/>
  <c r="I551" i="1" s="1"/>
  <c r="A551" i="1"/>
  <c r="L550" i="1"/>
  <c r="K550" i="1"/>
  <c r="J550" i="1"/>
  <c r="E550" i="1"/>
  <c r="D550" i="1"/>
  <c r="B550" i="1"/>
  <c r="G550" i="1" s="1"/>
  <c r="H550" i="1" s="1"/>
  <c r="I550" i="1" s="1"/>
  <c r="A550" i="1"/>
  <c r="J555" i="1" s="1"/>
  <c r="L549" i="1"/>
  <c r="K549" i="1"/>
  <c r="E549" i="1"/>
  <c r="D549" i="1"/>
  <c r="B549" i="1"/>
  <c r="G549" i="1" s="1"/>
  <c r="H549" i="1" s="1"/>
  <c r="I549" i="1" s="1"/>
  <c r="A549" i="1"/>
  <c r="L548" i="1"/>
  <c r="K548" i="1"/>
  <c r="H548" i="1"/>
  <c r="I548" i="1" s="1"/>
  <c r="E548" i="1"/>
  <c r="D548" i="1"/>
  <c r="B548" i="1"/>
  <c r="G548" i="1" s="1"/>
  <c r="A548" i="1"/>
  <c r="L547" i="1"/>
  <c r="K547" i="1"/>
  <c r="H547" i="1"/>
  <c r="I547" i="1" s="1"/>
  <c r="E547" i="1"/>
  <c r="D547" i="1"/>
  <c r="B547" i="1"/>
  <c r="G547" i="1" s="1"/>
  <c r="A547" i="1"/>
  <c r="L546" i="1"/>
  <c r="K546" i="1"/>
  <c r="H546" i="1"/>
  <c r="I546" i="1" s="1"/>
  <c r="G546" i="1"/>
  <c r="E546" i="1"/>
  <c r="D546" i="1"/>
  <c r="B546" i="1"/>
  <c r="A546" i="1"/>
  <c r="L545" i="1"/>
  <c r="K545" i="1"/>
  <c r="J545" i="1"/>
  <c r="H545" i="1"/>
  <c r="I545" i="1" s="1"/>
  <c r="E545" i="1"/>
  <c r="D545" i="1"/>
  <c r="B545" i="1"/>
  <c r="G545" i="1" s="1"/>
  <c r="A545" i="1"/>
  <c r="L544" i="1"/>
  <c r="K544" i="1"/>
  <c r="J544" i="1"/>
  <c r="E544" i="1"/>
  <c r="D544" i="1"/>
  <c r="B544" i="1"/>
  <c r="G544" i="1" s="1"/>
  <c r="H544" i="1" s="1"/>
  <c r="I544" i="1" s="1"/>
  <c r="A544" i="1"/>
  <c r="L543" i="1"/>
  <c r="K543" i="1"/>
  <c r="E543" i="1"/>
  <c r="D543" i="1"/>
  <c r="B543" i="1"/>
  <c r="G543" i="1" s="1"/>
  <c r="H543" i="1" s="1"/>
  <c r="I543" i="1" s="1"/>
  <c r="A543" i="1"/>
  <c r="L542" i="1"/>
  <c r="K542" i="1"/>
  <c r="E542" i="1"/>
  <c r="D542" i="1"/>
  <c r="B542" i="1"/>
  <c r="G542" i="1" s="1"/>
  <c r="H542" i="1" s="1"/>
  <c r="I542" i="1" s="1"/>
  <c r="A542" i="1"/>
  <c r="L541" i="1"/>
  <c r="K541" i="1"/>
  <c r="E541" i="1"/>
  <c r="D541" i="1"/>
  <c r="B541" i="1"/>
  <c r="G541" i="1" s="1"/>
  <c r="H541" i="1" s="1"/>
  <c r="I541" i="1" s="1"/>
  <c r="A541" i="1"/>
  <c r="L540" i="1"/>
  <c r="K540" i="1"/>
  <c r="H540" i="1"/>
  <c r="I540" i="1" s="1"/>
  <c r="E540" i="1"/>
  <c r="D540" i="1"/>
  <c r="B540" i="1"/>
  <c r="G540" i="1" s="1"/>
  <c r="A540" i="1"/>
  <c r="L539" i="1"/>
  <c r="K539" i="1"/>
  <c r="H539" i="1"/>
  <c r="I539" i="1" s="1"/>
  <c r="E539" i="1"/>
  <c r="D539" i="1"/>
  <c r="B539" i="1"/>
  <c r="G539" i="1" s="1"/>
  <c r="A539" i="1"/>
  <c r="L538" i="1"/>
  <c r="K538" i="1"/>
  <c r="H538" i="1"/>
  <c r="I538" i="1" s="1"/>
  <c r="G538" i="1"/>
  <c r="E538" i="1"/>
  <c r="D538" i="1"/>
  <c r="B538" i="1"/>
  <c r="A538" i="1"/>
  <c r="L537" i="1"/>
  <c r="K537" i="1"/>
  <c r="J537" i="1"/>
  <c r="H537" i="1"/>
  <c r="I537" i="1" s="1"/>
  <c r="E537" i="1"/>
  <c r="D537" i="1"/>
  <c r="B537" i="1"/>
  <c r="G537" i="1" s="1"/>
  <c r="A537" i="1"/>
  <c r="L536" i="1"/>
  <c r="K536" i="1"/>
  <c r="J536" i="1"/>
  <c r="E536" i="1"/>
  <c r="D536" i="1"/>
  <c r="B536" i="1"/>
  <c r="G536" i="1" s="1"/>
  <c r="H536" i="1" s="1"/>
  <c r="I536" i="1" s="1"/>
  <c r="A536" i="1"/>
  <c r="L535" i="1"/>
  <c r="K535" i="1"/>
  <c r="J535" i="1"/>
  <c r="E535" i="1"/>
  <c r="D535" i="1"/>
  <c r="B535" i="1"/>
  <c r="G535" i="1" s="1"/>
  <c r="H535" i="1" s="1"/>
  <c r="I535" i="1" s="1"/>
  <c r="A535" i="1"/>
  <c r="L534" i="1"/>
  <c r="K534" i="1"/>
  <c r="J534" i="1"/>
  <c r="E534" i="1"/>
  <c r="D534" i="1"/>
  <c r="B534" i="1"/>
  <c r="G534" i="1" s="1"/>
  <c r="H534" i="1" s="1"/>
  <c r="I534" i="1" s="1"/>
  <c r="A534" i="1"/>
  <c r="L533" i="1"/>
  <c r="K533" i="1"/>
  <c r="J533" i="1"/>
  <c r="E533" i="1"/>
  <c r="D533" i="1"/>
  <c r="B533" i="1"/>
  <c r="G533" i="1" s="1"/>
  <c r="H533" i="1" s="1"/>
  <c r="I533" i="1" s="1"/>
  <c r="A533" i="1"/>
  <c r="L532" i="1"/>
  <c r="K532" i="1"/>
  <c r="J532" i="1"/>
  <c r="H532" i="1"/>
  <c r="I532" i="1" s="1"/>
  <c r="E532" i="1"/>
  <c r="D532" i="1"/>
  <c r="B532" i="1"/>
  <c r="G532" i="1" s="1"/>
  <c r="A532" i="1"/>
  <c r="L531" i="1"/>
  <c r="K531" i="1"/>
  <c r="J531" i="1"/>
  <c r="H531" i="1"/>
  <c r="I531" i="1" s="1"/>
  <c r="E531" i="1"/>
  <c r="D531" i="1"/>
  <c r="B531" i="1"/>
  <c r="G531" i="1" s="1"/>
  <c r="A531" i="1"/>
  <c r="L530" i="1"/>
  <c r="K530" i="1"/>
  <c r="J530" i="1"/>
  <c r="H530" i="1"/>
  <c r="I530" i="1" s="1"/>
  <c r="G530" i="1"/>
  <c r="E530" i="1"/>
  <c r="D530" i="1"/>
  <c r="B530" i="1"/>
  <c r="A530" i="1"/>
  <c r="L529" i="1"/>
  <c r="K529" i="1"/>
  <c r="J529" i="1"/>
  <c r="H529" i="1"/>
  <c r="I529" i="1" s="1"/>
  <c r="E529" i="1"/>
  <c r="D529" i="1"/>
  <c r="B529" i="1"/>
  <c r="G529" i="1" s="1"/>
  <c r="A529" i="1"/>
  <c r="L528" i="1"/>
  <c r="K528" i="1"/>
  <c r="J528" i="1"/>
  <c r="E528" i="1"/>
  <c r="D528" i="1"/>
  <c r="B528" i="1"/>
  <c r="G528" i="1" s="1"/>
  <c r="H528" i="1" s="1"/>
  <c r="I528" i="1" s="1"/>
  <c r="A528" i="1"/>
  <c r="L527" i="1"/>
  <c r="K527" i="1"/>
  <c r="J527" i="1"/>
  <c r="E527" i="1"/>
  <c r="D527" i="1"/>
  <c r="B527" i="1"/>
  <c r="G527" i="1" s="1"/>
  <c r="H527" i="1" s="1"/>
  <c r="I527" i="1" s="1"/>
  <c r="A527" i="1"/>
  <c r="L526" i="1"/>
  <c r="K526" i="1"/>
  <c r="J526" i="1"/>
  <c r="E526" i="1"/>
  <c r="D526" i="1"/>
  <c r="B526" i="1"/>
  <c r="G526" i="1" s="1"/>
  <c r="H526" i="1" s="1"/>
  <c r="I526" i="1" s="1"/>
  <c r="A526" i="1"/>
  <c r="L525" i="1"/>
  <c r="K525" i="1"/>
  <c r="E525" i="1"/>
  <c r="D525" i="1"/>
  <c r="B525" i="1"/>
  <c r="G525" i="1" s="1"/>
  <c r="H525" i="1" s="1"/>
  <c r="I525" i="1" s="1"/>
  <c r="A525" i="1"/>
  <c r="L524" i="1"/>
  <c r="K524" i="1"/>
  <c r="J524" i="1"/>
  <c r="H524" i="1"/>
  <c r="I524" i="1" s="1"/>
  <c r="G524" i="1"/>
  <c r="E524" i="1"/>
  <c r="D524" i="1"/>
  <c r="A524" i="1"/>
  <c r="L523" i="1"/>
  <c r="K523" i="1"/>
  <c r="J523" i="1"/>
  <c r="I523" i="1"/>
  <c r="G523" i="1"/>
  <c r="H523" i="1" s="1"/>
  <c r="E523" i="1"/>
  <c r="D523" i="1"/>
  <c r="A523" i="1"/>
  <c r="L522" i="1"/>
  <c r="K522" i="1"/>
  <c r="J522" i="1"/>
  <c r="H522" i="1"/>
  <c r="I522" i="1" s="1"/>
  <c r="G522" i="1"/>
  <c r="E522" i="1"/>
  <c r="D522" i="1"/>
  <c r="A522" i="1"/>
  <c r="J525" i="1" s="1"/>
  <c r="L521" i="1"/>
  <c r="K521" i="1"/>
  <c r="F521" i="1"/>
  <c r="E521" i="1"/>
  <c r="D521" i="1"/>
  <c r="B521" i="1"/>
  <c r="G521" i="1" s="1"/>
  <c r="H521" i="1" s="1"/>
  <c r="I521" i="1" s="1"/>
  <c r="A521" i="1"/>
  <c r="L520" i="1"/>
  <c r="K520" i="1"/>
  <c r="J520" i="1"/>
  <c r="F520" i="1"/>
  <c r="E520" i="1"/>
  <c r="D520" i="1"/>
  <c r="B520" i="1"/>
  <c r="G520" i="1" s="1"/>
  <c r="H520" i="1" s="1"/>
  <c r="I520" i="1" s="1"/>
  <c r="A520" i="1"/>
  <c r="L519" i="1"/>
  <c r="K519" i="1"/>
  <c r="F519" i="1"/>
  <c r="E519" i="1"/>
  <c r="D519" i="1"/>
  <c r="B519" i="1"/>
  <c r="G519" i="1" s="1"/>
  <c r="H519" i="1" s="1"/>
  <c r="I519" i="1" s="1"/>
  <c r="A519" i="1"/>
  <c r="L518" i="1"/>
  <c r="K518" i="1"/>
  <c r="G518" i="1"/>
  <c r="F518" i="1"/>
  <c r="H518" i="1" s="1"/>
  <c r="I518" i="1" s="1"/>
  <c r="E518" i="1"/>
  <c r="D518" i="1"/>
  <c r="B518" i="1"/>
  <c r="A518" i="1"/>
  <c r="L517" i="1"/>
  <c r="K517" i="1"/>
  <c r="J517" i="1"/>
  <c r="I517" i="1"/>
  <c r="F517" i="1"/>
  <c r="E517" i="1"/>
  <c r="D517" i="1"/>
  <c r="B517" i="1"/>
  <c r="G517" i="1" s="1"/>
  <c r="H517" i="1" s="1"/>
  <c r="A517" i="1"/>
  <c r="L516" i="1"/>
  <c r="K516" i="1"/>
  <c r="H516" i="1"/>
  <c r="I516" i="1" s="1"/>
  <c r="F516" i="1"/>
  <c r="E516" i="1"/>
  <c r="D516" i="1"/>
  <c r="B516" i="1"/>
  <c r="G516" i="1" s="1"/>
  <c r="A516" i="1"/>
  <c r="L515" i="1"/>
  <c r="K515" i="1"/>
  <c r="I515" i="1"/>
  <c r="H515" i="1"/>
  <c r="F515" i="1"/>
  <c r="E515" i="1"/>
  <c r="D515" i="1"/>
  <c r="B515" i="1"/>
  <c r="G515" i="1" s="1"/>
  <c r="A515" i="1"/>
  <c r="J521" i="1" s="1"/>
  <c r="L514" i="1"/>
  <c r="K514" i="1"/>
  <c r="I514" i="1"/>
  <c r="F514" i="1"/>
  <c r="E514" i="1"/>
  <c r="D514" i="1"/>
  <c r="B514" i="1"/>
  <c r="G514" i="1" s="1"/>
  <c r="H514" i="1" s="1"/>
  <c r="A514" i="1"/>
  <c r="L513" i="1"/>
  <c r="K513" i="1"/>
  <c r="G513" i="1"/>
  <c r="H513" i="1" s="1"/>
  <c r="I513" i="1" s="1"/>
  <c r="F513" i="1"/>
  <c r="E513" i="1"/>
  <c r="D513" i="1"/>
  <c r="B513" i="1"/>
  <c r="A513" i="1"/>
  <c r="L512" i="1"/>
  <c r="K512" i="1"/>
  <c r="J512" i="1"/>
  <c r="H512" i="1"/>
  <c r="I512" i="1" s="1"/>
  <c r="G512" i="1"/>
  <c r="F512" i="1"/>
  <c r="E512" i="1"/>
  <c r="D512" i="1"/>
  <c r="B512" i="1"/>
  <c r="A512" i="1"/>
  <c r="L511" i="1"/>
  <c r="K511" i="1"/>
  <c r="G511" i="1"/>
  <c r="H511" i="1" s="1"/>
  <c r="I511" i="1" s="1"/>
  <c r="F511" i="1"/>
  <c r="E511" i="1"/>
  <c r="D511" i="1"/>
  <c r="B511" i="1"/>
  <c r="A511" i="1"/>
  <c r="L510" i="1"/>
  <c r="K510" i="1"/>
  <c r="G510" i="1"/>
  <c r="H510" i="1" s="1"/>
  <c r="I510" i="1" s="1"/>
  <c r="F510" i="1"/>
  <c r="E510" i="1"/>
  <c r="D510" i="1"/>
  <c r="B510" i="1"/>
  <c r="A510" i="1"/>
  <c r="L509" i="1"/>
  <c r="K509" i="1"/>
  <c r="G509" i="1"/>
  <c r="H509" i="1" s="1"/>
  <c r="I509" i="1" s="1"/>
  <c r="F509" i="1"/>
  <c r="E509" i="1"/>
  <c r="D509" i="1"/>
  <c r="B509" i="1"/>
  <c r="A509" i="1"/>
  <c r="L508" i="1"/>
  <c r="K508" i="1"/>
  <c r="J508" i="1"/>
  <c r="G508" i="1"/>
  <c r="H508" i="1" s="1"/>
  <c r="I508" i="1" s="1"/>
  <c r="F508" i="1"/>
  <c r="E508" i="1"/>
  <c r="D508" i="1"/>
  <c r="B508" i="1"/>
  <c r="A508" i="1"/>
  <c r="J511" i="1" s="1"/>
  <c r="L507" i="1"/>
  <c r="K507" i="1"/>
  <c r="J507" i="1"/>
  <c r="G507" i="1"/>
  <c r="H507" i="1" s="1"/>
  <c r="I507" i="1" s="1"/>
  <c r="F507" i="1"/>
  <c r="E507" i="1"/>
  <c r="D507" i="1"/>
  <c r="B507" i="1"/>
  <c r="A507" i="1"/>
  <c r="L506" i="1"/>
  <c r="K506" i="1"/>
  <c r="J506" i="1"/>
  <c r="H506" i="1"/>
  <c r="I506" i="1" s="1"/>
  <c r="F506" i="1"/>
  <c r="E506" i="1"/>
  <c r="D506" i="1"/>
  <c r="B506" i="1"/>
  <c r="G506" i="1" s="1"/>
  <c r="A506" i="1"/>
  <c r="L505" i="1"/>
  <c r="K505" i="1"/>
  <c r="F505" i="1"/>
  <c r="E505" i="1"/>
  <c r="D505" i="1"/>
  <c r="B505" i="1"/>
  <c r="G505" i="1" s="1"/>
  <c r="H505" i="1" s="1"/>
  <c r="I505" i="1" s="1"/>
  <c r="A505" i="1"/>
  <c r="L504" i="1"/>
  <c r="K504" i="1"/>
  <c r="F504" i="1"/>
  <c r="E504" i="1"/>
  <c r="D504" i="1"/>
  <c r="B504" i="1"/>
  <c r="G504" i="1" s="1"/>
  <c r="H504" i="1" s="1"/>
  <c r="I504" i="1" s="1"/>
  <c r="A504" i="1"/>
  <c r="L503" i="1"/>
  <c r="K503" i="1"/>
  <c r="F503" i="1"/>
  <c r="E503" i="1"/>
  <c r="D503" i="1"/>
  <c r="B503" i="1"/>
  <c r="G503" i="1" s="1"/>
  <c r="H503" i="1" s="1"/>
  <c r="I503" i="1" s="1"/>
  <c r="A503" i="1"/>
  <c r="L502" i="1"/>
  <c r="K502" i="1"/>
  <c r="G502" i="1"/>
  <c r="F502" i="1"/>
  <c r="H502" i="1" s="1"/>
  <c r="I502" i="1" s="1"/>
  <c r="E502" i="1"/>
  <c r="D502" i="1"/>
  <c r="B502" i="1"/>
  <c r="A502" i="1"/>
  <c r="L501" i="1"/>
  <c r="K501" i="1"/>
  <c r="F501" i="1"/>
  <c r="E501" i="1"/>
  <c r="D501" i="1"/>
  <c r="B501" i="1"/>
  <c r="G501" i="1" s="1"/>
  <c r="H501" i="1" s="1"/>
  <c r="I501" i="1" s="1"/>
  <c r="A501" i="1"/>
  <c r="J505" i="1" s="1"/>
  <c r="L500" i="1"/>
  <c r="K500" i="1"/>
  <c r="F500" i="1"/>
  <c r="E500" i="1"/>
  <c r="D500" i="1"/>
  <c r="B500" i="1"/>
  <c r="G500" i="1" s="1"/>
  <c r="H500" i="1" s="1"/>
  <c r="I500" i="1" s="1"/>
  <c r="A500" i="1"/>
  <c r="L499" i="1"/>
  <c r="K499" i="1"/>
  <c r="F499" i="1"/>
  <c r="H499" i="1" s="1"/>
  <c r="I499" i="1" s="1"/>
  <c r="E499" i="1"/>
  <c r="D499" i="1"/>
  <c r="B499" i="1"/>
  <c r="G499" i="1" s="1"/>
  <c r="A499" i="1"/>
  <c r="L498" i="1"/>
  <c r="K498" i="1"/>
  <c r="I498" i="1"/>
  <c r="F498" i="1"/>
  <c r="E498" i="1"/>
  <c r="D498" i="1"/>
  <c r="B498" i="1"/>
  <c r="G498" i="1" s="1"/>
  <c r="H498" i="1" s="1"/>
  <c r="A498" i="1"/>
  <c r="L497" i="1"/>
  <c r="K497" i="1"/>
  <c r="G497" i="1"/>
  <c r="H497" i="1" s="1"/>
  <c r="I497" i="1" s="1"/>
  <c r="F497" i="1"/>
  <c r="E497" i="1"/>
  <c r="D497" i="1"/>
  <c r="B497" i="1"/>
  <c r="A497" i="1"/>
  <c r="L496" i="1"/>
  <c r="K496" i="1"/>
  <c r="H496" i="1"/>
  <c r="I496" i="1" s="1"/>
  <c r="G496" i="1"/>
  <c r="F496" i="1"/>
  <c r="E496" i="1"/>
  <c r="D496" i="1"/>
  <c r="B496" i="1"/>
  <c r="A496" i="1"/>
  <c r="L495" i="1"/>
  <c r="K495" i="1"/>
  <c r="G495" i="1"/>
  <c r="H495" i="1" s="1"/>
  <c r="I495" i="1" s="1"/>
  <c r="F495" i="1"/>
  <c r="E495" i="1"/>
  <c r="D495" i="1"/>
  <c r="B495" i="1"/>
  <c r="A495" i="1"/>
  <c r="L494" i="1"/>
  <c r="K494" i="1"/>
  <c r="G494" i="1"/>
  <c r="H494" i="1" s="1"/>
  <c r="I494" i="1" s="1"/>
  <c r="F494" i="1"/>
  <c r="E494" i="1"/>
  <c r="D494" i="1"/>
  <c r="B494" i="1"/>
  <c r="A494" i="1"/>
  <c r="J495" i="1" s="1"/>
  <c r="L493" i="1"/>
  <c r="K493" i="1"/>
  <c r="J493" i="1"/>
  <c r="G493" i="1"/>
  <c r="H493" i="1" s="1"/>
  <c r="I493" i="1" s="1"/>
  <c r="F493" i="1"/>
  <c r="E493" i="1"/>
  <c r="D493" i="1"/>
  <c r="B493" i="1"/>
  <c r="A493" i="1"/>
  <c r="L492" i="1"/>
  <c r="K492" i="1"/>
  <c r="J492" i="1"/>
  <c r="G492" i="1"/>
  <c r="H492" i="1" s="1"/>
  <c r="I492" i="1" s="1"/>
  <c r="F492" i="1"/>
  <c r="E492" i="1"/>
  <c r="D492" i="1"/>
  <c r="B492" i="1"/>
  <c r="A492" i="1"/>
  <c r="L491" i="1"/>
  <c r="K491" i="1"/>
  <c r="J491" i="1"/>
  <c r="G491" i="1"/>
  <c r="H491" i="1" s="1"/>
  <c r="I491" i="1" s="1"/>
  <c r="F491" i="1"/>
  <c r="E491" i="1"/>
  <c r="D491" i="1"/>
  <c r="B491" i="1"/>
  <c r="A491" i="1"/>
  <c r="L490" i="1"/>
  <c r="K490" i="1"/>
  <c r="J490" i="1"/>
  <c r="H490" i="1"/>
  <c r="I490" i="1" s="1"/>
  <c r="F490" i="1"/>
  <c r="E490" i="1"/>
  <c r="D490" i="1"/>
  <c r="B490" i="1"/>
  <c r="G490" i="1" s="1"/>
  <c r="A490" i="1"/>
  <c r="L489" i="1"/>
  <c r="K489" i="1"/>
  <c r="I489" i="1"/>
  <c r="H489" i="1"/>
  <c r="F489" i="1"/>
  <c r="E489" i="1"/>
  <c r="D489" i="1"/>
  <c r="B489" i="1"/>
  <c r="G489" i="1" s="1"/>
  <c r="A489" i="1"/>
  <c r="L488" i="1"/>
  <c r="K488" i="1"/>
  <c r="J488" i="1"/>
  <c r="I488" i="1"/>
  <c r="F488" i="1"/>
  <c r="E488" i="1"/>
  <c r="D488" i="1"/>
  <c r="B488" i="1"/>
  <c r="G488" i="1" s="1"/>
  <c r="H488" i="1" s="1"/>
  <c r="A488" i="1"/>
  <c r="L487" i="1"/>
  <c r="K487" i="1"/>
  <c r="I487" i="1"/>
  <c r="F487" i="1"/>
  <c r="E487" i="1"/>
  <c r="D487" i="1"/>
  <c r="B487" i="1"/>
  <c r="G487" i="1" s="1"/>
  <c r="H487" i="1" s="1"/>
  <c r="A487" i="1"/>
  <c r="J489" i="1" s="1"/>
  <c r="L486" i="1"/>
  <c r="K486" i="1"/>
  <c r="G486" i="1"/>
  <c r="F486" i="1"/>
  <c r="H486" i="1" s="1"/>
  <c r="I486" i="1" s="1"/>
  <c r="E486" i="1"/>
  <c r="D486" i="1"/>
  <c r="B486" i="1"/>
  <c r="A486" i="1"/>
  <c r="L485" i="1"/>
  <c r="K485" i="1"/>
  <c r="F485" i="1"/>
  <c r="E485" i="1"/>
  <c r="D485" i="1"/>
  <c r="B485" i="1"/>
  <c r="G485" i="1" s="1"/>
  <c r="H485" i="1" s="1"/>
  <c r="I485" i="1" s="1"/>
  <c r="A485" i="1"/>
  <c r="L484" i="1"/>
  <c r="K484" i="1"/>
  <c r="F484" i="1"/>
  <c r="E484" i="1"/>
  <c r="D484" i="1"/>
  <c r="B484" i="1"/>
  <c r="G484" i="1" s="1"/>
  <c r="H484" i="1" s="1"/>
  <c r="I484" i="1" s="1"/>
  <c r="A484" i="1"/>
  <c r="L483" i="1"/>
  <c r="K483" i="1"/>
  <c r="F483" i="1"/>
  <c r="E483" i="1"/>
  <c r="D483" i="1"/>
  <c r="B483" i="1"/>
  <c r="G483" i="1" s="1"/>
  <c r="H483" i="1" s="1"/>
  <c r="I483" i="1" s="1"/>
  <c r="A483" i="1"/>
  <c r="L482" i="1"/>
  <c r="K482" i="1"/>
  <c r="F482" i="1"/>
  <c r="E482" i="1"/>
  <c r="D482" i="1"/>
  <c r="B482" i="1"/>
  <c r="G482" i="1" s="1"/>
  <c r="H482" i="1" s="1"/>
  <c r="I482" i="1" s="1"/>
  <c r="A482" i="1"/>
  <c r="L481" i="1"/>
  <c r="K481" i="1"/>
  <c r="G481" i="1"/>
  <c r="H481" i="1" s="1"/>
  <c r="I481" i="1" s="1"/>
  <c r="F481" i="1"/>
  <c r="E481" i="1"/>
  <c r="D481" i="1"/>
  <c r="B481" i="1"/>
  <c r="A481" i="1"/>
  <c r="L480" i="1"/>
  <c r="K480" i="1"/>
  <c r="J480" i="1"/>
  <c r="G480" i="1"/>
  <c r="H480" i="1" s="1"/>
  <c r="I480" i="1" s="1"/>
  <c r="F480" i="1"/>
  <c r="E480" i="1"/>
  <c r="D480" i="1"/>
  <c r="B480" i="1"/>
  <c r="A480" i="1"/>
  <c r="L479" i="1"/>
  <c r="K479" i="1"/>
  <c r="J479" i="1"/>
  <c r="G479" i="1"/>
  <c r="H479" i="1" s="1"/>
  <c r="I479" i="1" s="1"/>
  <c r="F479" i="1"/>
  <c r="E479" i="1"/>
  <c r="D479" i="1"/>
  <c r="B479" i="1"/>
  <c r="A479" i="1"/>
  <c r="L478" i="1"/>
  <c r="K478" i="1"/>
  <c r="J478" i="1"/>
  <c r="G478" i="1"/>
  <c r="H478" i="1" s="1"/>
  <c r="I478" i="1" s="1"/>
  <c r="F478" i="1"/>
  <c r="E478" i="1"/>
  <c r="D478" i="1"/>
  <c r="B478" i="1"/>
  <c r="A478" i="1"/>
  <c r="L477" i="1"/>
  <c r="K477" i="1"/>
  <c r="J477" i="1"/>
  <c r="H477" i="1"/>
  <c r="I477" i="1" s="1"/>
  <c r="G477" i="1"/>
  <c r="F477" i="1"/>
  <c r="E477" i="1"/>
  <c r="D477" i="1"/>
  <c r="B477" i="1"/>
  <c r="A477" i="1"/>
  <c r="L476" i="1"/>
  <c r="K476" i="1"/>
  <c r="J476" i="1"/>
  <c r="G476" i="1"/>
  <c r="H476" i="1" s="1"/>
  <c r="I476" i="1" s="1"/>
  <c r="F476" i="1"/>
  <c r="E476" i="1"/>
  <c r="D476" i="1"/>
  <c r="B476" i="1"/>
  <c r="A476" i="1"/>
  <c r="L475" i="1"/>
  <c r="K475" i="1"/>
  <c r="J475" i="1"/>
  <c r="G475" i="1"/>
  <c r="H475" i="1" s="1"/>
  <c r="I475" i="1" s="1"/>
  <c r="F475" i="1"/>
  <c r="E475" i="1"/>
  <c r="D475" i="1"/>
  <c r="B475" i="1"/>
  <c r="A475" i="1"/>
  <c r="L474" i="1"/>
  <c r="K474" i="1"/>
  <c r="J474" i="1"/>
  <c r="F474" i="1"/>
  <c r="H474" i="1" s="1"/>
  <c r="I474" i="1" s="1"/>
  <c r="E474" i="1"/>
  <c r="D474" i="1"/>
  <c r="B474" i="1"/>
  <c r="G474" i="1" s="1"/>
  <c r="A474" i="1"/>
  <c r="L473" i="1"/>
  <c r="K473" i="1"/>
  <c r="F473" i="1"/>
  <c r="H473" i="1" s="1"/>
  <c r="I473" i="1" s="1"/>
  <c r="E473" i="1"/>
  <c r="D473" i="1"/>
  <c r="B473" i="1"/>
  <c r="G473" i="1" s="1"/>
  <c r="A473" i="1"/>
  <c r="J473" i="1" s="1"/>
  <c r="L472" i="1"/>
  <c r="K472" i="1"/>
  <c r="F472" i="1"/>
  <c r="E472" i="1"/>
  <c r="D472" i="1"/>
  <c r="B472" i="1"/>
  <c r="G472" i="1" s="1"/>
  <c r="A472" i="1"/>
  <c r="L471" i="1"/>
  <c r="K471" i="1"/>
  <c r="F471" i="1"/>
  <c r="E471" i="1"/>
  <c r="D471" i="1"/>
  <c r="B471" i="1"/>
  <c r="G471" i="1" s="1"/>
  <c r="A471" i="1"/>
  <c r="L470" i="1"/>
  <c r="K470" i="1"/>
  <c r="H470" i="1"/>
  <c r="I470" i="1" s="1"/>
  <c r="G470" i="1"/>
  <c r="F470" i="1"/>
  <c r="E470" i="1"/>
  <c r="D470" i="1"/>
  <c r="B470" i="1"/>
  <c r="A470" i="1"/>
  <c r="L469" i="1"/>
  <c r="K469" i="1"/>
  <c r="I469" i="1"/>
  <c r="F469" i="1"/>
  <c r="E469" i="1"/>
  <c r="D469" i="1"/>
  <c r="B469" i="1"/>
  <c r="G469" i="1" s="1"/>
  <c r="H469" i="1" s="1"/>
  <c r="A469" i="1"/>
  <c r="L468" i="1"/>
  <c r="K468" i="1"/>
  <c r="H468" i="1"/>
  <c r="I468" i="1" s="1"/>
  <c r="F468" i="1"/>
  <c r="E468" i="1"/>
  <c r="D468" i="1"/>
  <c r="B468" i="1"/>
  <c r="G468" i="1" s="1"/>
  <c r="A468" i="1"/>
  <c r="L467" i="1"/>
  <c r="K467" i="1"/>
  <c r="F467" i="1"/>
  <c r="E467" i="1"/>
  <c r="D467" i="1"/>
  <c r="B467" i="1"/>
  <c r="G467" i="1" s="1"/>
  <c r="H467" i="1" s="1"/>
  <c r="I467" i="1" s="1"/>
  <c r="A467" i="1"/>
  <c r="L466" i="1"/>
  <c r="K466" i="1"/>
  <c r="F466" i="1"/>
  <c r="E466" i="1"/>
  <c r="D466" i="1"/>
  <c r="B466" i="1"/>
  <c r="G466" i="1" s="1"/>
  <c r="H466" i="1" s="1"/>
  <c r="I466" i="1" s="1"/>
  <c r="A466" i="1"/>
  <c r="J466" i="1" s="1"/>
  <c r="L465" i="1"/>
  <c r="K465" i="1"/>
  <c r="E465" i="1"/>
  <c r="D465" i="1"/>
  <c r="B465" i="1"/>
  <c r="G465" i="1" s="1"/>
  <c r="H465" i="1" s="1"/>
  <c r="I465" i="1" s="1"/>
  <c r="A465" i="1"/>
  <c r="L464" i="1"/>
  <c r="K464" i="1"/>
  <c r="I464" i="1"/>
  <c r="G464" i="1"/>
  <c r="H464" i="1" s="1"/>
  <c r="E464" i="1"/>
  <c r="D464" i="1"/>
  <c r="B464" i="1"/>
  <c r="A464" i="1"/>
  <c r="L463" i="1"/>
  <c r="K463" i="1"/>
  <c r="J463" i="1"/>
  <c r="H463" i="1"/>
  <c r="I463" i="1" s="1"/>
  <c r="G463" i="1"/>
  <c r="E463" i="1"/>
  <c r="D463" i="1"/>
  <c r="B463" i="1"/>
  <c r="A463" i="1"/>
  <c r="L462" i="1"/>
  <c r="K462" i="1"/>
  <c r="J462" i="1"/>
  <c r="E462" i="1"/>
  <c r="D462" i="1"/>
  <c r="B462" i="1"/>
  <c r="G462" i="1" s="1"/>
  <c r="H462" i="1" s="1"/>
  <c r="I462" i="1" s="1"/>
  <c r="A462" i="1"/>
  <c r="L461" i="1"/>
  <c r="K461" i="1"/>
  <c r="J461" i="1"/>
  <c r="E461" i="1"/>
  <c r="D461" i="1"/>
  <c r="B461" i="1"/>
  <c r="G461" i="1" s="1"/>
  <c r="H461" i="1" s="1"/>
  <c r="I461" i="1" s="1"/>
  <c r="A461" i="1"/>
  <c r="L460" i="1"/>
  <c r="K460" i="1"/>
  <c r="J460" i="1"/>
  <c r="E460" i="1"/>
  <c r="D460" i="1"/>
  <c r="B460" i="1"/>
  <c r="G460" i="1" s="1"/>
  <c r="H460" i="1" s="1"/>
  <c r="I460" i="1" s="1"/>
  <c r="A460" i="1"/>
  <c r="L459" i="1"/>
  <c r="K459" i="1"/>
  <c r="J459" i="1"/>
  <c r="G459" i="1"/>
  <c r="H459" i="1" s="1"/>
  <c r="I459" i="1" s="1"/>
  <c r="E459" i="1"/>
  <c r="D459" i="1"/>
  <c r="B459" i="1"/>
  <c r="A459" i="1"/>
  <c r="J465" i="1" s="1"/>
  <c r="L458" i="1"/>
  <c r="K458" i="1"/>
  <c r="I458" i="1"/>
  <c r="H458" i="1"/>
  <c r="G458" i="1"/>
  <c r="E458" i="1"/>
  <c r="D458" i="1"/>
  <c r="B458" i="1"/>
  <c r="A458" i="1"/>
  <c r="L457" i="1"/>
  <c r="K457" i="1"/>
  <c r="J457" i="1"/>
  <c r="I457" i="1"/>
  <c r="E457" i="1"/>
  <c r="D457" i="1"/>
  <c r="B457" i="1"/>
  <c r="G457" i="1" s="1"/>
  <c r="H457" i="1" s="1"/>
  <c r="A457" i="1"/>
  <c r="L456" i="1"/>
  <c r="K456" i="1"/>
  <c r="H456" i="1"/>
  <c r="I456" i="1" s="1"/>
  <c r="E456" i="1"/>
  <c r="D456" i="1"/>
  <c r="B456" i="1"/>
  <c r="G456" i="1" s="1"/>
  <c r="A456" i="1"/>
  <c r="L455" i="1"/>
  <c r="K455" i="1"/>
  <c r="J455" i="1"/>
  <c r="H455" i="1"/>
  <c r="I455" i="1" s="1"/>
  <c r="G455" i="1"/>
  <c r="E455" i="1"/>
  <c r="D455" i="1"/>
  <c r="B455" i="1"/>
  <c r="A455" i="1"/>
  <c r="L454" i="1"/>
  <c r="K454" i="1"/>
  <c r="J454" i="1"/>
  <c r="E454" i="1"/>
  <c r="D454" i="1"/>
  <c r="B454" i="1"/>
  <c r="G454" i="1" s="1"/>
  <c r="H454" i="1" s="1"/>
  <c r="I454" i="1" s="1"/>
  <c r="A454" i="1"/>
  <c r="L453" i="1"/>
  <c r="K453" i="1"/>
  <c r="E453" i="1"/>
  <c r="D453" i="1"/>
  <c r="B453" i="1"/>
  <c r="G453" i="1" s="1"/>
  <c r="H453" i="1" s="1"/>
  <c r="I453" i="1" s="1"/>
  <c r="A453" i="1"/>
  <c r="L452" i="1"/>
  <c r="K452" i="1"/>
  <c r="E452" i="1"/>
  <c r="D452" i="1"/>
  <c r="B452" i="1"/>
  <c r="G452" i="1" s="1"/>
  <c r="H452" i="1" s="1"/>
  <c r="I452" i="1" s="1"/>
  <c r="A452" i="1"/>
  <c r="J453" i="1" s="1"/>
  <c r="L451" i="1"/>
  <c r="K451" i="1"/>
  <c r="J451" i="1"/>
  <c r="H451" i="1"/>
  <c r="I451" i="1" s="1"/>
  <c r="G451" i="1"/>
  <c r="E451" i="1"/>
  <c r="D451" i="1"/>
  <c r="B451" i="1"/>
  <c r="A451" i="1"/>
  <c r="L450" i="1"/>
  <c r="K450" i="1"/>
  <c r="J450" i="1"/>
  <c r="E450" i="1"/>
  <c r="D450" i="1"/>
  <c r="B450" i="1"/>
  <c r="G450" i="1" s="1"/>
  <c r="H450" i="1" s="1"/>
  <c r="I450" i="1" s="1"/>
  <c r="A450" i="1"/>
  <c r="L449" i="1"/>
  <c r="K449" i="1"/>
  <c r="J449" i="1"/>
  <c r="E449" i="1"/>
  <c r="D449" i="1"/>
  <c r="B449" i="1"/>
  <c r="G449" i="1" s="1"/>
  <c r="H449" i="1" s="1"/>
  <c r="I449" i="1" s="1"/>
  <c r="A449" i="1"/>
  <c r="L448" i="1"/>
  <c r="K448" i="1"/>
  <c r="E448" i="1"/>
  <c r="D448" i="1"/>
  <c r="B448" i="1"/>
  <c r="G448" i="1" s="1"/>
  <c r="H448" i="1" s="1"/>
  <c r="I448" i="1" s="1"/>
  <c r="A448" i="1"/>
  <c r="L447" i="1"/>
  <c r="K447" i="1"/>
  <c r="H447" i="1"/>
  <c r="I447" i="1" s="1"/>
  <c r="G447" i="1"/>
  <c r="E447" i="1"/>
  <c r="D447" i="1"/>
  <c r="B447" i="1"/>
  <c r="A447" i="1"/>
  <c r="L446" i="1"/>
  <c r="K446" i="1"/>
  <c r="J446" i="1"/>
  <c r="G446" i="1"/>
  <c r="H446" i="1" s="1"/>
  <c r="I446" i="1" s="1"/>
  <c r="E446" i="1"/>
  <c r="D446" i="1"/>
  <c r="B446" i="1"/>
  <c r="A446" i="1"/>
  <c r="L445" i="1"/>
  <c r="K445" i="1"/>
  <c r="J445" i="1"/>
  <c r="I445" i="1"/>
  <c r="E445" i="1"/>
  <c r="D445" i="1"/>
  <c r="B445" i="1"/>
  <c r="G445" i="1" s="1"/>
  <c r="H445" i="1" s="1"/>
  <c r="A445" i="1"/>
  <c r="J448" i="1" s="1"/>
  <c r="L444" i="1"/>
  <c r="K444" i="1"/>
  <c r="E444" i="1"/>
  <c r="D444" i="1"/>
  <c r="B444" i="1"/>
  <c r="G444" i="1" s="1"/>
  <c r="H444" i="1" s="1"/>
  <c r="I444" i="1" s="1"/>
  <c r="A444" i="1"/>
  <c r="L443" i="1"/>
  <c r="K443" i="1"/>
  <c r="J443" i="1"/>
  <c r="G443" i="1"/>
  <c r="H443" i="1" s="1"/>
  <c r="I443" i="1" s="1"/>
  <c r="E443" i="1"/>
  <c r="D443" i="1"/>
  <c r="B443" i="1"/>
  <c r="A443" i="1"/>
  <c r="L442" i="1"/>
  <c r="K442" i="1"/>
  <c r="J442" i="1"/>
  <c r="I442" i="1"/>
  <c r="H442" i="1"/>
  <c r="G442" i="1"/>
  <c r="E442" i="1"/>
  <c r="D442" i="1"/>
  <c r="B442" i="1"/>
  <c r="A442" i="1"/>
  <c r="L441" i="1"/>
  <c r="K441" i="1"/>
  <c r="J441" i="1"/>
  <c r="I441" i="1"/>
  <c r="E441" i="1"/>
  <c r="D441" i="1"/>
  <c r="B441" i="1"/>
  <c r="G441" i="1" s="1"/>
  <c r="H441" i="1" s="1"/>
  <c r="A441" i="1"/>
  <c r="L440" i="1"/>
  <c r="K440" i="1"/>
  <c r="H440" i="1"/>
  <c r="I440" i="1" s="1"/>
  <c r="E440" i="1"/>
  <c r="D440" i="1"/>
  <c r="B440" i="1"/>
  <c r="G440" i="1" s="1"/>
  <c r="A440" i="1"/>
  <c r="L439" i="1"/>
  <c r="K439" i="1"/>
  <c r="J439" i="1"/>
  <c r="H439" i="1"/>
  <c r="I439" i="1" s="1"/>
  <c r="G439" i="1"/>
  <c r="E439" i="1"/>
  <c r="D439" i="1"/>
  <c r="B439" i="1"/>
  <c r="A439" i="1"/>
  <c r="L438" i="1"/>
  <c r="K438" i="1"/>
  <c r="J438" i="1"/>
  <c r="E438" i="1"/>
  <c r="D438" i="1"/>
  <c r="B438" i="1"/>
  <c r="G438" i="1" s="1"/>
  <c r="H438" i="1" s="1"/>
  <c r="I438" i="1" s="1"/>
  <c r="A438" i="1"/>
  <c r="J444" i="1" s="1"/>
  <c r="L437" i="1"/>
  <c r="K437" i="1"/>
  <c r="E437" i="1"/>
  <c r="D437" i="1"/>
  <c r="B437" i="1"/>
  <c r="G437" i="1" s="1"/>
  <c r="H437" i="1" s="1"/>
  <c r="I437" i="1" s="1"/>
  <c r="A437" i="1"/>
  <c r="L436" i="1"/>
  <c r="K436" i="1"/>
  <c r="E436" i="1"/>
  <c r="D436" i="1"/>
  <c r="B436" i="1"/>
  <c r="G436" i="1" s="1"/>
  <c r="H436" i="1" s="1"/>
  <c r="I436" i="1" s="1"/>
  <c r="A436" i="1"/>
  <c r="L435" i="1"/>
  <c r="K435" i="1"/>
  <c r="H435" i="1"/>
  <c r="I435" i="1" s="1"/>
  <c r="G435" i="1"/>
  <c r="E435" i="1"/>
  <c r="D435" i="1"/>
  <c r="B435" i="1"/>
  <c r="A435" i="1"/>
  <c r="L434" i="1"/>
  <c r="K434" i="1"/>
  <c r="E434" i="1"/>
  <c r="D434" i="1"/>
  <c r="B434" i="1"/>
  <c r="G434" i="1" s="1"/>
  <c r="H434" i="1" s="1"/>
  <c r="I434" i="1" s="1"/>
  <c r="A434" i="1"/>
  <c r="L433" i="1"/>
  <c r="K433" i="1"/>
  <c r="E433" i="1"/>
  <c r="D433" i="1"/>
  <c r="B433" i="1"/>
  <c r="G433" i="1" s="1"/>
  <c r="H433" i="1" s="1"/>
  <c r="I433" i="1" s="1"/>
  <c r="A433" i="1"/>
  <c r="L432" i="1"/>
  <c r="K432" i="1"/>
  <c r="H432" i="1"/>
  <c r="I432" i="1" s="1"/>
  <c r="G432" i="1"/>
  <c r="E432" i="1"/>
  <c r="D432" i="1"/>
  <c r="A432" i="1"/>
  <c r="L431" i="1"/>
  <c r="K431" i="1"/>
  <c r="H431" i="1"/>
  <c r="I431" i="1" s="1"/>
  <c r="G431" i="1"/>
  <c r="E431" i="1"/>
  <c r="D431" i="1"/>
  <c r="A431" i="1"/>
  <c r="J435" i="1" s="1"/>
  <c r="L430" i="1"/>
  <c r="K430" i="1"/>
  <c r="G430" i="1"/>
  <c r="H430" i="1" s="1"/>
  <c r="I430" i="1" s="1"/>
  <c r="E430" i="1"/>
  <c r="D430" i="1"/>
  <c r="B430" i="1"/>
  <c r="A430" i="1"/>
  <c r="L429" i="1"/>
  <c r="K429" i="1"/>
  <c r="H429" i="1"/>
  <c r="I429" i="1" s="1"/>
  <c r="G429" i="1"/>
  <c r="E429" i="1"/>
  <c r="D429" i="1"/>
  <c r="B429" i="1"/>
  <c r="A429" i="1"/>
  <c r="L428" i="1"/>
  <c r="K428" i="1"/>
  <c r="I428" i="1"/>
  <c r="E428" i="1"/>
  <c r="D428" i="1"/>
  <c r="B428" i="1"/>
  <c r="G428" i="1" s="1"/>
  <c r="H428" i="1" s="1"/>
  <c r="A428" i="1"/>
  <c r="L427" i="1"/>
  <c r="K427" i="1"/>
  <c r="G427" i="1"/>
  <c r="H427" i="1" s="1"/>
  <c r="I427" i="1" s="1"/>
  <c r="E427" i="1"/>
  <c r="D427" i="1"/>
  <c r="B427" i="1"/>
  <c r="A427" i="1"/>
  <c r="L426" i="1"/>
  <c r="K426" i="1"/>
  <c r="I426" i="1"/>
  <c r="H426" i="1"/>
  <c r="G426" i="1"/>
  <c r="E426" i="1"/>
  <c r="D426" i="1"/>
  <c r="B426" i="1"/>
  <c r="A426" i="1"/>
  <c r="L425" i="1"/>
  <c r="K425" i="1"/>
  <c r="E425" i="1"/>
  <c r="D425" i="1"/>
  <c r="B425" i="1"/>
  <c r="G425" i="1" s="1"/>
  <c r="H425" i="1" s="1"/>
  <c r="I425" i="1" s="1"/>
  <c r="A425" i="1"/>
  <c r="L424" i="1"/>
  <c r="K424" i="1"/>
  <c r="E424" i="1"/>
  <c r="D424" i="1"/>
  <c r="B424" i="1"/>
  <c r="G424" i="1" s="1"/>
  <c r="H424" i="1" s="1"/>
  <c r="I424" i="1" s="1"/>
  <c r="A424" i="1"/>
  <c r="J427" i="1" s="1"/>
  <c r="L423" i="1"/>
  <c r="K423" i="1"/>
  <c r="E423" i="1"/>
  <c r="D423" i="1"/>
  <c r="B423" i="1"/>
  <c r="G423" i="1" s="1"/>
  <c r="H423" i="1" s="1"/>
  <c r="I423" i="1" s="1"/>
  <c r="A423" i="1"/>
  <c r="L422" i="1"/>
  <c r="K422" i="1"/>
  <c r="G422" i="1"/>
  <c r="H422" i="1" s="1"/>
  <c r="I422" i="1" s="1"/>
  <c r="E422" i="1"/>
  <c r="D422" i="1"/>
  <c r="B422" i="1"/>
  <c r="A422" i="1"/>
  <c r="L421" i="1"/>
  <c r="K421" i="1"/>
  <c r="G421" i="1"/>
  <c r="H421" i="1" s="1"/>
  <c r="I421" i="1" s="1"/>
  <c r="E421" i="1"/>
  <c r="D421" i="1"/>
  <c r="B421" i="1"/>
  <c r="A421" i="1"/>
  <c r="L420" i="1"/>
  <c r="K420" i="1"/>
  <c r="I420" i="1"/>
  <c r="E420" i="1"/>
  <c r="D420" i="1"/>
  <c r="B420" i="1"/>
  <c r="G420" i="1" s="1"/>
  <c r="H420" i="1" s="1"/>
  <c r="A420" i="1"/>
  <c r="L419" i="1"/>
  <c r="K419" i="1"/>
  <c r="G419" i="1"/>
  <c r="H419" i="1" s="1"/>
  <c r="I419" i="1" s="1"/>
  <c r="E419" i="1"/>
  <c r="D419" i="1"/>
  <c r="B419" i="1"/>
  <c r="A419" i="1"/>
  <c r="L418" i="1"/>
  <c r="K418" i="1"/>
  <c r="I418" i="1"/>
  <c r="H418" i="1"/>
  <c r="G418" i="1"/>
  <c r="E418" i="1"/>
  <c r="D418" i="1"/>
  <c r="B418" i="1"/>
  <c r="A418" i="1"/>
  <c r="L417" i="1"/>
  <c r="K417" i="1"/>
  <c r="E417" i="1"/>
  <c r="D417" i="1"/>
  <c r="B417" i="1"/>
  <c r="G417" i="1" s="1"/>
  <c r="H417" i="1" s="1"/>
  <c r="I417" i="1" s="1"/>
  <c r="A417" i="1"/>
  <c r="J417" i="1" s="1"/>
  <c r="L416" i="1"/>
  <c r="K416" i="1"/>
  <c r="J416" i="1"/>
  <c r="E416" i="1"/>
  <c r="D416" i="1"/>
  <c r="B416" i="1"/>
  <c r="G416" i="1" s="1"/>
  <c r="H416" i="1" s="1"/>
  <c r="I416" i="1" s="1"/>
  <c r="A416" i="1"/>
  <c r="L415" i="1"/>
  <c r="K415" i="1"/>
  <c r="J415" i="1"/>
  <c r="E415" i="1"/>
  <c r="D415" i="1"/>
  <c r="B415" i="1"/>
  <c r="G415" i="1" s="1"/>
  <c r="H415" i="1" s="1"/>
  <c r="I415" i="1" s="1"/>
  <c r="A415" i="1"/>
  <c r="L414" i="1"/>
  <c r="K414" i="1"/>
  <c r="J414" i="1"/>
  <c r="G414" i="1"/>
  <c r="H414" i="1" s="1"/>
  <c r="I414" i="1" s="1"/>
  <c r="E414" i="1"/>
  <c r="D414" i="1"/>
  <c r="B414" i="1"/>
  <c r="A414" i="1"/>
  <c r="L413" i="1"/>
  <c r="K413" i="1"/>
  <c r="J413" i="1"/>
  <c r="H413" i="1"/>
  <c r="I413" i="1" s="1"/>
  <c r="G413" i="1"/>
  <c r="E413" i="1"/>
  <c r="D413" i="1"/>
  <c r="B413" i="1"/>
  <c r="A413" i="1"/>
  <c r="L412" i="1"/>
  <c r="K412" i="1"/>
  <c r="J412" i="1"/>
  <c r="I412" i="1"/>
  <c r="E412" i="1"/>
  <c r="D412" i="1"/>
  <c r="B412" i="1"/>
  <c r="G412" i="1" s="1"/>
  <c r="H412" i="1" s="1"/>
  <c r="A412" i="1"/>
  <c r="L411" i="1"/>
  <c r="K411" i="1"/>
  <c r="J411" i="1"/>
  <c r="E411" i="1"/>
  <c r="D411" i="1"/>
  <c r="B411" i="1"/>
  <c r="G411" i="1" s="1"/>
  <c r="H411" i="1" s="1"/>
  <c r="I411" i="1" s="1"/>
  <c r="A411" i="1"/>
  <c r="L410" i="1"/>
  <c r="K410" i="1"/>
  <c r="J410" i="1"/>
  <c r="G410" i="1"/>
  <c r="H410" i="1" s="1"/>
  <c r="I410" i="1" s="1"/>
  <c r="E410" i="1"/>
  <c r="D410" i="1"/>
  <c r="B410" i="1"/>
  <c r="A410" i="1"/>
  <c r="L409" i="1"/>
  <c r="K409" i="1"/>
  <c r="E409" i="1"/>
  <c r="D409" i="1"/>
  <c r="B409" i="1"/>
  <c r="G409" i="1" s="1"/>
  <c r="H409" i="1" s="1"/>
  <c r="I409" i="1" s="1"/>
  <c r="A409" i="1"/>
  <c r="L408" i="1"/>
  <c r="K408" i="1"/>
  <c r="E408" i="1"/>
  <c r="D408" i="1"/>
  <c r="B408" i="1"/>
  <c r="G408" i="1" s="1"/>
  <c r="H408" i="1" s="1"/>
  <c r="I408" i="1" s="1"/>
  <c r="A408" i="1"/>
  <c r="L407" i="1"/>
  <c r="K407" i="1"/>
  <c r="E407" i="1"/>
  <c r="D407" i="1"/>
  <c r="B407" i="1"/>
  <c r="G407" i="1" s="1"/>
  <c r="H407" i="1" s="1"/>
  <c r="I407" i="1" s="1"/>
  <c r="A407" i="1"/>
  <c r="L406" i="1"/>
  <c r="K406" i="1"/>
  <c r="G406" i="1"/>
  <c r="H406" i="1" s="1"/>
  <c r="I406" i="1" s="1"/>
  <c r="E406" i="1"/>
  <c r="D406" i="1"/>
  <c r="B406" i="1"/>
  <c r="A406" i="1"/>
  <c r="L405" i="1"/>
  <c r="K405" i="1"/>
  <c r="J405" i="1"/>
  <c r="E405" i="1"/>
  <c r="D405" i="1"/>
  <c r="B405" i="1"/>
  <c r="G405" i="1" s="1"/>
  <c r="H405" i="1" s="1"/>
  <c r="I405" i="1" s="1"/>
  <c r="A405" i="1"/>
  <c r="L404" i="1"/>
  <c r="K404" i="1"/>
  <c r="J404" i="1"/>
  <c r="I404" i="1"/>
  <c r="H404" i="1"/>
  <c r="G404" i="1"/>
  <c r="E404" i="1"/>
  <c r="D404" i="1"/>
  <c r="A404" i="1"/>
  <c r="L403" i="1"/>
  <c r="K403" i="1"/>
  <c r="G403" i="1"/>
  <c r="H403" i="1" s="1"/>
  <c r="I403" i="1" s="1"/>
  <c r="E403" i="1"/>
  <c r="D403" i="1"/>
  <c r="A403" i="1"/>
  <c r="J407" i="1" s="1"/>
  <c r="L402" i="1"/>
  <c r="K402" i="1"/>
  <c r="F402" i="1"/>
  <c r="E402" i="1"/>
  <c r="D402" i="1"/>
  <c r="B402" i="1"/>
  <c r="G402" i="1" s="1"/>
  <c r="H402" i="1" s="1"/>
  <c r="I402" i="1" s="1"/>
  <c r="A402" i="1"/>
  <c r="L401" i="1"/>
  <c r="K401" i="1"/>
  <c r="F401" i="1"/>
  <c r="E401" i="1"/>
  <c r="D401" i="1"/>
  <c r="B401" i="1"/>
  <c r="G401" i="1" s="1"/>
  <c r="H401" i="1" s="1"/>
  <c r="I401" i="1" s="1"/>
  <c r="A401" i="1"/>
  <c r="L400" i="1"/>
  <c r="K400" i="1"/>
  <c r="F400" i="1"/>
  <c r="E400" i="1"/>
  <c r="D400" i="1"/>
  <c r="B400" i="1"/>
  <c r="G400" i="1" s="1"/>
  <c r="A400" i="1"/>
  <c r="L399" i="1"/>
  <c r="K399" i="1"/>
  <c r="G399" i="1"/>
  <c r="H399" i="1" s="1"/>
  <c r="I399" i="1" s="1"/>
  <c r="F399" i="1"/>
  <c r="E399" i="1"/>
  <c r="D399" i="1"/>
  <c r="B399" i="1"/>
  <c r="A399" i="1"/>
  <c r="L398" i="1"/>
  <c r="K398" i="1"/>
  <c r="J398" i="1"/>
  <c r="F398" i="1"/>
  <c r="E398" i="1"/>
  <c r="D398" i="1"/>
  <c r="B398" i="1"/>
  <c r="G398" i="1" s="1"/>
  <c r="H398" i="1" s="1"/>
  <c r="I398" i="1" s="1"/>
  <c r="A398" i="1"/>
  <c r="L397" i="1"/>
  <c r="K397" i="1"/>
  <c r="F397" i="1"/>
  <c r="E397" i="1"/>
  <c r="D397" i="1"/>
  <c r="B397" i="1"/>
  <c r="G397" i="1" s="1"/>
  <c r="H397" i="1" s="1"/>
  <c r="I397" i="1" s="1"/>
  <c r="A397" i="1"/>
  <c r="L396" i="1"/>
  <c r="K396" i="1"/>
  <c r="G396" i="1"/>
  <c r="F396" i="1"/>
  <c r="E396" i="1"/>
  <c r="D396" i="1"/>
  <c r="B396" i="1"/>
  <c r="A396" i="1"/>
  <c r="J400" i="1" s="1"/>
  <c r="L395" i="1"/>
  <c r="K395" i="1"/>
  <c r="J395" i="1"/>
  <c r="I395" i="1"/>
  <c r="H395" i="1"/>
  <c r="F395" i="1"/>
  <c r="E395" i="1"/>
  <c r="D395" i="1"/>
  <c r="B395" i="1"/>
  <c r="G395" i="1" s="1"/>
  <c r="A395" i="1"/>
  <c r="L394" i="1"/>
  <c r="K394" i="1"/>
  <c r="F394" i="1"/>
  <c r="E394" i="1"/>
  <c r="D394" i="1"/>
  <c r="B394" i="1"/>
  <c r="G394" i="1" s="1"/>
  <c r="H394" i="1" s="1"/>
  <c r="I394" i="1" s="1"/>
  <c r="A394" i="1"/>
  <c r="L393" i="1"/>
  <c r="K393" i="1"/>
  <c r="F393" i="1"/>
  <c r="E393" i="1"/>
  <c r="D393" i="1"/>
  <c r="B393" i="1"/>
  <c r="G393" i="1" s="1"/>
  <c r="H393" i="1" s="1"/>
  <c r="I393" i="1" s="1"/>
  <c r="A393" i="1"/>
  <c r="L392" i="1"/>
  <c r="K392" i="1"/>
  <c r="F392" i="1"/>
  <c r="E392" i="1"/>
  <c r="D392" i="1"/>
  <c r="B392" i="1"/>
  <c r="G392" i="1" s="1"/>
  <c r="A392" i="1"/>
  <c r="L391" i="1"/>
  <c r="K391" i="1"/>
  <c r="G391" i="1"/>
  <c r="H391" i="1" s="1"/>
  <c r="I391" i="1" s="1"/>
  <c r="F391" i="1"/>
  <c r="E391" i="1"/>
  <c r="D391" i="1"/>
  <c r="B391" i="1"/>
  <c r="A391" i="1"/>
  <c r="L390" i="1"/>
  <c r="K390" i="1"/>
  <c r="J390" i="1"/>
  <c r="F390" i="1"/>
  <c r="E390" i="1"/>
  <c r="D390" i="1"/>
  <c r="B390" i="1"/>
  <c r="G390" i="1" s="1"/>
  <c r="H390" i="1" s="1"/>
  <c r="I390" i="1" s="1"/>
  <c r="A390" i="1"/>
  <c r="L389" i="1"/>
  <c r="K389" i="1"/>
  <c r="F389" i="1"/>
  <c r="E389" i="1"/>
  <c r="D389" i="1"/>
  <c r="B389" i="1"/>
  <c r="G389" i="1" s="1"/>
  <c r="H389" i="1" s="1"/>
  <c r="I389" i="1" s="1"/>
  <c r="A389" i="1"/>
  <c r="J393" i="1" s="1"/>
  <c r="L388" i="1"/>
  <c r="K388" i="1"/>
  <c r="G388" i="1"/>
  <c r="F388" i="1"/>
  <c r="E388" i="1"/>
  <c r="D388" i="1"/>
  <c r="B388" i="1"/>
  <c r="A388" i="1"/>
  <c r="L387" i="1"/>
  <c r="K387" i="1"/>
  <c r="J387" i="1"/>
  <c r="I387" i="1"/>
  <c r="H387" i="1"/>
  <c r="F387" i="1"/>
  <c r="E387" i="1"/>
  <c r="D387" i="1"/>
  <c r="B387" i="1"/>
  <c r="G387" i="1" s="1"/>
  <c r="A387" i="1"/>
  <c r="L386" i="1"/>
  <c r="K386" i="1"/>
  <c r="F386" i="1"/>
  <c r="E386" i="1"/>
  <c r="D386" i="1"/>
  <c r="B386" i="1"/>
  <c r="G386" i="1" s="1"/>
  <c r="H386" i="1" s="1"/>
  <c r="I386" i="1" s="1"/>
  <c r="A386" i="1"/>
  <c r="L385" i="1"/>
  <c r="K385" i="1"/>
  <c r="F385" i="1"/>
  <c r="E385" i="1"/>
  <c r="D385" i="1"/>
  <c r="B385" i="1"/>
  <c r="G385" i="1" s="1"/>
  <c r="H385" i="1" s="1"/>
  <c r="I385" i="1" s="1"/>
  <c r="A385" i="1"/>
  <c r="L384" i="1"/>
  <c r="K384" i="1"/>
  <c r="F384" i="1"/>
  <c r="H384" i="1" s="1"/>
  <c r="I384" i="1" s="1"/>
  <c r="E384" i="1"/>
  <c r="D384" i="1"/>
  <c r="B384" i="1"/>
  <c r="G384" i="1" s="1"/>
  <c r="A384" i="1"/>
  <c r="L383" i="1"/>
  <c r="K383" i="1"/>
  <c r="H383" i="1"/>
  <c r="I383" i="1" s="1"/>
  <c r="G383" i="1"/>
  <c r="F383" i="1"/>
  <c r="E383" i="1"/>
  <c r="D383" i="1"/>
  <c r="B383" i="1"/>
  <c r="A383" i="1"/>
  <c r="L382" i="1"/>
  <c r="K382" i="1"/>
  <c r="F382" i="1"/>
  <c r="E382" i="1"/>
  <c r="D382" i="1"/>
  <c r="B382" i="1"/>
  <c r="G382" i="1" s="1"/>
  <c r="H382" i="1" s="1"/>
  <c r="I382" i="1" s="1"/>
  <c r="A382" i="1"/>
  <c r="J385" i="1" s="1"/>
  <c r="L381" i="1"/>
  <c r="K381" i="1"/>
  <c r="J381" i="1"/>
  <c r="G381" i="1"/>
  <c r="F381" i="1"/>
  <c r="E381" i="1"/>
  <c r="D381" i="1"/>
  <c r="B381" i="1"/>
  <c r="A381" i="1"/>
  <c r="L380" i="1"/>
  <c r="K380" i="1"/>
  <c r="J380" i="1"/>
  <c r="I380" i="1"/>
  <c r="H380" i="1"/>
  <c r="G380" i="1"/>
  <c r="F380" i="1"/>
  <c r="E380" i="1"/>
  <c r="D380" i="1"/>
  <c r="B380" i="1"/>
  <c r="A380" i="1"/>
  <c r="L379" i="1"/>
  <c r="K379" i="1"/>
  <c r="J379" i="1"/>
  <c r="F379" i="1"/>
  <c r="E379" i="1"/>
  <c r="D379" i="1"/>
  <c r="B379" i="1"/>
  <c r="G379" i="1" s="1"/>
  <c r="H379" i="1" s="1"/>
  <c r="I379" i="1" s="1"/>
  <c r="A379" i="1"/>
  <c r="L378" i="1"/>
  <c r="K378" i="1"/>
  <c r="J378" i="1"/>
  <c r="G378" i="1"/>
  <c r="F378" i="1"/>
  <c r="E378" i="1"/>
  <c r="D378" i="1"/>
  <c r="B378" i="1"/>
  <c r="A378" i="1"/>
  <c r="L377" i="1"/>
  <c r="K377" i="1"/>
  <c r="J377" i="1"/>
  <c r="I377" i="1"/>
  <c r="H377" i="1"/>
  <c r="G377" i="1"/>
  <c r="F377" i="1"/>
  <c r="E377" i="1"/>
  <c r="D377" i="1"/>
  <c r="B377" i="1"/>
  <c r="A377" i="1"/>
  <c r="L376" i="1"/>
  <c r="K376" i="1"/>
  <c r="J376" i="1"/>
  <c r="F376" i="1"/>
  <c r="E376" i="1"/>
  <c r="D376" i="1"/>
  <c r="B376" i="1"/>
  <c r="G376" i="1" s="1"/>
  <c r="H376" i="1" s="1"/>
  <c r="I376" i="1" s="1"/>
  <c r="A376" i="1"/>
  <c r="L375" i="1"/>
  <c r="K375" i="1"/>
  <c r="F375" i="1"/>
  <c r="E375" i="1"/>
  <c r="D375" i="1"/>
  <c r="B375" i="1"/>
  <c r="G375" i="1" s="1"/>
  <c r="H375" i="1" s="1"/>
  <c r="I375" i="1" s="1"/>
  <c r="A375" i="1"/>
  <c r="J375" i="1" s="1"/>
  <c r="L374" i="1"/>
  <c r="K374" i="1"/>
  <c r="H374" i="1"/>
  <c r="I374" i="1" s="1"/>
  <c r="G374" i="1"/>
  <c r="E374" i="1"/>
  <c r="D374" i="1"/>
  <c r="B374" i="1"/>
  <c r="A374" i="1"/>
  <c r="L373" i="1"/>
  <c r="K373" i="1"/>
  <c r="J373" i="1"/>
  <c r="I373" i="1"/>
  <c r="H373" i="1"/>
  <c r="E373" i="1"/>
  <c r="D373" i="1"/>
  <c r="B373" i="1"/>
  <c r="G373" i="1" s="1"/>
  <c r="A373" i="1"/>
  <c r="L372" i="1"/>
  <c r="K372" i="1"/>
  <c r="J372" i="1"/>
  <c r="E372" i="1"/>
  <c r="D372" i="1"/>
  <c r="B372" i="1"/>
  <c r="G372" i="1" s="1"/>
  <c r="H372" i="1" s="1"/>
  <c r="I372" i="1" s="1"/>
  <c r="A372" i="1"/>
  <c r="L371" i="1"/>
  <c r="K371" i="1"/>
  <c r="J371" i="1"/>
  <c r="E371" i="1"/>
  <c r="D371" i="1"/>
  <c r="B371" i="1"/>
  <c r="G371" i="1" s="1"/>
  <c r="H371" i="1" s="1"/>
  <c r="I371" i="1" s="1"/>
  <c r="A371" i="1"/>
  <c r="L370" i="1"/>
  <c r="K370" i="1"/>
  <c r="E370" i="1"/>
  <c r="D370" i="1"/>
  <c r="B370" i="1"/>
  <c r="G370" i="1" s="1"/>
  <c r="H370" i="1" s="1"/>
  <c r="I370" i="1" s="1"/>
  <c r="A370" i="1"/>
  <c r="L369" i="1"/>
  <c r="K369" i="1"/>
  <c r="H369" i="1"/>
  <c r="I369" i="1" s="1"/>
  <c r="E369" i="1"/>
  <c r="D369" i="1"/>
  <c r="B369" i="1"/>
  <c r="G369" i="1" s="1"/>
  <c r="A369" i="1"/>
  <c r="L368" i="1"/>
  <c r="K368" i="1"/>
  <c r="J368" i="1"/>
  <c r="G368" i="1"/>
  <c r="H368" i="1" s="1"/>
  <c r="I368" i="1" s="1"/>
  <c r="E368" i="1"/>
  <c r="D368" i="1"/>
  <c r="B368" i="1"/>
  <c r="A368" i="1"/>
  <c r="J374" i="1" s="1"/>
  <c r="L367" i="1"/>
  <c r="K367" i="1"/>
  <c r="E367" i="1"/>
  <c r="D367" i="1"/>
  <c r="B367" i="1"/>
  <c r="G367" i="1" s="1"/>
  <c r="H367" i="1" s="1"/>
  <c r="I367" i="1" s="1"/>
  <c r="A367" i="1"/>
  <c r="L366" i="1"/>
  <c r="K366" i="1"/>
  <c r="E366" i="1"/>
  <c r="D366" i="1"/>
  <c r="B366" i="1"/>
  <c r="G366" i="1" s="1"/>
  <c r="H366" i="1" s="1"/>
  <c r="I366" i="1" s="1"/>
  <c r="A366" i="1"/>
  <c r="L365" i="1"/>
  <c r="K365" i="1"/>
  <c r="E365" i="1"/>
  <c r="D365" i="1"/>
  <c r="B365" i="1"/>
  <c r="G365" i="1" s="1"/>
  <c r="H365" i="1" s="1"/>
  <c r="I365" i="1" s="1"/>
  <c r="A365" i="1"/>
  <c r="L364" i="1"/>
  <c r="K364" i="1"/>
  <c r="E364" i="1"/>
  <c r="D364" i="1"/>
  <c r="B364" i="1"/>
  <c r="G364" i="1" s="1"/>
  <c r="H364" i="1" s="1"/>
  <c r="I364" i="1" s="1"/>
  <c r="A364" i="1"/>
  <c r="L363" i="1"/>
  <c r="K363" i="1"/>
  <c r="H363" i="1"/>
  <c r="I363" i="1" s="1"/>
  <c r="G363" i="1"/>
  <c r="E363" i="1"/>
  <c r="D363" i="1"/>
  <c r="B363" i="1"/>
  <c r="A363" i="1"/>
  <c r="L362" i="1"/>
  <c r="K362" i="1"/>
  <c r="J362" i="1"/>
  <c r="E362" i="1"/>
  <c r="D362" i="1"/>
  <c r="B362" i="1"/>
  <c r="G362" i="1" s="1"/>
  <c r="H362" i="1" s="1"/>
  <c r="I362" i="1" s="1"/>
  <c r="A362" i="1"/>
  <c r="L361" i="1"/>
  <c r="K361" i="1"/>
  <c r="E361" i="1"/>
  <c r="D361" i="1"/>
  <c r="B361" i="1"/>
  <c r="G361" i="1" s="1"/>
  <c r="H361" i="1" s="1"/>
  <c r="I361" i="1" s="1"/>
  <c r="A361" i="1"/>
  <c r="J367" i="1" s="1"/>
  <c r="L360" i="1"/>
  <c r="K360" i="1"/>
  <c r="E360" i="1"/>
  <c r="D360" i="1"/>
  <c r="B360" i="1"/>
  <c r="G360" i="1" s="1"/>
  <c r="H360" i="1" s="1"/>
  <c r="I360" i="1" s="1"/>
  <c r="A360" i="1"/>
  <c r="L359" i="1"/>
  <c r="K359" i="1"/>
  <c r="E359" i="1"/>
  <c r="D359" i="1"/>
  <c r="B359" i="1"/>
  <c r="G359" i="1" s="1"/>
  <c r="H359" i="1" s="1"/>
  <c r="I359" i="1" s="1"/>
  <c r="A359" i="1"/>
  <c r="L358" i="1"/>
  <c r="K358" i="1"/>
  <c r="J358" i="1"/>
  <c r="G358" i="1"/>
  <c r="H358" i="1" s="1"/>
  <c r="I358" i="1" s="1"/>
  <c r="E358" i="1"/>
  <c r="D358" i="1"/>
  <c r="B358" i="1"/>
  <c r="A358" i="1"/>
  <c r="L357" i="1"/>
  <c r="K357" i="1"/>
  <c r="J357" i="1"/>
  <c r="I357" i="1"/>
  <c r="H357" i="1"/>
  <c r="E357" i="1"/>
  <c r="D357" i="1"/>
  <c r="B357" i="1"/>
  <c r="G357" i="1" s="1"/>
  <c r="A357" i="1"/>
  <c r="L356" i="1"/>
  <c r="K356" i="1"/>
  <c r="J356" i="1"/>
  <c r="E356" i="1"/>
  <c r="D356" i="1"/>
  <c r="B356" i="1"/>
  <c r="G356" i="1" s="1"/>
  <c r="H356" i="1" s="1"/>
  <c r="I356" i="1" s="1"/>
  <c r="A356" i="1"/>
  <c r="L355" i="1"/>
  <c r="K355" i="1"/>
  <c r="J355" i="1"/>
  <c r="E355" i="1"/>
  <c r="D355" i="1"/>
  <c r="B355" i="1"/>
  <c r="G355" i="1" s="1"/>
  <c r="H355" i="1" s="1"/>
  <c r="I355" i="1" s="1"/>
  <c r="A355" i="1"/>
  <c r="L354" i="1"/>
  <c r="K354" i="1"/>
  <c r="E354" i="1"/>
  <c r="D354" i="1"/>
  <c r="B354" i="1"/>
  <c r="G354" i="1" s="1"/>
  <c r="H354" i="1" s="1"/>
  <c r="I354" i="1" s="1"/>
  <c r="A354" i="1"/>
  <c r="J360" i="1" s="1"/>
  <c r="L353" i="1"/>
  <c r="K353" i="1"/>
  <c r="J353" i="1"/>
  <c r="H353" i="1"/>
  <c r="I353" i="1" s="1"/>
  <c r="E353" i="1"/>
  <c r="D353" i="1"/>
  <c r="B353" i="1"/>
  <c r="G353" i="1" s="1"/>
  <c r="A353" i="1"/>
  <c r="L352" i="1"/>
  <c r="K352" i="1"/>
  <c r="J352" i="1"/>
  <c r="H352" i="1"/>
  <c r="I352" i="1" s="1"/>
  <c r="G352" i="1"/>
  <c r="E352" i="1"/>
  <c r="D352" i="1"/>
  <c r="B352" i="1"/>
  <c r="A352" i="1"/>
  <c r="L351" i="1"/>
  <c r="K351" i="1"/>
  <c r="J351" i="1"/>
  <c r="I351" i="1"/>
  <c r="E351" i="1"/>
  <c r="D351" i="1"/>
  <c r="B351" i="1"/>
  <c r="G351" i="1" s="1"/>
  <c r="H351" i="1" s="1"/>
  <c r="A351" i="1"/>
  <c r="L350" i="1"/>
  <c r="K350" i="1"/>
  <c r="J350" i="1"/>
  <c r="E350" i="1"/>
  <c r="D350" i="1"/>
  <c r="B350" i="1"/>
  <c r="G350" i="1" s="1"/>
  <c r="H350" i="1" s="1"/>
  <c r="I350" i="1" s="1"/>
  <c r="A350" i="1"/>
  <c r="L349" i="1"/>
  <c r="K349" i="1"/>
  <c r="J349" i="1"/>
  <c r="E349" i="1"/>
  <c r="D349" i="1"/>
  <c r="B349" i="1"/>
  <c r="G349" i="1" s="1"/>
  <c r="H349" i="1" s="1"/>
  <c r="I349" i="1" s="1"/>
  <c r="A349" i="1"/>
  <c r="L348" i="1"/>
  <c r="K348" i="1"/>
  <c r="J348" i="1"/>
  <c r="E348" i="1"/>
  <c r="D348" i="1"/>
  <c r="B348" i="1"/>
  <c r="G348" i="1" s="1"/>
  <c r="H348" i="1" s="1"/>
  <c r="I348" i="1" s="1"/>
  <c r="A348" i="1"/>
  <c r="L347" i="1"/>
  <c r="K347" i="1"/>
  <c r="J347" i="1"/>
  <c r="G347" i="1"/>
  <c r="H347" i="1" s="1"/>
  <c r="I347" i="1" s="1"/>
  <c r="E347" i="1"/>
  <c r="D347" i="1"/>
  <c r="B347" i="1"/>
  <c r="A347" i="1"/>
  <c r="L346" i="1"/>
  <c r="K346" i="1"/>
  <c r="J346" i="1"/>
  <c r="E346" i="1"/>
  <c r="D346" i="1"/>
  <c r="B346" i="1"/>
  <c r="G346" i="1" s="1"/>
  <c r="H346" i="1" s="1"/>
  <c r="I346" i="1" s="1"/>
  <c r="A346" i="1"/>
  <c r="L345" i="1"/>
  <c r="K345" i="1"/>
  <c r="J345" i="1"/>
  <c r="E345" i="1"/>
  <c r="D345" i="1"/>
  <c r="B345" i="1"/>
  <c r="G345" i="1" s="1"/>
  <c r="H345" i="1" s="1"/>
  <c r="I345" i="1" s="1"/>
  <c r="A345" i="1"/>
  <c r="L344" i="1"/>
  <c r="K344" i="1"/>
  <c r="E344" i="1"/>
  <c r="D344" i="1"/>
  <c r="B344" i="1"/>
  <c r="G344" i="1" s="1"/>
  <c r="H344" i="1" s="1"/>
  <c r="I344" i="1" s="1"/>
  <c r="A344" i="1"/>
  <c r="L343" i="1"/>
  <c r="K343" i="1"/>
  <c r="E343" i="1"/>
  <c r="D343" i="1"/>
  <c r="B343" i="1"/>
  <c r="G343" i="1" s="1"/>
  <c r="H343" i="1" s="1"/>
  <c r="I343" i="1" s="1"/>
  <c r="A343" i="1"/>
  <c r="L342" i="1"/>
  <c r="K342" i="1"/>
  <c r="G342" i="1"/>
  <c r="H342" i="1" s="1"/>
  <c r="I342" i="1" s="1"/>
  <c r="E342" i="1"/>
  <c r="D342" i="1"/>
  <c r="B342" i="1"/>
  <c r="A342" i="1"/>
  <c r="L341" i="1"/>
  <c r="K341" i="1"/>
  <c r="J341" i="1"/>
  <c r="I341" i="1"/>
  <c r="H341" i="1"/>
  <c r="E341" i="1"/>
  <c r="D341" i="1"/>
  <c r="B341" i="1"/>
  <c r="G341" i="1" s="1"/>
  <c r="A341" i="1"/>
  <c r="L340" i="1"/>
  <c r="K340" i="1"/>
  <c r="J340" i="1"/>
  <c r="E340" i="1"/>
  <c r="D340" i="1"/>
  <c r="B340" i="1"/>
  <c r="G340" i="1" s="1"/>
  <c r="H340" i="1" s="1"/>
  <c r="I340" i="1" s="1"/>
  <c r="A340" i="1"/>
  <c r="J342" i="1" s="1"/>
  <c r="L339" i="1"/>
  <c r="K339" i="1"/>
  <c r="J339" i="1"/>
  <c r="E339" i="1"/>
  <c r="D339" i="1"/>
  <c r="B339" i="1"/>
  <c r="G339" i="1" s="1"/>
  <c r="H339" i="1" s="1"/>
  <c r="I339" i="1" s="1"/>
  <c r="A339" i="1"/>
  <c r="L338" i="1"/>
  <c r="K338" i="1"/>
  <c r="E338" i="1"/>
  <c r="D338" i="1"/>
  <c r="B338" i="1"/>
  <c r="G338" i="1" s="1"/>
  <c r="H338" i="1" s="1"/>
  <c r="I338" i="1" s="1"/>
  <c r="A338" i="1"/>
  <c r="L337" i="1"/>
  <c r="K337" i="1"/>
  <c r="H337" i="1"/>
  <c r="I337" i="1" s="1"/>
  <c r="E337" i="1"/>
  <c r="D337" i="1"/>
  <c r="B337" i="1"/>
  <c r="G337" i="1" s="1"/>
  <c r="A337" i="1"/>
  <c r="L336" i="1"/>
  <c r="K336" i="1"/>
  <c r="H336" i="1"/>
  <c r="I336" i="1" s="1"/>
  <c r="G336" i="1"/>
  <c r="E336" i="1"/>
  <c r="D336" i="1"/>
  <c r="B336" i="1"/>
  <c r="A336" i="1"/>
  <c r="L335" i="1"/>
  <c r="K335" i="1"/>
  <c r="J335" i="1"/>
  <c r="I335" i="1"/>
  <c r="H335" i="1"/>
  <c r="E335" i="1"/>
  <c r="D335" i="1"/>
  <c r="B335" i="1"/>
  <c r="G335" i="1" s="1"/>
  <c r="A335" i="1"/>
  <c r="L334" i="1"/>
  <c r="K334" i="1"/>
  <c r="J334" i="1"/>
  <c r="E334" i="1"/>
  <c r="D334" i="1"/>
  <c r="B334" i="1"/>
  <c r="G334" i="1" s="1"/>
  <c r="H334" i="1" s="1"/>
  <c r="I334" i="1" s="1"/>
  <c r="A334" i="1"/>
  <c r="L333" i="1"/>
  <c r="K333" i="1"/>
  <c r="E333" i="1"/>
  <c r="D333" i="1"/>
  <c r="B333" i="1"/>
  <c r="G333" i="1" s="1"/>
  <c r="H333" i="1" s="1"/>
  <c r="I333" i="1" s="1"/>
  <c r="A333" i="1"/>
  <c r="L332" i="1"/>
  <c r="K332" i="1"/>
  <c r="E332" i="1"/>
  <c r="D332" i="1"/>
  <c r="B332" i="1"/>
  <c r="G332" i="1" s="1"/>
  <c r="H332" i="1" s="1"/>
  <c r="I332" i="1" s="1"/>
  <c r="A332" i="1"/>
  <c r="L331" i="1"/>
  <c r="K331" i="1"/>
  <c r="H331" i="1"/>
  <c r="I331" i="1" s="1"/>
  <c r="G331" i="1"/>
  <c r="E331" i="1"/>
  <c r="D331" i="1"/>
  <c r="B331" i="1"/>
  <c r="A331" i="1"/>
  <c r="L330" i="1"/>
  <c r="K330" i="1"/>
  <c r="J330" i="1"/>
  <c r="E330" i="1"/>
  <c r="D330" i="1"/>
  <c r="B330" i="1"/>
  <c r="G330" i="1" s="1"/>
  <c r="H330" i="1" s="1"/>
  <c r="I330" i="1" s="1"/>
  <c r="A330" i="1"/>
  <c r="L329" i="1"/>
  <c r="K329" i="1"/>
  <c r="J329" i="1"/>
  <c r="E329" i="1"/>
  <c r="D329" i="1"/>
  <c r="B329" i="1"/>
  <c r="G329" i="1" s="1"/>
  <c r="H329" i="1" s="1"/>
  <c r="I329" i="1" s="1"/>
  <c r="A329" i="1"/>
  <c r="L328" i="1"/>
  <c r="K328" i="1"/>
  <c r="E328" i="1"/>
  <c r="D328" i="1"/>
  <c r="B328" i="1"/>
  <c r="G328" i="1" s="1"/>
  <c r="H328" i="1" s="1"/>
  <c r="I328" i="1" s="1"/>
  <c r="A328" i="1"/>
  <c r="L327" i="1"/>
  <c r="K327" i="1"/>
  <c r="E327" i="1"/>
  <c r="D327" i="1"/>
  <c r="B327" i="1"/>
  <c r="G327" i="1" s="1"/>
  <c r="H327" i="1" s="1"/>
  <c r="I327" i="1" s="1"/>
  <c r="A327" i="1"/>
  <c r="L326" i="1"/>
  <c r="K326" i="1"/>
  <c r="H326" i="1"/>
  <c r="I326" i="1" s="1"/>
  <c r="G326" i="1"/>
  <c r="E326" i="1"/>
  <c r="D326" i="1"/>
  <c r="B326" i="1"/>
  <c r="A326" i="1"/>
  <c r="J332" i="1" s="1"/>
  <c r="L325" i="1"/>
  <c r="K325" i="1"/>
  <c r="J325" i="1"/>
  <c r="I325" i="1"/>
  <c r="H325" i="1"/>
  <c r="E325" i="1"/>
  <c r="D325" i="1"/>
  <c r="B325" i="1"/>
  <c r="G325" i="1" s="1"/>
  <c r="A325" i="1"/>
  <c r="L324" i="1"/>
  <c r="K324" i="1"/>
  <c r="J324" i="1"/>
  <c r="H324" i="1"/>
  <c r="I324" i="1" s="1"/>
  <c r="E324" i="1"/>
  <c r="D324" i="1"/>
  <c r="B324" i="1"/>
  <c r="G324" i="1" s="1"/>
  <c r="A324" i="1"/>
  <c r="L323" i="1"/>
  <c r="K323" i="1"/>
  <c r="J323" i="1"/>
  <c r="E323" i="1"/>
  <c r="D323" i="1"/>
  <c r="B323" i="1"/>
  <c r="G323" i="1" s="1"/>
  <c r="H323" i="1" s="1"/>
  <c r="I323" i="1" s="1"/>
  <c r="A323" i="1"/>
  <c r="L322" i="1"/>
  <c r="K322" i="1"/>
  <c r="J322" i="1"/>
  <c r="E322" i="1"/>
  <c r="D322" i="1"/>
  <c r="B322" i="1"/>
  <c r="G322" i="1" s="1"/>
  <c r="H322" i="1" s="1"/>
  <c r="I322" i="1" s="1"/>
  <c r="A322" i="1"/>
  <c r="L321" i="1"/>
  <c r="K321" i="1"/>
  <c r="J321" i="1"/>
  <c r="H321" i="1"/>
  <c r="I321" i="1" s="1"/>
  <c r="E321" i="1"/>
  <c r="D321" i="1"/>
  <c r="B321" i="1"/>
  <c r="G321" i="1" s="1"/>
  <c r="A321" i="1"/>
  <c r="L320" i="1"/>
  <c r="K320" i="1"/>
  <c r="J320" i="1"/>
  <c r="H320" i="1"/>
  <c r="I320" i="1" s="1"/>
  <c r="G320" i="1"/>
  <c r="E320" i="1"/>
  <c r="D320" i="1"/>
  <c r="B320" i="1"/>
  <c r="A320" i="1"/>
  <c r="L319" i="1"/>
  <c r="K319" i="1"/>
  <c r="J319" i="1"/>
  <c r="I319" i="1"/>
  <c r="H319" i="1"/>
  <c r="E319" i="1"/>
  <c r="D319" i="1"/>
  <c r="B319" i="1"/>
  <c r="G319" i="1" s="1"/>
  <c r="A319" i="1"/>
  <c r="L318" i="1"/>
  <c r="K318" i="1"/>
  <c r="J318" i="1"/>
  <c r="E318" i="1"/>
  <c r="D318" i="1"/>
  <c r="B318" i="1"/>
  <c r="G318" i="1" s="1"/>
  <c r="H318" i="1" s="1"/>
  <c r="I318" i="1" s="1"/>
  <c r="A318" i="1"/>
  <c r="L317" i="1"/>
  <c r="K317" i="1"/>
  <c r="E317" i="1"/>
  <c r="D317" i="1"/>
  <c r="B317" i="1"/>
  <c r="G317" i="1" s="1"/>
  <c r="H317" i="1" s="1"/>
  <c r="I317" i="1" s="1"/>
  <c r="A317" i="1"/>
  <c r="L316" i="1"/>
  <c r="K316" i="1"/>
  <c r="E316" i="1"/>
  <c r="D316" i="1"/>
  <c r="B316" i="1"/>
  <c r="G316" i="1" s="1"/>
  <c r="H316" i="1" s="1"/>
  <c r="I316" i="1" s="1"/>
  <c r="A316" i="1"/>
  <c r="L315" i="1"/>
  <c r="K315" i="1"/>
  <c r="H315" i="1"/>
  <c r="I315" i="1" s="1"/>
  <c r="G315" i="1"/>
  <c r="E315" i="1"/>
  <c r="D315" i="1"/>
  <c r="B315" i="1"/>
  <c r="A315" i="1"/>
  <c r="L314" i="1"/>
  <c r="K314" i="1"/>
  <c r="J314" i="1"/>
  <c r="E314" i="1"/>
  <c r="D314" i="1"/>
  <c r="B314" i="1"/>
  <c r="G314" i="1" s="1"/>
  <c r="H314" i="1" s="1"/>
  <c r="I314" i="1" s="1"/>
  <c r="A314" i="1"/>
  <c r="L313" i="1"/>
  <c r="K313" i="1"/>
  <c r="E313" i="1"/>
  <c r="D313" i="1"/>
  <c r="B313" i="1"/>
  <c r="G313" i="1" s="1"/>
  <c r="H313" i="1" s="1"/>
  <c r="I313" i="1" s="1"/>
  <c r="A313" i="1"/>
  <c r="L312" i="1"/>
  <c r="K312" i="1"/>
  <c r="E312" i="1"/>
  <c r="D312" i="1"/>
  <c r="B312" i="1"/>
  <c r="G312" i="1" s="1"/>
  <c r="H312" i="1" s="1"/>
  <c r="I312" i="1" s="1"/>
  <c r="A312" i="1"/>
  <c r="J313" i="1" s="1"/>
  <c r="L311" i="1"/>
  <c r="K311" i="1"/>
  <c r="G311" i="1"/>
  <c r="H311" i="1" s="1"/>
  <c r="I311" i="1" s="1"/>
  <c r="F311" i="1"/>
  <c r="E311" i="1"/>
  <c r="D311" i="1"/>
  <c r="B311" i="1"/>
  <c r="A311" i="1"/>
  <c r="L310" i="1"/>
  <c r="K310" i="1"/>
  <c r="J310" i="1"/>
  <c r="H310" i="1"/>
  <c r="I310" i="1" s="1"/>
  <c r="G310" i="1"/>
  <c r="F310" i="1"/>
  <c r="E310" i="1"/>
  <c r="D310" i="1"/>
  <c r="B310" i="1"/>
  <c r="A310" i="1"/>
  <c r="L309" i="1"/>
  <c r="K309" i="1"/>
  <c r="J309" i="1"/>
  <c r="F309" i="1"/>
  <c r="E309" i="1"/>
  <c r="D309" i="1"/>
  <c r="B309" i="1"/>
  <c r="G309" i="1" s="1"/>
  <c r="H309" i="1" s="1"/>
  <c r="I309" i="1" s="1"/>
  <c r="A309" i="1"/>
  <c r="L308" i="1"/>
  <c r="K308" i="1"/>
  <c r="G308" i="1"/>
  <c r="F308" i="1"/>
  <c r="E308" i="1"/>
  <c r="D308" i="1"/>
  <c r="B308" i="1"/>
  <c r="A308" i="1"/>
  <c r="L307" i="1"/>
  <c r="K307" i="1"/>
  <c r="J307" i="1"/>
  <c r="F307" i="1"/>
  <c r="H307" i="1" s="1"/>
  <c r="I307" i="1" s="1"/>
  <c r="E307" i="1"/>
  <c r="D307" i="1"/>
  <c r="B307" i="1"/>
  <c r="G307" i="1" s="1"/>
  <c r="A307" i="1"/>
  <c r="L306" i="1"/>
  <c r="K306" i="1"/>
  <c r="F306" i="1"/>
  <c r="E306" i="1"/>
  <c r="D306" i="1"/>
  <c r="B306" i="1"/>
  <c r="G306" i="1" s="1"/>
  <c r="H306" i="1" s="1"/>
  <c r="I306" i="1" s="1"/>
  <c r="A306" i="1"/>
  <c r="L305" i="1"/>
  <c r="K305" i="1"/>
  <c r="F305" i="1"/>
  <c r="E305" i="1"/>
  <c r="D305" i="1"/>
  <c r="B305" i="1"/>
  <c r="G305" i="1" s="1"/>
  <c r="H305" i="1" s="1"/>
  <c r="I305" i="1" s="1"/>
  <c r="A305" i="1"/>
  <c r="J306" i="1" s="1"/>
  <c r="L304" i="1"/>
  <c r="K304" i="1"/>
  <c r="J304" i="1"/>
  <c r="G304" i="1"/>
  <c r="H304" i="1" s="1"/>
  <c r="I304" i="1" s="1"/>
  <c r="F304" i="1"/>
  <c r="E304" i="1"/>
  <c r="D304" i="1"/>
  <c r="B304" i="1"/>
  <c r="A304" i="1"/>
  <c r="L303" i="1"/>
  <c r="K303" i="1"/>
  <c r="J303" i="1"/>
  <c r="I303" i="1"/>
  <c r="H303" i="1"/>
  <c r="G303" i="1"/>
  <c r="F303" i="1"/>
  <c r="E303" i="1"/>
  <c r="D303" i="1"/>
  <c r="B303" i="1"/>
  <c r="A303" i="1"/>
  <c r="L302" i="1"/>
  <c r="K302" i="1"/>
  <c r="J302" i="1"/>
  <c r="F302" i="1"/>
  <c r="E302" i="1"/>
  <c r="D302" i="1"/>
  <c r="B302" i="1"/>
  <c r="G302" i="1" s="1"/>
  <c r="H302" i="1" s="1"/>
  <c r="I302" i="1" s="1"/>
  <c r="A302" i="1"/>
  <c r="L301" i="1"/>
  <c r="K301" i="1"/>
  <c r="J301" i="1"/>
  <c r="G301" i="1"/>
  <c r="H301" i="1" s="1"/>
  <c r="I301" i="1" s="1"/>
  <c r="F301" i="1"/>
  <c r="E301" i="1"/>
  <c r="D301" i="1"/>
  <c r="B301" i="1"/>
  <c r="A301" i="1"/>
  <c r="L300" i="1"/>
  <c r="K300" i="1"/>
  <c r="J300" i="1"/>
  <c r="F300" i="1"/>
  <c r="E300" i="1"/>
  <c r="D300" i="1"/>
  <c r="B300" i="1"/>
  <c r="G300" i="1" s="1"/>
  <c r="H300" i="1" s="1"/>
  <c r="I300" i="1" s="1"/>
  <c r="A300" i="1"/>
  <c r="L299" i="1"/>
  <c r="K299" i="1"/>
  <c r="J299" i="1"/>
  <c r="F299" i="1"/>
  <c r="E299" i="1"/>
  <c r="D299" i="1"/>
  <c r="B299" i="1"/>
  <c r="G299" i="1" s="1"/>
  <c r="H299" i="1" s="1"/>
  <c r="I299" i="1" s="1"/>
  <c r="A299" i="1"/>
  <c r="L298" i="1"/>
  <c r="K298" i="1"/>
  <c r="G298" i="1"/>
  <c r="F298" i="1"/>
  <c r="E298" i="1"/>
  <c r="D298" i="1"/>
  <c r="B298" i="1"/>
  <c r="A298" i="1"/>
  <c r="J298" i="1" s="1"/>
  <c r="L297" i="1"/>
  <c r="K297" i="1"/>
  <c r="J297" i="1"/>
  <c r="H297" i="1"/>
  <c r="I297" i="1" s="1"/>
  <c r="G297" i="1"/>
  <c r="F297" i="1"/>
  <c r="E297" i="1"/>
  <c r="D297" i="1"/>
  <c r="B297" i="1"/>
  <c r="A297" i="1"/>
  <c r="L296" i="1"/>
  <c r="K296" i="1"/>
  <c r="J296" i="1"/>
  <c r="F296" i="1"/>
  <c r="E296" i="1"/>
  <c r="D296" i="1"/>
  <c r="B296" i="1"/>
  <c r="G296" i="1" s="1"/>
  <c r="H296" i="1" s="1"/>
  <c r="I296" i="1" s="1"/>
  <c r="A296" i="1"/>
  <c r="L295" i="1"/>
  <c r="K295" i="1"/>
  <c r="G295" i="1"/>
  <c r="H295" i="1" s="1"/>
  <c r="I295" i="1" s="1"/>
  <c r="F295" i="1"/>
  <c r="E295" i="1"/>
  <c r="D295" i="1"/>
  <c r="B295" i="1"/>
  <c r="A295" i="1"/>
  <c r="L294" i="1"/>
  <c r="K294" i="1"/>
  <c r="J294" i="1"/>
  <c r="G294" i="1"/>
  <c r="H294" i="1" s="1"/>
  <c r="I294" i="1" s="1"/>
  <c r="F294" i="1"/>
  <c r="E294" i="1"/>
  <c r="D294" i="1"/>
  <c r="B294" i="1"/>
  <c r="A294" i="1"/>
  <c r="L293" i="1"/>
  <c r="K293" i="1"/>
  <c r="J293" i="1"/>
  <c r="F293" i="1"/>
  <c r="E293" i="1"/>
  <c r="D293" i="1"/>
  <c r="B293" i="1"/>
  <c r="G293" i="1" s="1"/>
  <c r="H293" i="1" s="1"/>
  <c r="I293" i="1" s="1"/>
  <c r="A293" i="1"/>
  <c r="L292" i="1"/>
  <c r="K292" i="1"/>
  <c r="G292" i="1"/>
  <c r="H292" i="1" s="1"/>
  <c r="I292" i="1" s="1"/>
  <c r="F292" i="1"/>
  <c r="E292" i="1"/>
  <c r="D292" i="1"/>
  <c r="B292" i="1"/>
  <c r="A292" i="1"/>
  <c r="L291" i="1"/>
  <c r="K291" i="1"/>
  <c r="J291" i="1"/>
  <c r="F291" i="1"/>
  <c r="H291" i="1" s="1"/>
  <c r="I291" i="1" s="1"/>
  <c r="E291" i="1"/>
  <c r="D291" i="1"/>
  <c r="B291" i="1"/>
  <c r="G291" i="1" s="1"/>
  <c r="A291" i="1"/>
  <c r="J295" i="1" s="1"/>
  <c r="L290" i="1"/>
  <c r="K290" i="1"/>
  <c r="F290" i="1"/>
  <c r="E290" i="1"/>
  <c r="D290" i="1"/>
  <c r="B290" i="1"/>
  <c r="G290" i="1" s="1"/>
  <c r="H290" i="1" s="1"/>
  <c r="I290" i="1" s="1"/>
  <c r="A290" i="1"/>
  <c r="L289" i="1"/>
  <c r="K289" i="1"/>
  <c r="F289" i="1"/>
  <c r="E289" i="1"/>
  <c r="D289" i="1"/>
  <c r="B289" i="1"/>
  <c r="G289" i="1" s="1"/>
  <c r="H289" i="1" s="1"/>
  <c r="I289" i="1" s="1"/>
  <c r="A289" i="1"/>
  <c r="L288" i="1"/>
  <c r="K288" i="1"/>
  <c r="G288" i="1"/>
  <c r="F288" i="1"/>
  <c r="E288" i="1"/>
  <c r="D288" i="1"/>
  <c r="B288" i="1"/>
  <c r="A288" i="1"/>
  <c r="L287" i="1"/>
  <c r="K287" i="1"/>
  <c r="I287" i="1"/>
  <c r="H287" i="1"/>
  <c r="G287" i="1"/>
  <c r="F287" i="1"/>
  <c r="E287" i="1"/>
  <c r="D287" i="1"/>
  <c r="B287" i="1"/>
  <c r="A287" i="1"/>
  <c r="L286" i="1"/>
  <c r="K286" i="1"/>
  <c r="F286" i="1"/>
  <c r="E286" i="1"/>
  <c r="D286" i="1"/>
  <c r="B286" i="1"/>
  <c r="G286" i="1" s="1"/>
  <c r="H286" i="1" s="1"/>
  <c r="I286" i="1" s="1"/>
  <c r="A286" i="1"/>
  <c r="L285" i="1"/>
  <c r="K285" i="1"/>
  <c r="H285" i="1"/>
  <c r="I285" i="1" s="1"/>
  <c r="G285" i="1"/>
  <c r="F285" i="1"/>
  <c r="E285" i="1"/>
  <c r="D285" i="1"/>
  <c r="B285" i="1"/>
  <c r="A285" i="1"/>
  <c r="L284" i="1"/>
  <c r="K284" i="1"/>
  <c r="H284" i="1"/>
  <c r="I284" i="1" s="1"/>
  <c r="F284" i="1"/>
  <c r="E284" i="1"/>
  <c r="D284" i="1"/>
  <c r="B284" i="1"/>
  <c r="G284" i="1" s="1"/>
  <c r="A284" i="1"/>
  <c r="J284" i="1" s="1"/>
  <c r="L283" i="1"/>
  <c r="K283" i="1"/>
  <c r="F283" i="1"/>
  <c r="E283" i="1"/>
  <c r="D283" i="1"/>
  <c r="B283" i="1"/>
  <c r="G283" i="1" s="1"/>
  <c r="H283" i="1" s="1"/>
  <c r="I283" i="1" s="1"/>
  <c r="A283" i="1"/>
  <c r="L282" i="1"/>
  <c r="K282" i="1"/>
  <c r="G282" i="1"/>
  <c r="F282" i="1"/>
  <c r="E282" i="1"/>
  <c r="D282" i="1"/>
  <c r="B282" i="1"/>
  <c r="A282" i="1"/>
  <c r="L281" i="1"/>
  <c r="K281" i="1"/>
  <c r="J281" i="1"/>
  <c r="G281" i="1"/>
  <c r="H281" i="1" s="1"/>
  <c r="I281" i="1" s="1"/>
  <c r="F281" i="1"/>
  <c r="E281" i="1"/>
  <c r="D281" i="1"/>
  <c r="B281" i="1"/>
  <c r="A281" i="1"/>
  <c r="L280" i="1"/>
  <c r="K280" i="1"/>
  <c r="F280" i="1"/>
  <c r="E280" i="1"/>
  <c r="D280" i="1"/>
  <c r="B280" i="1"/>
  <c r="G280" i="1" s="1"/>
  <c r="H280" i="1" s="1"/>
  <c r="I280" i="1" s="1"/>
  <c r="A280" i="1"/>
  <c r="L279" i="1"/>
  <c r="K279" i="1"/>
  <c r="G279" i="1"/>
  <c r="F279" i="1"/>
  <c r="E279" i="1"/>
  <c r="D279" i="1"/>
  <c r="B279" i="1"/>
  <c r="A279" i="1"/>
  <c r="L278" i="1"/>
  <c r="K278" i="1"/>
  <c r="H278" i="1"/>
  <c r="I278" i="1" s="1"/>
  <c r="G278" i="1"/>
  <c r="F278" i="1"/>
  <c r="E278" i="1"/>
  <c r="D278" i="1"/>
  <c r="B278" i="1"/>
  <c r="A278" i="1"/>
  <c r="L277" i="1"/>
  <c r="K277" i="1"/>
  <c r="J277" i="1"/>
  <c r="F277" i="1"/>
  <c r="E277" i="1"/>
  <c r="D277" i="1"/>
  <c r="B277" i="1"/>
  <c r="G277" i="1" s="1"/>
  <c r="H277" i="1" s="1"/>
  <c r="I277" i="1" s="1"/>
  <c r="A277" i="1"/>
  <c r="L276" i="1"/>
  <c r="K276" i="1"/>
  <c r="G276" i="1"/>
  <c r="H276" i="1" s="1"/>
  <c r="I276" i="1" s="1"/>
  <c r="F276" i="1"/>
  <c r="E276" i="1"/>
  <c r="D276" i="1"/>
  <c r="B276" i="1"/>
  <c r="A276" i="1"/>
  <c r="L275" i="1"/>
  <c r="K275" i="1"/>
  <c r="J275" i="1"/>
  <c r="F275" i="1"/>
  <c r="H275" i="1" s="1"/>
  <c r="I275" i="1" s="1"/>
  <c r="E275" i="1"/>
  <c r="D275" i="1"/>
  <c r="B275" i="1"/>
  <c r="G275" i="1" s="1"/>
  <c r="A275" i="1"/>
  <c r="L274" i="1"/>
  <c r="K274" i="1"/>
  <c r="H274" i="1"/>
  <c r="I274" i="1" s="1"/>
  <c r="F274" i="1"/>
  <c r="E274" i="1"/>
  <c r="D274" i="1"/>
  <c r="B274" i="1"/>
  <c r="G274" i="1" s="1"/>
  <c r="A274" i="1"/>
  <c r="L273" i="1"/>
  <c r="K273" i="1"/>
  <c r="F273" i="1"/>
  <c r="E273" i="1"/>
  <c r="D273" i="1"/>
  <c r="B273" i="1"/>
  <c r="G273" i="1" s="1"/>
  <c r="A273" i="1"/>
  <c r="L272" i="1"/>
  <c r="K272" i="1"/>
  <c r="J272" i="1"/>
  <c r="G272" i="1"/>
  <c r="F272" i="1"/>
  <c r="E272" i="1"/>
  <c r="D272" i="1"/>
  <c r="B272" i="1"/>
  <c r="A272" i="1"/>
  <c r="L271" i="1"/>
  <c r="K271" i="1"/>
  <c r="J271" i="1"/>
  <c r="H271" i="1"/>
  <c r="I271" i="1" s="1"/>
  <c r="G271" i="1"/>
  <c r="F271" i="1"/>
  <c r="E271" i="1"/>
  <c r="D271" i="1"/>
  <c r="B271" i="1"/>
  <c r="A271" i="1"/>
  <c r="L270" i="1"/>
  <c r="K270" i="1"/>
  <c r="F270" i="1"/>
  <c r="E270" i="1"/>
  <c r="D270" i="1"/>
  <c r="B270" i="1"/>
  <c r="G270" i="1" s="1"/>
  <c r="H270" i="1" s="1"/>
  <c r="I270" i="1" s="1"/>
  <c r="A270" i="1"/>
  <c r="J274" i="1" s="1"/>
  <c r="L269" i="1"/>
  <c r="K269" i="1"/>
  <c r="J269" i="1"/>
  <c r="H269" i="1"/>
  <c r="I269" i="1" s="1"/>
  <c r="G269" i="1"/>
  <c r="F269" i="1"/>
  <c r="E269" i="1"/>
  <c r="D269" i="1"/>
  <c r="B269" i="1"/>
  <c r="A269" i="1"/>
  <c r="L268" i="1"/>
  <c r="K268" i="1"/>
  <c r="J268" i="1"/>
  <c r="I268" i="1"/>
  <c r="H268" i="1"/>
  <c r="F268" i="1"/>
  <c r="E268" i="1"/>
  <c r="D268" i="1"/>
  <c r="B268" i="1"/>
  <c r="G268" i="1" s="1"/>
  <c r="A268" i="1"/>
  <c r="L267" i="1"/>
  <c r="K267" i="1"/>
  <c r="J267" i="1"/>
  <c r="F267" i="1"/>
  <c r="E267" i="1"/>
  <c r="D267" i="1"/>
  <c r="B267" i="1"/>
  <c r="G267" i="1" s="1"/>
  <c r="H267" i="1" s="1"/>
  <c r="I267" i="1" s="1"/>
  <c r="A267" i="1"/>
  <c r="L266" i="1"/>
  <c r="K266" i="1"/>
  <c r="G266" i="1"/>
  <c r="F266" i="1"/>
  <c r="E266" i="1"/>
  <c r="D266" i="1"/>
  <c r="B266" i="1"/>
  <c r="A266" i="1"/>
  <c r="L265" i="1"/>
  <c r="K265" i="1"/>
  <c r="J265" i="1"/>
  <c r="I265" i="1"/>
  <c r="H265" i="1"/>
  <c r="G265" i="1"/>
  <c r="F265" i="1"/>
  <c r="E265" i="1"/>
  <c r="D265" i="1"/>
  <c r="B265" i="1"/>
  <c r="A265" i="1"/>
  <c r="L264" i="1"/>
  <c r="K264" i="1"/>
  <c r="J264" i="1"/>
  <c r="F264" i="1"/>
  <c r="E264" i="1"/>
  <c r="D264" i="1"/>
  <c r="B264" i="1"/>
  <c r="G264" i="1" s="1"/>
  <c r="H264" i="1" s="1"/>
  <c r="I264" i="1" s="1"/>
  <c r="A264" i="1"/>
  <c r="L263" i="1"/>
  <c r="K263" i="1"/>
  <c r="G263" i="1"/>
  <c r="F263" i="1"/>
  <c r="E263" i="1"/>
  <c r="D263" i="1"/>
  <c r="B263" i="1"/>
  <c r="A263" i="1"/>
  <c r="J266" i="1" s="1"/>
  <c r="L262" i="1"/>
  <c r="K262" i="1"/>
  <c r="J262" i="1"/>
  <c r="H262" i="1"/>
  <c r="I262" i="1" s="1"/>
  <c r="G262" i="1"/>
  <c r="F262" i="1"/>
  <c r="E262" i="1"/>
  <c r="D262" i="1"/>
  <c r="B262" i="1"/>
  <c r="A262" i="1"/>
  <c r="L261" i="1"/>
  <c r="K261" i="1"/>
  <c r="J261" i="1"/>
  <c r="F261" i="1"/>
  <c r="E261" i="1"/>
  <c r="D261" i="1"/>
  <c r="B261" i="1"/>
  <c r="G261" i="1" s="1"/>
  <c r="H261" i="1" s="1"/>
  <c r="I261" i="1" s="1"/>
  <c r="A261" i="1"/>
  <c r="L260" i="1"/>
  <c r="K260" i="1"/>
  <c r="G260" i="1"/>
  <c r="H260" i="1" s="1"/>
  <c r="I260" i="1" s="1"/>
  <c r="F260" i="1"/>
  <c r="E260" i="1"/>
  <c r="D260" i="1"/>
  <c r="B260" i="1"/>
  <c r="A260" i="1"/>
  <c r="L259" i="1"/>
  <c r="K259" i="1"/>
  <c r="J259" i="1"/>
  <c r="F259" i="1"/>
  <c r="H259" i="1" s="1"/>
  <c r="I259" i="1" s="1"/>
  <c r="E259" i="1"/>
  <c r="D259" i="1"/>
  <c r="B259" i="1"/>
  <c r="G259" i="1" s="1"/>
  <c r="A259" i="1"/>
  <c r="L258" i="1"/>
  <c r="K258" i="1"/>
  <c r="H258" i="1"/>
  <c r="I258" i="1" s="1"/>
  <c r="F258" i="1"/>
  <c r="E258" i="1"/>
  <c r="D258" i="1"/>
  <c r="B258" i="1"/>
  <c r="G258" i="1" s="1"/>
  <c r="A258" i="1"/>
  <c r="L257" i="1"/>
  <c r="K257" i="1"/>
  <c r="F257" i="1"/>
  <c r="E257" i="1"/>
  <c r="D257" i="1"/>
  <c r="B257" i="1"/>
  <c r="G257" i="1" s="1"/>
  <c r="A257" i="1"/>
  <c r="L256" i="1"/>
  <c r="K256" i="1"/>
  <c r="J256" i="1"/>
  <c r="G256" i="1"/>
  <c r="F256" i="1"/>
  <c r="E256" i="1"/>
  <c r="D256" i="1"/>
  <c r="B256" i="1"/>
  <c r="A256" i="1"/>
  <c r="J258" i="1" s="1"/>
  <c r="L255" i="1"/>
  <c r="K255" i="1"/>
  <c r="F255" i="1"/>
  <c r="E255" i="1"/>
  <c r="D255" i="1"/>
  <c r="B255" i="1"/>
  <c r="G255" i="1" s="1"/>
  <c r="H255" i="1" s="1"/>
  <c r="I255" i="1" s="1"/>
  <c r="A255" i="1"/>
  <c r="L254" i="1"/>
  <c r="K254" i="1"/>
  <c r="F254" i="1"/>
  <c r="E254" i="1"/>
  <c r="D254" i="1"/>
  <c r="B254" i="1"/>
  <c r="G254" i="1" s="1"/>
  <c r="H254" i="1" s="1"/>
  <c r="I254" i="1" s="1"/>
  <c r="A254" i="1"/>
  <c r="O253" i="1"/>
  <c r="L253" i="1"/>
  <c r="K253" i="1"/>
  <c r="H253" i="1"/>
  <c r="I253" i="1" s="1"/>
  <c r="G253" i="1"/>
  <c r="F253" i="1"/>
  <c r="E253" i="1"/>
  <c r="D253" i="1"/>
  <c r="B253" i="1"/>
  <c r="A253" i="1"/>
  <c r="O252" i="1"/>
  <c r="L252" i="1"/>
  <c r="K252" i="1"/>
  <c r="F252" i="1"/>
  <c r="E252" i="1"/>
  <c r="D252" i="1"/>
  <c r="B252" i="1"/>
  <c r="G252" i="1" s="1"/>
  <c r="A252" i="1"/>
  <c r="O251" i="1"/>
  <c r="L251" i="1"/>
  <c r="K251" i="1"/>
  <c r="J251" i="1"/>
  <c r="G251" i="1"/>
  <c r="H251" i="1" s="1"/>
  <c r="I251" i="1" s="1"/>
  <c r="F251" i="1"/>
  <c r="E251" i="1"/>
  <c r="D251" i="1"/>
  <c r="B251" i="1"/>
  <c r="A251" i="1"/>
  <c r="O250" i="1"/>
  <c r="L250" i="1"/>
  <c r="K250" i="1"/>
  <c r="F250" i="1"/>
  <c r="E250" i="1"/>
  <c r="D250" i="1"/>
  <c r="B250" i="1"/>
  <c r="G250" i="1" s="1"/>
  <c r="H250" i="1" s="1"/>
  <c r="I250" i="1" s="1"/>
  <c r="A250" i="1"/>
  <c r="O249" i="1"/>
  <c r="L249" i="1"/>
  <c r="K249" i="1"/>
  <c r="H249" i="1"/>
  <c r="I249" i="1" s="1"/>
  <c r="G249" i="1"/>
  <c r="F249" i="1"/>
  <c r="E249" i="1"/>
  <c r="D249" i="1"/>
  <c r="B249" i="1"/>
  <c r="A249" i="1"/>
  <c r="J255" i="1" s="1"/>
  <c r="O248" i="1"/>
  <c r="L248" i="1"/>
  <c r="K248" i="1"/>
  <c r="F248" i="1"/>
  <c r="H248" i="1" s="1"/>
  <c r="I248" i="1" s="1"/>
  <c r="E248" i="1"/>
  <c r="D248" i="1"/>
  <c r="B248" i="1"/>
  <c r="G248" i="1" s="1"/>
  <c r="A248" i="1"/>
  <c r="O247" i="1"/>
  <c r="L247" i="1"/>
  <c r="K247" i="1"/>
  <c r="J247" i="1"/>
  <c r="F247" i="1"/>
  <c r="E247" i="1"/>
  <c r="D247" i="1"/>
  <c r="B247" i="1"/>
  <c r="G247" i="1" s="1"/>
  <c r="H247" i="1" s="1"/>
  <c r="I247" i="1" s="1"/>
  <c r="A247" i="1"/>
  <c r="O246" i="1"/>
  <c r="L246" i="1"/>
  <c r="K246" i="1"/>
  <c r="G246" i="1"/>
  <c r="H246" i="1" s="1"/>
  <c r="I246" i="1" s="1"/>
  <c r="F246" i="1"/>
  <c r="E246" i="1"/>
  <c r="D246" i="1"/>
  <c r="B246" i="1"/>
  <c r="A246" i="1"/>
  <c r="O245" i="1"/>
  <c r="L245" i="1"/>
  <c r="K245" i="1"/>
  <c r="J245" i="1"/>
  <c r="F245" i="1"/>
  <c r="E245" i="1"/>
  <c r="D245" i="1"/>
  <c r="B245" i="1"/>
  <c r="G245" i="1" s="1"/>
  <c r="H245" i="1" s="1"/>
  <c r="I245" i="1" s="1"/>
  <c r="A245" i="1"/>
  <c r="O244" i="1"/>
  <c r="L244" i="1"/>
  <c r="K244" i="1"/>
  <c r="F244" i="1"/>
  <c r="E244" i="1"/>
  <c r="D244" i="1"/>
  <c r="B244" i="1"/>
  <c r="G244" i="1" s="1"/>
  <c r="H244" i="1" s="1"/>
  <c r="I244" i="1" s="1"/>
  <c r="A244" i="1"/>
  <c r="O243" i="1"/>
  <c r="L243" i="1"/>
  <c r="K243" i="1"/>
  <c r="J243" i="1"/>
  <c r="I243" i="1"/>
  <c r="H243" i="1"/>
  <c r="G243" i="1"/>
  <c r="F243" i="1"/>
  <c r="E243" i="1"/>
  <c r="D243" i="1"/>
  <c r="B243" i="1"/>
  <c r="A243" i="1"/>
  <c r="O242" i="1"/>
  <c r="L242" i="1"/>
  <c r="K242" i="1"/>
  <c r="F242" i="1"/>
  <c r="E242" i="1"/>
  <c r="D242" i="1"/>
  <c r="B242" i="1"/>
  <c r="G242" i="1" s="1"/>
  <c r="H242" i="1" s="1"/>
  <c r="I242" i="1" s="1"/>
  <c r="A242" i="1"/>
  <c r="J248" i="1" s="1"/>
  <c r="O241" i="1"/>
  <c r="L241" i="1"/>
  <c r="K241" i="1"/>
  <c r="G241" i="1"/>
  <c r="H241" i="1" s="1"/>
  <c r="I241" i="1" s="1"/>
  <c r="F241" i="1"/>
  <c r="E241" i="1"/>
  <c r="D241" i="1"/>
  <c r="B241" i="1"/>
  <c r="A241" i="1"/>
  <c r="O240" i="1"/>
  <c r="L240" i="1"/>
  <c r="K240" i="1"/>
  <c r="G240" i="1"/>
  <c r="F240" i="1"/>
  <c r="H240" i="1" s="1"/>
  <c r="I240" i="1" s="1"/>
  <c r="E240" i="1"/>
  <c r="D240" i="1"/>
  <c r="B240" i="1"/>
  <c r="A240" i="1"/>
  <c r="O239" i="1"/>
  <c r="L239" i="1"/>
  <c r="K239" i="1"/>
  <c r="J239" i="1"/>
  <c r="F239" i="1"/>
  <c r="E239" i="1"/>
  <c r="D239" i="1"/>
  <c r="B239" i="1"/>
  <c r="G239" i="1" s="1"/>
  <c r="H239" i="1" s="1"/>
  <c r="I239" i="1" s="1"/>
  <c r="A239" i="1"/>
  <c r="O238" i="1"/>
  <c r="L238" i="1"/>
  <c r="K238" i="1"/>
  <c r="G238" i="1"/>
  <c r="H238" i="1" s="1"/>
  <c r="I238" i="1" s="1"/>
  <c r="F238" i="1"/>
  <c r="E238" i="1"/>
  <c r="D238" i="1"/>
  <c r="B238" i="1"/>
  <c r="A238" i="1"/>
  <c r="O237" i="1"/>
  <c r="L237" i="1"/>
  <c r="K237" i="1"/>
  <c r="F237" i="1"/>
  <c r="E237" i="1"/>
  <c r="D237" i="1"/>
  <c r="B237" i="1"/>
  <c r="G237" i="1" s="1"/>
  <c r="H237" i="1" s="1"/>
  <c r="I237" i="1" s="1"/>
  <c r="A237" i="1"/>
  <c r="O236" i="1"/>
  <c r="L236" i="1"/>
  <c r="K236" i="1"/>
  <c r="F236" i="1"/>
  <c r="E236" i="1"/>
  <c r="D236" i="1"/>
  <c r="B236" i="1"/>
  <c r="G236" i="1" s="1"/>
  <c r="H236" i="1" s="1"/>
  <c r="I236" i="1" s="1"/>
  <c r="A236" i="1"/>
  <c r="O235" i="1"/>
  <c r="L235" i="1"/>
  <c r="K235" i="1"/>
  <c r="I235" i="1"/>
  <c r="H235" i="1"/>
  <c r="G235" i="1"/>
  <c r="F235" i="1"/>
  <c r="E235" i="1"/>
  <c r="D235" i="1"/>
  <c r="B235" i="1"/>
  <c r="A235" i="1"/>
  <c r="J237" i="1" s="1"/>
  <c r="O234" i="1"/>
  <c r="L234" i="1"/>
  <c r="K234" i="1"/>
  <c r="F234" i="1"/>
  <c r="E234" i="1"/>
  <c r="D234" i="1"/>
  <c r="B234" i="1"/>
  <c r="G234" i="1" s="1"/>
  <c r="H234" i="1" s="1"/>
  <c r="I234" i="1" s="1"/>
  <c r="A234" i="1"/>
  <c r="O233" i="1"/>
  <c r="L233" i="1"/>
  <c r="K233" i="1"/>
  <c r="J233" i="1"/>
  <c r="G233" i="1"/>
  <c r="H233" i="1" s="1"/>
  <c r="I233" i="1" s="1"/>
  <c r="F233" i="1"/>
  <c r="E233" i="1"/>
  <c r="D233" i="1"/>
  <c r="B233" i="1"/>
  <c r="A233" i="1"/>
  <c r="O232" i="1"/>
  <c r="L232" i="1"/>
  <c r="K232" i="1"/>
  <c r="G232" i="1"/>
  <c r="F232" i="1"/>
  <c r="H232" i="1" s="1"/>
  <c r="I232" i="1" s="1"/>
  <c r="E232" i="1"/>
  <c r="D232" i="1"/>
  <c r="B232" i="1"/>
  <c r="A232" i="1"/>
  <c r="O231" i="1"/>
  <c r="L231" i="1"/>
  <c r="K231" i="1"/>
  <c r="J231" i="1"/>
  <c r="F231" i="1"/>
  <c r="E231" i="1"/>
  <c r="D231" i="1"/>
  <c r="B231" i="1"/>
  <c r="G231" i="1" s="1"/>
  <c r="H231" i="1" s="1"/>
  <c r="I231" i="1" s="1"/>
  <c r="A231" i="1"/>
  <c r="O230" i="1"/>
  <c r="L230" i="1"/>
  <c r="K230" i="1"/>
  <c r="G230" i="1"/>
  <c r="H230" i="1" s="1"/>
  <c r="I230" i="1" s="1"/>
  <c r="F230" i="1"/>
  <c r="E230" i="1"/>
  <c r="D230" i="1"/>
  <c r="B230" i="1"/>
  <c r="A230" i="1"/>
  <c r="O229" i="1"/>
  <c r="L229" i="1"/>
  <c r="K229" i="1"/>
  <c r="J229" i="1"/>
  <c r="F229" i="1"/>
  <c r="E229" i="1"/>
  <c r="D229" i="1"/>
  <c r="B229" i="1"/>
  <c r="G229" i="1" s="1"/>
  <c r="H229" i="1" s="1"/>
  <c r="I229" i="1" s="1"/>
  <c r="A229" i="1"/>
  <c r="O228" i="1"/>
  <c r="L228" i="1"/>
  <c r="K228" i="1"/>
  <c r="F228" i="1"/>
  <c r="E228" i="1"/>
  <c r="D228" i="1"/>
  <c r="B228" i="1"/>
  <c r="G228" i="1" s="1"/>
  <c r="H228" i="1" s="1"/>
  <c r="I228" i="1" s="1"/>
  <c r="A228" i="1"/>
  <c r="J234" i="1" s="1"/>
  <c r="O227" i="1"/>
  <c r="L227" i="1"/>
  <c r="K227" i="1"/>
  <c r="J227" i="1"/>
  <c r="I227" i="1"/>
  <c r="H227" i="1"/>
  <c r="G227" i="1"/>
  <c r="F227" i="1"/>
  <c r="E227" i="1"/>
  <c r="D227" i="1"/>
  <c r="B227" i="1"/>
  <c r="A227" i="1"/>
  <c r="O226" i="1"/>
  <c r="L226" i="1"/>
  <c r="K226" i="1"/>
  <c r="F226" i="1"/>
  <c r="E226" i="1"/>
  <c r="D226" i="1"/>
  <c r="B226" i="1"/>
  <c r="G226" i="1" s="1"/>
  <c r="H226" i="1" s="1"/>
  <c r="I226" i="1" s="1"/>
  <c r="A226" i="1"/>
  <c r="O225" i="1"/>
  <c r="L225" i="1"/>
  <c r="K225" i="1"/>
  <c r="G225" i="1"/>
  <c r="H225" i="1" s="1"/>
  <c r="I225" i="1" s="1"/>
  <c r="F225" i="1"/>
  <c r="E225" i="1"/>
  <c r="D225" i="1"/>
  <c r="B225" i="1"/>
  <c r="A225" i="1"/>
  <c r="O224" i="1"/>
  <c r="L224" i="1"/>
  <c r="K224" i="1"/>
  <c r="G224" i="1"/>
  <c r="F224" i="1"/>
  <c r="H224" i="1" s="1"/>
  <c r="I224" i="1" s="1"/>
  <c r="E224" i="1"/>
  <c r="D224" i="1"/>
  <c r="B224" i="1"/>
  <c r="A224" i="1"/>
  <c r="O223" i="1"/>
  <c r="L223" i="1"/>
  <c r="K223" i="1"/>
  <c r="J223" i="1"/>
  <c r="F223" i="1"/>
  <c r="E223" i="1"/>
  <c r="D223" i="1"/>
  <c r="B223" i="1"/>
  <c r="G223" i="1" s="1"/>
  <c r="H223" i="1" s="1"/>
  <c r="I223" i="1" s="1"/>
  <c r="A223" i="1"/>
  <c r="O222" i="1"/>
  <c r="L222" i="1"/>
  <c r="K222" i="1"/>
  <c r="G222" i="1"/>
  <c r="H222" i="1" s="1"/>
  <c r="I222" i="1" s="1"/>
  <c r="F222" i="1"/>
  <c r="E222" i="1"/>
  <c r="D222" i="1"/>
  <c r="B222" i="1"/>
  <c r="A222" i="1"/>
  <c r="O221" i="1"/>
  <c r="L221" i="1"/>
  <c r="K221" i="1"/>
  <c r="F221" i="1"/>
  <c r="E221" i="1"/>
  <c r="D221" i="1"/>
  <c r="B221" i="1"/>
  <c r="G221" i="1" s="1"/>
  <c r="H221" i="1" s="1"/>
  <c r="I221" i="1" s="1"/>
  <c r="A221" i="1"/>
  <c r="J225" i="1" s="1"/>
  <c r="O220" i="1"/>
  <c r="L220" i="1"/>
  <c r="K220" i="1"/>
  <c r="F220" i="1"/>
  <c r="E220" i="1"/>
  <c r="D220" i="1"/>
  <c r="B220" i="1"/>
  <c r="G220" i="1" s="1"/>
  <c r="H220" i="1" s="1"/>
  <c r="I220" i="1" s="1"/>
  <c r="A220" i="1"/>
  <c r="O219" i="1"/>
  <c r="L219" i="1"/>
  <c r="K219" i="1"/>
  <c r="J219" i="1"/>
  <c r="I219" i="1"/>
  <c r="H219" i="1"/>
  <c r="G219" i="1"/>
  <c r="F219" i="1"/>
  <c r="E219" i="1"/>
  <c r="D219" i="1"/>
  <c r="B219" i="1"/>
  <c r="A219" i="1"/>
  <c r="O218" i="1"/>
  <c r="L218" i="1"/>
  <c r="K218" i="1"/>
  <c r="F218" i="1"/>
  <c r="E218" i="1"/>
  <c r="D218" i="1"/>
  <c r="B218" i="1"/>
  <c r="G218" i="1" s="1"/>
  <c r="H218" i="1" s="1"/>
  <c r="I218" i="1" s="1"/>
  <c r="A218" i="1"/>
  <c r="O217" i="1"/>
  <c r="L217" i="1"/>
  <c r="K217" i="1"/>
  <c r="J217" i="1"/>
  <c r="G217" i="1"/>
  <c r="H217" i="1" s="1"/>
  <c r="I217" i="1" s="1"/>
  <c r="F217" i="1"/>
  <c r="E217" i="1"/>
  <c r="D217" i="1"/>
  <c r="B217" i="1"/>
  <c r="A217" i="1"/>
  <c r="O216" i="1"/>
  <c r="L216" i="1"/>
  <c r="K216" i="1"/>
  <c r="G216" i="1"/>
  <c r="F216" i="1"/>
  <c r="H216" i="1" s="1"/>
  <c r="I216" i="1" s="1"/>
  <c r="E216" i="1"/>
  <c r="D216" i="1"/>
  <c r="B216" i="1"/>
  <c r="A216" i="1"/>
  <c r="O215" i="1"/>
  <c r="L215" i="1"/>
  <c r="K215" i="1"/>
  <c r="J215" i="1"/>
  <c r="F215" i="1"/>
  <c r="E215" i="1"/>
  <c r="D215" i="1"/>
  <c r="B215" i="1"/>
  <c r="G215" i="1" s="1"/>
  <c r="H215" i="1" s="1"/>
  <c r="I215" i="1" s="1"/>
  <c r="A215" i="1"/>
  <c r="O214" i="1"/>
  <c r="L214" i="1"/>
  <c r="K214" i="1"/>
  <c r="G214" i="1"/>
  <c r="H214" i="1" s="1"/>
  <c r="I214" i="1" s="1"/>
  <c r="F214" i="1"/>
  <c r="E214" i="1"/>
  <c r="D214" i="1"/>
  <c r="B214" i="1"/>
  <c r="A214" i="1"/>
  <c r="J220" i="1" s="1"/>
  <c r="O213" i="1"/>
  <c r="L213" i="1"/>
  <c r="K213" i="1"/>
  <c r="F213" i="1"/>
  <c r="E213" i="1"/>
  <c r="D213" i="1"/>
  <c r="B213" i="1"/>
  <c r="G213" i="1" s="1"/>
  <c r="H213" i="1" s="1"/>
  <c r="I213" i="1" s="1"/>
  <c r="A213" i="1"/>
  <c r="O212" i="1"/>
  <c r="L212" i="1"/>
  <c r="K212" i="1"/>
  <c r="F212" i="1"/>
  <c r="E212" i="1"/>
  <c r="D212" i="1"/>
  <c r="B212" i="1"/>
  <c r="G212" i="1" s="1"/>
  <c r="H212" i="1" s="1"/>
  <c r="I212" i="1" s="1"/>
  <c r="A212" i="1"/>
  <c r="O211" i="1"/>
  <c r="L211" i="1"/>
  <c r="K211" i="1"/>
  <c r="I211" i="1"/>
  <c r="H211" i="1"/>
  <c r="G211" i="1"/>
  <c r="F211" i="1"/>
  <c r="E211" i="1"/>
  <c r="D211" i="1"/>
  <c r="B211" i="1"/>
  <c r="A211" i="1"/>
  <c r="O210" i="1"/>
  <c r="L210" i="1"/>
  <c r="K210" i="1"/>
  <c r="F210" i="1"/>
  <c r="E210" i="1"/>
  <c r="D210" i="1"/>
  <c r="B210" i="1"/>
  <c r="G210" i="1" s="1"/>
  <c r="H210" i="1" s="1"/>
  <c r="I210" i="1" s="1"/>
  <c r="A210" i="1"/>
  <c r="O209" i="1"/>
  <c r="L209" i="1"/>
  <c r="K209" i="1"/>
  <c r="G209" i="1"/>
  <c r="H209" i="1" s="1"/>
  <c r="I209" i="1" s="1"/>
  <c r="F209" i="1"/>
  <c r="E209" i="1"/>
  <c r="D209" i="1"/>
  <c r="B209" i="1"/>
  <c r="A209" i="1"/>
  <c r="O208" i="1"/>
  <c r="L208" i="1"/>
  <c r="K208" i="1"/>
  <c r="G208" i="1"/>
  <c r="F208" i="1"/>
  <c r="H208" i="1" s="1"/>
  <c r="I208" i="1" s="1"/>
  <c r="E208" i="1"/>
  <c r="D208" i="1"/>
  <c r="B208" i="1"/>
  <c r="A208" i="1"/>
  <c r="O207" i="1"/>
  <c r="L207" i="1"/>
  <c r="K207" i="1"/>
  <c r="F207" i="1"/>
  <c r="E207" i="1"/>
  <c r="D207" i="1"/>
  <c r="B207" i="1"/>
  <c r="G207" i="1" s="1"/>
  <c r="H207" i="1" s="1"/>
  <c r="I207" i="1" s="1"/>
  <c r="A207" i="1"/>
  <c r="J209" i="1" s="1"/>
  <c r="O206" i="1"/>
  <c r="L206" i="1"/>
  <c r="K206" i="1"/>
  <c r="G206" i="1"/>
  <c r="H206" i="1" s="1"/>
  <c r="I206" i="1" s="1"/>
  <c r="F206" i="1"/>
  <c r="E206" i="1"/>
  <c r="D206" i="1"/>
  <c r="B206" i="1"/>
  <c r="A206" i="1"/>
  <c r="O205" i="1"/>
  <c r="L205" i="1"/>
  <c r="K205" i="1"/>
  <c r="J205" i="1"/>
  <c r="F205" i="1"/>
  <c r="E205" i="1"/>
  <c r="D205" i="1"/>
  <c r="B205" i="1"/>
  <c r="G205" i="1" s="1"/>
  <c r="H205" i="1" s="1"/>
  <c r="I205" i="1" s="1"/>
  <c r="A205" i="1"/>
  <c r="O204" i="1"/>
  <c r="L204" i="1"/>
  <c r="K204" i="1"/>
  <c r="F204" i="1"/>
  <c r="E204" i="1"/>
  <c r="D204" i="1"/>
  <c r="B204" i="1"/>
  <c r="G204" i="1" s="1"/>
  <c r="H204" i="1" s="1"/>
  <c r="I204" i="1" s="1"/>
  <c r="A204" i="1"/>
  <c r="O203" i="1"/>
  <c r="L203" i="1"/>
  <c r="K203" i="1"/>
  <c r="J203" i="1"/>
  <c r="I203" i="1"/>
  <c r="H203" i="1"/>
  <c r="G203" i="1"/>
  <c r="F203" i="1"/>
  <c r="E203" i="1"/>
  <c r="D203" i="1"/>
  <c r="B203" i="1"/>
  <c r="A203" i="1"/>
  <c r="O202" i="1"/>
  <c r="L202" i="1"/>
  <c r="K202" i="1"/>
  <c r="F202" i="1"/>
  <c r="E202" i="1"/>
  <c r="D202" i="1"/>
  <c r="B202" i="1"/>
  <c r="G202" i="1" s="1"/>
  <c r="H202" i="1" s="1"/>
  <c r="I202" i="1" s="1"/>
  <c r="A202" i="1"/>
  <c r="O201" i="1"/>
  <c r="L201" i="1"/>
  <c r="K201" i="1"/>
  <c r="J201" i="1"/>
  <c r="G201" i="1"/>
  <c r="H201" i="1" s="1"/>
  <c r="I201" i="1" s="1"/>
  <c r="F201" i="1"/>
  <c r="E201" i="1"/>
  <c r="D201" i="1"/>
  <c r="B201" i="1"/>
  <c r="A201" i="1"/>
  <c r="O200" i="1"/>
  <c r="L200" i="1"/>
  <c r="K200" i="1"/>
  <c r="G200" i="1"/>
  <c r="F200" i="1"/>
  <c r="H200" i="1" s="1"/>
  <c r="I200" i="1" s="1"/>
  <c r="E200" i="1"/>
  <c r="D200" i="1"/>
  <c r="B200" i="1"/>
  <c r="A200" i="1"/>
  <c r="J206" i="1" s="1"/>
  <c r="O199" i="1"/>
  <c r="L199" i="1"/>
  <c r="K199" i="1"/>
  <c r="J199" i="1"/>
  <c r="F199" i="1"/>
  <c r="E199" i="1"/>
  <c r="D199" i="1"/>
  <c r="B199" i="1"/>
  <c r="G199" i="1" s="1"/>
  <c r="H199" i="1" s="1"/>
  <c r="I199" i="1" s="1"/>
  <c r="A199" i="1"/>
  <c r="O198" i="1"/>
  <c r="L198" i="1"/>
  <c r="K198" i="1"/>
  <c r="G198" i="1"/>
  <c r="H198" i="1" s="1"/>
  <c r="I198" i="1" s="1"/>
  <c r="F198" i="1"/>
  <c r="E198" i="1"/>
  <c r="D198" i="1"/>
  <c r="B198" i="1"/>
  <c r="A198" i="1"/>
  <c r="O197" i="1"/>
  <c r="L197" i="1"/>
  <c r="K197" i="1"/>
  <c r="J197" i="1"/>
  <c r="F197" i="1"/>
  <c r="E197" i="1"/>
  <c r="D197" i="1"/>
  <c r="B197" i="1"/>
  <c r="G197" i="1" s="1"/>
  <c r="H197" i="1" s="1"/>
  <c r="I197" i="1" s="1"/>
  <c r="A197" i="1"/>
  <c r="O196" i="1"/>
  <c r="L196" i="1"/>
  <c r="K196" i="1"/>
  <c r="F196" i="1"/>
  <c r="E196" i="1"/>
  <c r="D196" i="1"/>
  <c r="B196" i="1"/>
  <c r="G196" i="1" s="1"/>
  <c r="H196" i="1" s="1"/>
  <c r="I196" i="1" s="1"/>
  <c r="A196" i="1"/>
  <c r="O195" i="1"/>
  <c r="L195" i="1"/>
  <c r="K195" i="1"/>
  <c r="J195" i="1"/>
  <c r="I195" i="1"/>
  <c r="H195" i="1"/>
  <c r="G195" i="1"/>
  <c r="F195" i="1"/>
  <c r="E195" i="1"/>
  <c r="D195" i="1"/>
  <c r="B195" i="1"/>
  <c r="A195" i="1"/>
  <c r="O194" i="1"/>
  <c r="L194" i="1"/>
  <c r="K194" i="1"/>
  <c r="F194" i="1"/>
  <c r="E194" i="1"/>
  <c r="D194" i="1"/>
  <c r="B194" i="1"/>
  <c r="G194" i="1" s="1"/>
  <c r="H194" i="1" s="1"/>
  <c r="I194" i="1" s="1"/>
  <c r="A194" i="1"/>
  <c r="O193" i="1"/>
  <c r="L193" i="1"/>
  <c r="K193" i="1"/>
  <c r="G193" i="1"/>
  <c r="H193" i="1" s="1"/>
  <c r="I193" i="1" s="1"/>
  <c r="F193" i="1"/>
  <c r="E193" i="1"/>
  <c r="D193" i="1"/>
  <c r="B193" i="1"/>
  <c r="A193" i="1"/>
  <c r="O192" i="1"/>
  <c r="L192" i="1"/>
  <c r="K192" i="1"/>
  <c r="G192" i="1"/>
  <c r="F192" i="1"/>
  <c r="H192" i="1" s="1"/>
  <c r="I192" i="1" s="1"/>
  <c r="E192" i="1"/>
  <c r="D192" i="1"/>
  <c r="B192" i="1"/>
  <c r="A192" i="1"/>
  <c r="O191" i="1"/>
  <c r="L191" i="1"/>
  <c r="K191" i="1"/>
  <c r="J191" i="1"/>
  <c r="F191" i="1"/>
  <c r="E191" i="1"/>
  <c r="D191" i="1"/>
  <c r="B191" i="1"/>
  <c r="G191" i="1" s="1"/>
  <c r="H191" i="1" s="1"/>
  <c r="I191" i="1" s="1"/>
  <c r="A191" i="1"/>
  <c r="O190" i="1"/>
  <c r="L190" i="1"/>
  <c r="K190" i="1"/>
  <c r="G190" i="1"/>
  <c r="H190" i="1" s="1"/>
  <c r="I190" i="1" s="1"/>
  <c r="F190" i="1"/>
  <c r="E190" i="1"/>
  <c r="D190" i="1"/>
  <c r="B190" i="1"/>
  <c r="A190" i="1"/>
  <c r="O189" i="1"/>
  <c r="L189" i="1"/>
  <c r="K189" i="1"/>
  <c r="J189" i="1"/>
  <c r="F189" i="1"/>
  <c r="E189" i="1"/>
  <c r="D189" i="1"/>
  <c r="B189" i="1"/>
  <c r="G189" i="1" s="1"/>
  <c r="H189" i="1" s="1"/>
  <c r="I189" i="1" s="1"/>
  <c r="A189" i="1"/>
  <c r="O188" i="1"/>
  <c r="L188" i="1"/>
  <c r="K188" i="1"/>
  <c r="F188" i="1"/>
  <c r="E188" i="1"/>
  <c r="D188" i="1"/>
  <c r="B188" i="1"/>
  <c r="G188" i="1" s="1"/>
  <c r="H188" i="1" s="1"/>
  <c r="I188" i="1" s="1"/>
  <c r="A188" i="1"/>
  <c r="O187" i="1"/>
  <c r="L187" i="1"/>
  <c r="K187" i="1"/>
  <c r="J187" i="1"/>
  <c r="I187" i="1"/>
  <c r="H187" i="1"/>
  <c r="G187" i="1"/>
  <c r="F187" i="1"/>
  <c r="E187" i="1"/>
  <c r="D187" i="1"/>
  <c r="B187" i="1"/>
  <c r="A187" i="1"/>
  <c r="O186" i="1"/>
  <c r="L186" i="1"/>
  <c r="K186" i="1"/>
  <c r="F186" i="1"/>
  <c r="E186" i="1"/>
  <c r="D186" i="1"/>
  <c r="B186" i="1"/>
  <c r="G186" i="1" s="1"/>
  <c r="H186" i="1" s="1"/>
  <c r="I186" i="1" s="1"/>
  <c r="A186" i="1"/>
  <c r="J192" i="1" s="1"/>
  <c r="O185" i="1"/>
  <c r="L185" i="1"/>
  <c r="K185" i="1"/>
  <c r="G185" i="1"/>
  <c r="H185" i="1" s="1"/>
  <c r="I185" i="1" s="1"/>
  <c r="F185" i="1"/>
  <c r="E185" i="1"/>
  <c r="D185" i="1"/>
  <c r="B185" i="1"/>
  <c r="A185" i="1"/>
  <c r="O184" i="1"/>
  <c r="L184" i="1"/>
  <c r="K184" i="1"/>
  <c r="G184" i="1"/>
  <c r="F184" i="1"/>
  <c r="H184" i="1" s="1"/>
  <c r="I184" i="1" s="1"/>
  <c r="E184" i="1"/>
  <c r="D184" i="1"/>
  <c r="B184" i="1"/>
  <c r="A184" i="1"/>
  <c r="O183" i="1"/>
  <c r="L183" i="1"/>
  <c r="K183" i="1"/>
  <c r="J183" i="1"/>
  <c r="F183" i="1"/>
  <c r="E183" i="1"/>
  <c r="D183" i="1"/>
  <c r="B183" i="1"/>
  <c r="G183" i="1" s="1"/>
  <c r="H183" i="1" s="1"/>
  <c r="I183" i="1" s="1"/>
  <c r="A183" i="1"/>
  <c r="O182" i="1"/>
  <c r="L182" i="1"/>
  <c r="K182" i="1"/>
  <c r="G182" i="1"/>
  <c r="H182" i="1" s="1"/>
  <c r="I182" i="1" s="1"/>
  <c r="F182" i="1"/>
  <c r="E182" i="1"/>
  <c r="D182" i="1"/>
  <c r="B182" i="1"/>
  <c r="A182" i="1"/>
  <c r="O181" i="1"/>
  <c r="L181" i="1"/>
  <c r="K181" i="1"/>
  <c r="F181" i="1"/>
  <c r="E181" i="1"/>
  <c r="D181" i="1"/>
  <c r="B181" i="1"/>
  <c r="G181" i="1" s="1"/>
  <c r="H181" i="1" s="1"/>
  <c r="I181" i="1" s="1"/>
  <c r="A181" i="1"/>
  <c r="O180" i="1"/>
  <c r="L180" i="1"/>
  <c r="K180" i="1"/>
  <c r="F180" i="1"/>
  <c r="E180" i="1"/>
  <c r="D180" i="1"/>
  <c r="B180" i="1"/>
  <c r="G180" i="1" s="1"/>
  <c r="H180" i="1" s="1"/>
  <c r="I180" i="1" s="1"/>
  <c r="A180" i="1"/>
  <c r="O179" i="1"/>
  <c r="L179" i="1"/>
  <c r="K179" i="1"/>
  <c r="G179" i="1"/>
  <c r="H179" i="1" s="1"/>
  <c r="I179" i="1" s="1"/>
  <c r="F179" i="1"/>
  <c r="E179" i="1"/>
  <c r="D179" i="1"/>
  <c r="B179" i="1"/>
  <c r="A179" i="1"/>
  <c r="J181" i="1" s="1"/>
  <c r="O178" i="1"/>
  <c r="L178" i="1"/>
  <c r="K178" i="1"/>
  <c r="F178" i="1"/>
  <c r="E178" i="1"/>
  <c r="D178" i="1"/>
  <c r="B178" i="1"/>
  <c r="G178" i="1" s="1"/>
  <c r="H178" i="1" s="1"/>
  <c r="I178" i="1" s="1"/>
  <c r="A178" i="1"/>
  <c r="O177" i="1"/>
  <c r="L177" i="1"/>
  <c r="K177" i="1"/>
  <c r="G177" i="1"/>
  <c r="F177" i="1"/>
  <c r="H177" i="1" s="1"/>
  <c r="I177" i="1" s="1"/>
  <c r="E177" i="1"/>
  <c r="D177" i="1"/>
  <c r="B177" i="1"/>
  <c r="A177" i="1"/>
  <c r="O176" i="1"/>
  <c r="L176" i="1"/>
  <c r="K176" i="1"/>
  <c r="J176" i="1"/>
  <c r="F176" i="1"/>
  <c r="E176" i="1"/>
  <c r="D176" i="1"/>
  <c r="B176" i="1"/>
  <c r="G176" i="1" s="1"/>
  <c r="H176" i="1" s="1"/>
  <c r="I176" i="1" s="1"/>
  <c r="A176" i="1"/>
  <c r="O175" i="1"/>
  <c r="L175" i="1"/>
  <c r="K175" i="1"/>
  <c r="H175" i="1"/>
  <c r="I175" i="1" s="1"/>
  <c r="G175" i="1"/>
  <c r="F175" i="1"/>
  <c r="E175" i="1"/>
  <c r="D175" i="1"/>
  <c r="B175" i="1"/>
  <c r="A175" i="1"/>
  <c r="O174" i="1"/>
  <c r="L174" i="1"/>
  <c r="K174" i="1"/>
  <c r="F174" i="1"/>
  <c r="E174" i="1"/>
  <c r="D174" i="1"/>
  <c r="B174" i="1"/>
  <c r="G174" i="1" s="1"/>
  <c r="H174" i="1" s="1"/>
  <c r="I174" i="1" s="1"/>
  <c r="A174" i="1"/>
  <c r="O173" i="1"/>
  <c r="L173" i="1"/>
  <c r="K173" i="1"/>
  <c r="G173" i="1"/>
  <c r="H173" i="1" s="1"/>
  <c r="I173" i="1" s="1"/>
  <c r="F173" i="1"/>
  <c r="E173" i="1"/>
  <c r="D173" i="1"/>
  <c r="B173" i="1"/>
  <c r="A173" i="1"/>
  <c r="O172" i="1"/>
  <c r="L172" i="1"/>
  <c r="K172" i="1"/>
  <c r="G172" i="1"/>
  <c r="H172" i="1" s="1"/>
  <c r="I172" i="1" s="1"/>
  <c r="F172" i="1"/>
  <c r="E172" i="1"/>
  <c r="D172" i="1"/>
  <c r="B172" i="1"/>
  <c r="A172" i="1"/>
  <c r="J175" i="1" s="1"/>
  <c r="O171" i="1"/>
  <c r="L171" i="1"/>
  <c r="K171" i="1"/>
  <c r="F171" i="1"/>
  <c r="E171" i="1"/>
  <c r="D171" i="1"/>
  <c r="B171" i="1"/>
  <c r="G171" i="1" s="1"/>
  <c r="H171" i="1" s="1"/>
  <c r="I171" i="1" s="1"/>
  <c r="A171" i="1"/>
  <c r="O170" i="1"/>
  <c r="L170" i="1"/>
  <c r="K170" i="1"/>
  <c r="J170" i="1"/>
  <c r="G170" i="1"/>
  <c r="F170" i="1"/>
  <c r="H170" i="1" s="1"/>
  <c r="I170" i="1" s="1"/>
  <c r="E170" i="1"/>
  <c r="D170" i="1"/>
  <c r="B170" i="1"/>
  <c r="A170" i="1"/>
  <c r="O169" i="1"/>
  <c r="L169" i="1"/>
  <c r="K169" i="1"/>
  <c r="J169" i="1"/>
  <c r="F169" i="1"/>
  <c r="E169" i="1"/>
  <c r="D169" i="1"/>
  <c r="B169" i="1"/>
  <c r="G169" i="1" s="1"/>
  <c r="H169" i="1" s="1"/>
  <c r="I169" i="1" s="1"/>
  <c r="A169" i="1"/>
  <c r="O168" i="1"/>
  <c r="L168" i="1"/>
  <c r="K168" i="1"/>
  <c r="J168" i="1"/>
  <c r="H168" i="1"/>
  <c r="I168" i="1" s="1"/>
  <c r="G168" i="1"/>
  <c r="F168" i="1"/>
  <c r="E168" i="1"/>
  <c r="D168" i="1"/>
  <c r="B168" i="1"/>
  <c r="A168" i="1"/>
  <c r="O158" i="1"/>
  <c r="L158" i="1"/>
  <c r="K158" i="1"/>
  <c r="F158" i="1"/>
  <c r="E158" i="1"/>
  <c r="D158" i="1"/>
  <c r="B158" i="1"/>
  <c r="G158" i="1" s="1"/>
  <c r="H158" i="1" s="1"/>
  <c r="I158" i="1" s="1"/>
  <c r="A158" i="1"/>
  <c r="O157" i="1"/>
  <c r="L157" i="1"/>
  <c r="K157" i="1"/>
  <c r="G157" i="1"/>
  <c r="H157" i="1" s="1"/>
  <c r="I157" i="1" s="1"/>
  <c r="F157" i="1"/>
  <c r="E157" i="1"/>
  <c r="D157" i="1"/>
  <c r="B157" i="1"/>
  <c r="A157" i="1"/>
  <c r="O156" i="1"/>
  <c r="L156" i="1"/>
  <c r="K156" i="1"/>
  <c r="F156" i="1"/>
  <c r="E156" i="1"/>
  <c r="D156" i="1"/>
  <c r="B156" i="1"/>
  <c r="G156" i="1" s="1"/>
  <c r="H156" i="1" s="1"/>
  <c r="I156" i="1" s="1"/>
  <c r="A156" i="1"/>
  <c r="J157" i="1" s="1"/>
  <c r="O155" i="1"/>
  <c r="L155" i="1"/>
  <c r="K155" i="1"/>
  <c r="F155" i="1"/>
  <c r="E155" i="1"/>
  <c r="D155" i="1"/>
  <c r="B155" i="1"/>
  <c r="G155" i="1" s="1"/>
  <c r="H155" i="1" s="1"/>
  <c r="I155" i="1" s="1"/>
  <c r="A155" i="1"/>
  <c r="O154" i="1"/>
  <c r="L154" i="1"/>
  <c r="K154" i="1"/>
  <c r="J154" i="1"/>
  <c r="G154" i="1"/>
  <c r="H154" i="1" s="1"/>
  <c r="I154" i="1" s="1"/>
  <c r="F154" i="1"/>
  <c r="E154" i="1"/>
  <c r="D154" i="1"/>
  <c r="B154" i="1"/>
  <c r="A154" i="1"/>
  <c r="O153" i="1"/>
  <c r="L153" i="1"/>
  <c r="K153" i="1"/>
  <c r="F153" i="1"/>
  <c r="E153" i="1"/>
  <c r="D153" i="1"/>
  <c r="B153" i="1"/>
  <c r="G153" i="1" s="1"/>
  <c r="H153" i="1" s="1"/>
  <c r="I153" i="1" s="1"/>
  <c r="A153" i="1"/>
  <c r="O152" i="1"/>
  <c r="L152" i="1"/>
  <c r="K152" i="1"/>
  <c r="J152" i="1"/>
  <c r="G152" i="1"/>
  <c r="F152" i="1"/>
  <c r="H152" i="1" s="1"/>
  <c r="I152" i="1" s="1"/>
  <c r="E152" i="1"/>
  <c r="D152" i="1"/>
  <c r="B152" i="1"/>
  <c r="A152" i="1"/>
  <c r="O151" i="1"/>
  <c r="L151" i="1"/>
  <c r="K151" i="1"/>
  <c r="J151" i="1"/>
  <c r="F151" i="1"/>
  <c r="E151" i="1"/>
  <c r="D151" i="1"/>
  <c r="B151" i="1"/>
  <c r="G151" i="1" s="1"/>
  <c r="H151" i="1" s="1"/>
  <c r="I151" i="1" s="1"/>
  <c r="A151" i="1"/>
  <c r="O150" i="1"/>
  <c r="L150" i="1"/>
  <c r="K150" i="1"/>
  <c r="H150" i="1"/>
  <c r="I150" i="1" s="1"/>
  <c r="G150" i="1"/>
  <c r="F150" i="1"/>
  <c r="E150" i="1"/>
  <c r="D150" i="1"/>
  <c r="B150" i="1"/>
  <c r="A150" i="1"/>
  <c r="O149" i="1"/>
  <c r="L149" i="1"/>
  <c r="K149" i="1"/>
  <c r="F149" i="1"/>
  <c r="E149" i="1"/>
  <c r="D149" i="1"/>
  <c r="B149" i="1"/>
  <c r="G149" i="1" s="1"/>
  <c r="H149" i="1" s="1"/>
  <c r="I149" i="1" s="1"/>
  <c r="A149" i="1"/>
  <c r="J150" i="1" s="1"/>
  <c r="O148" i="1"/>
  <c r="L148" i="1"/>
  <c r="K148" i="1"/>
  <c r="G148" i="1"/>
  <c r="H148" i="1" s="1"/>
  <c r="I148" i="1" s="1"/>
  <c r="F148" i="1"/>
  <c r="E148" i="1"/>
  <c r="D148" i="1"/>
  <c r="B148" i="1"/>
  <c r="A148" i="1"/>
  <c r="O147" i="1"/>
  <c r="L147" i="1"/>
  <c r="K147" i="1"/>
  <c r="J147" i="1"/>
  <c r="G147" i="1"/>
  <c r="H147" i="1" s="1"/>
  <c r="I147" i="1" s="1"/>
  <c r="F147" i="1"/>
  <c r="E147" i="1"/>
  <c r="D147" i="1"/>
  <c r="B147" i="1"/>
  <c r="A147" i="1"/>
  <c r="O146" i="1"/>
  <c r="L146" i="1"/>
  <c r="K146" i="1"/>
  <c r="F146" i="1"/>
  <c r="E146" i="1"/>
  <c r="D146" i="1"/>
  <c r="B146" i="1"/>
  <c r="G146" i="1" s="1"/>
  <c r="H146" i="1" s="1"/>
  <c r="I146" i="1" s="1"/>
  <c r="A146" i="1"/>
  <c r="O145" i="1"/>
  <c r="L145" i="1"/>
  <c r="K145" i="1"/>
  <c r="J145" i="1"/>
  <c r="G145" i="1"/>
  <c r="F145" i="1"/>
  <c r="H145" i="1" s="1"/>
  <c r="I145" i="1" s="1"/>
  <c r="E145" i="1"/>
  <c r="D145" i="1"/>
  <c r="B145" i="1"/>
  <c r="A145" i="1"/>
  <c r="O144" i="1"/>
  <c r="L144" i="1"/>
  <c r="K144" i="1"/>
  <c r="J144" i="1"/>
  <c r="F144" i="1"/>
  <c r="E144" i="1"/>
  <c r="D144" i="1"/>
  <c r="B144" i="1"/>
  <c r="G144" i="1" s="1"/>
  <c r="H144" i="1" s="1"/>
  <c r="I144" i="1" s="1"/>
  <c r="A144" i="1"/>
  <c r="O143" i="1"/>
  <c r="L143" i="1"/>
  <c r="K143" i="1"/>
  <c r="J143" i="1"/>
  <c r="H143" i="1"/>
  <c r="I143" i="1" s="1"/>
  <c r="G143" i="1"/>
  <c r="F143" i="1"/>
  <c r="E143" i="1"/>
  <c r="D143" i="1"/>
  <c r="B143" i="1"/>
  <c r="A143" i="1"/>
  <c r="O142" i="1"/>
  <c r="L142" i="1"/>
  <c r="K142" i="1"/>
  <c r="I142" i="1"/>
  <c r="F142" i="1"/>
  <c r="E142" i="1"/>
  <c r="D142" i="1"/>
  <c r="B142" i="1"/>
  <c r="G142" i="1" s="1"/>
  <c r="H142" i="1" s="1"/>
  <c r="A142" i="1"/>
  <c r="J142" i="1" s="1"/>
  <c r="O141" i="1"/>
  <c r="L141" i="1"/>
  <c r="K141" i="1"/>
  <c r="G141" i="1"/>
  <c r="H141" i="1" s="1"/>
  <c r="I141" i="1" s="1"/>
  <c r="F141" i="1"/>
  <c r="E141" i="1"/>
  <c r="D141" i="1"/>
  <c r="B141" i="1"/>
  <c r="A141" i="1"/>
  <c r="O140" i="1"/>
  <c r="L140" i="1"/>
  <c r="K140" i="1"/>
  <c r="J140" i="1"/>
  <c r="F140" i="1"/>
  <c r="E140" i="1"/>
  <c r="D140" i="1"/>
  <c r="B140" i="1"/>
  <c r="G140" i="1" s="1"/>
  <c r="H140" i="1" s="1"/>
  <c r="I140" i="1" s="1"/>
  <c r="A140" i="1"/>
  <c r="O139" i="1"/>
  <c r="L139" i="1"/>
  <c r="K139" i="1"/>
  <c r="F139" i="1"/>
  <c r="E139" i="1"/>
  <c r="D139" i="1"/>
  <c r="B139" i="1"/>
  <c r="G139" i="1" s="1"/>
  <c r="H139" i="1" s="1"/>
  <c r="I139" i="1" s="1"/>
  <c r="A139" i="1"/>
  <c r="O138" i="1"/>
  <c r="L138" i="1"/>
  <c r="K138" i="1"/>
  <c r="J138" i="1"/>
  <c r="G138" i="1"/>
  <c r="H138" i="1" s="1"/>
  <c r="I138" i="1" s="1"/>
  <c r="F138" i="1"/>
  <c r="E138" i="1"/>
  <c r="D138" i="1"/>
  <c r="B138" i="1"/>
  <c r="A138" i="1"/>
  <c r="O137" i="1"/>
  <c r="L137" i="1"/>
  <c r="K137" i="1"/>
  <c r="F137" i="1"/>
  <c r="E137" i="1"/>
  <c r="D137" i="1"/>
  <c r="B137" i="1"/>
  <c r="G137" i="1" s="1"/>
  <c r="H137" i="1" s="1"/>
  <c r="I137" i="1" s="1"/>
  <c r="A137" i="1"/>
  <c r="O136" i="1"/>
  <c r="L136" i="1"/>
  <c r="K136" i="1"/>
  <c r="J136" i="1"/>
  <c r="I136" i="1"/>
  <c r="G136" i="1"/>
  <c r="F136" i="1"/>
  <c r="H136" i="1" s="1"/>
  <c r="E136" i="1"/>
  <c r="D136" i="1"/>
  <c r="B136" i="1"/>
  <c r="A136" i="1"/>
  <c r="O135" i="1"/>
  <c r="L135" i="1"/>
  <c r="K135" i="1"/>
  <c r="J135" i="1"/>
  <c r="F135" i="1"/>
  <c r="E135" i="1"/>
  <c r="D135" i="1"/>
  <c r="B135" i="1"/>
  <c r="G135" i="1" s="1"/>
  <c r="H135" i="1" s="1"/>
  <c r="I135" i="1" s="1"/>
  <c r="A135" i="1"/>
  <c r="J141" i="1" s="1"/>
  <c r="O134" i="1"/>
  <c r="L134" i="1"/>
  <c r="K134" i="1"/>
  <c r="H134" i="1"/>
  <c r="I134" i="1" s="1"/>
  <c r="G134" i="1"/>
  <c r="F134" i="1"/>
  <c r="E134" i="1"/>
  <c r="D134" i="1"/>
  <c r="B134" i="1"/>
  <c r="A134" i="1"/>
  <c r="O133" i="1"/>
  <c r="L133" i="1"/>
  <c r="K133" i="1"/>
  <c r="F133" i="1"/>
  <c r="E133" i="1"/>
  <c r="D133" i="1"/>
  <c r="B133" i="1"/>
  <c r="G133" i="1" s="1"/>
  <c r="H133" i="1" s="1"/>
  <c r="I133" i="1" s="1"/>
  <c r="A133" i="1"/>
  <c r="O132" i="1"/>
  <c r="L132" i="1"/>
  <c r="K132" i="1"/>
  <c r="G132" i="1"/>
  <c r="H132" i="1" s="1"/>
  <c r="I132" i="1" s="1"/>
  <c r="F132" i="1"/>
  <c r="E132" i="1"/>
  <c r="D132" i="1"/>
  <c r="B132" i="1"/>
  <c r="A132" i="1"/>
  <c r="O131" i="1"/>
  <c r="L131" i="1"/>
  <c r="K131" i="1"/>
  <c r="G131" i="1"/>
  <c r="H131" i="1" s="1"/>
  <c r="I131" i="1" s="1"/>
  <c r="F131" i="1"/>
  <c r="E131" i="1"/>
  <c r="D131" i="1"/>
  <c r="B131" i="1"/>
  <c r="A131" i="1"/>
  <c r="O130" i="1"/>
  <c r="L130" i="1"/>
  <c r="K130" i="1"/>
  <c r="F130" i="1"/>
  <c r="E130" i="1"/>
  <c r="D130" i="1"/>
  <c r="B130" i="1"/>
  <c r="G130" i="1" s="1"/>
  <c r="H130" i="1" s="1"/>
  <c r="I130" i="1" s="1"/>
  <c r="A130" i="1"/>
  <c r="O129" i="1"/>
  <c r="L129" i="1"/>
  <c r="K129" i="1"/>
  <c r="J129" i="1"/>
  <c r="G129" i="1"/>
  <c r="F129" i="1"/>
  <c r="H129" i="1" s="1"/>
  <c r="I129" i="1" s="1"/>
  <c r="E129" i="1"/>
  <c r="D129" i="1"/>
  <c r="B129" i="1"/>
  <c r="A129" i="1"/>
  <c r="O128" i="1"/>
  <c r="L128" i="1"/>
  <c r="K128" i="1"/>
  <c r="J128" i="1"/>
  <c r="F128" i="1"/>
  <c r="E128" i="1"/>
  <c r="D128" i="1"/>
  <c r="B128" i="1"/>
  <c r="G128" i="1" s="1"/>
  <c r="H128" i="1" s="1"/>
  <c r="I128" i="1" s="1"/>
  <c r="A128" i="1"/>
  <c r="O127" i="1"/>
  <c r="L127" i="1"/>
  <c r="K127" i="1"/>
  <c r="H127" i="1"/>
  <c r="I127" i="1" s="1"/>
  <c r="G127" i="1"/>
  <c r="F127" i="1"/>
  <c r="E127" i="1"/>
  <c r="D127" i="1"/>
  <c r="B127" i="1"/>
  <c r="A127" i="1"/>
  <c r="O126" i="1"/>
  <c r="L126" i="1"/>
  <c r="K126" i="1"/>
  <c r="F126" i="1"/>
  <c r="E126" i="1"/>
  <c r="D126" i="1"/>
  <c r="B126" i="1"/>
  <c r="G126" i="1" s="1"/>
  <c r="H126" i="1" s="1"/>
  <c r="I126" i="1" s="1"/>
  <c r="A126" i="1"/>
  <c r="O125" i="1"/>
  <c r="L125" i="1"/>
  <c r="K125" i="1"/>
  <c r="G125" i="1"/>
  <c r="H125" i="1" s="1"/>
  <c r="I125" i="1" s="1"/>
  <c r="F125" i="1"/>
  <c r="E125" i="1"/>
  <c r="D125" i="1"/>
  <c r="B125" i="1"/>
  <c r="A125" i="1"/>
  <c r="O124" i="1"/>
  <c r="L124" i="1"/>
  <c r="K124" i="1"/>
  <c r="F124" i="1"/>
  <c r="E124" i="1"/>
  <c r="D124" i="1"/>
  <c r="B124" i="1"/>
  <c r="G124" i="1" s="1"/>
  <c r="H124" i="1" s="1"/>
  <c r="I124" i="1" s="1"/>
  <c r="A124" i="1"/>
  <c r="O123" i="1"/>
  <c r="L123" i="1"/>
  <c r="K123" i="1"/>
  <c r="G123" i="1"/>
  <c r="H123" i="1" s="1"/>
  <c r="I123" i="1" s="1"/>
  <c r="F123" i="1"/>
  <c r="E123" i="1"/>
  <c r="D123" i="1"/>
  <c r="B123" i="1"/>
  <c r="A123" i="1"/>
  <c r="O122" i="1"/>
  <c r="L122" i="1"/>
  <c r="K122" i="1"/>
  <c r="G122" i="1"/>
  <c r="H122" i="1" s="1"/>
  <c r="I122" i="1" s="1"/>
  <c r="F122" i="1"/>
  <c r="E122" i="1"/>
  <c r="D122" i="1"/>
  <c r="B122" i="1"/>
  <c r="A122" i="1"/>
  <c r="O121" i="1"/>
  <c r="L121" i="1"/>
  <c r="K121" i="1"/>
  <c r="F121" i="1"/>
  <c r="E121" i="1"/>
  <c r="D121" i="1"/>
  <c r="B121" i="1"/>
  <c r="G121" i="1" s="1"/>
  <c r="A121" i="1"/>
  <c r="J122" i="1" s="1"/>
  <c r="BB120" i="1"/>
  <c r="O120" i="1"/>
  <c r="L120" i="1"/>
  <c r="K120" i="1"/>
  <c r="J120" i="1"/>
  <c r="F120" i="1"/>
  <c r="E120" i="1"/>
  <c r="D120" i="1"/>
  <c r="B120" i="1"/>
  <c r="G120" i="1" s="1"/>
  <c r="H120" i="1" s="1"/>
  <c r="I120" i="1" s="1"/>
  <c r="A120" i="1"/>
  <c r="BB119" i="1"/>
  <c r="O119" i="1"/>
  <c r="L119" i="1"/>
  <c r="K119" i="1"/>
  <c r="G119" i="1"/>
  <c r="H119" i="1" s="1"/>
  <c r="I119" i="1" s="1"/>
  <c r="F119" i="1"/>
  <c r="E119" i="1"/>
  <c r="D119" i="1"/>
  <c r="B119" i="1"/>
  <c r="A119" i="1"/>
  <c r="BB118" i="1"/>
  <c r="O118" i="1"/>
  <c r="L118" i="1"/>
  <c r="K118" i="1"/>
  <c r="I118" i="1"/>
  <c r="F118" i="1"/>
  <c r="E118" i="1"/>
  <c r="D118" i="1"/>
  <c r="B118" i="1"/>
  <c r="G118" i="1" s="1"/>
  <c r="H118" i="1" s="1"/>
  <c r="A118" i="1"/>
  <c r="BB117" i="1"/>
  <c r="BA117" i="1"/>
  <c r="O117" i="1"/>
  <c r="L117" i="1"/>
  <c r="K117" i="1"/>
  <c r="J117" i="1"/>
  <c r="F117" i="1"/>
  <c r="E117" i="1"/>
  <c r="D117" i="1"/>
  <c r="B117" i="1"/>
  <c r="G117" i="1" s="1"/>
  <c r="H117" i="1" s="1"/>
  <c r="I117" i="1" s="1"/>
  <c r="A117" i="1"/>
  <c r="BB116" i="1"/>
  <c r="BA116" i="1"/>
  <c r="O116" i="1"/>
  <c r="L116" i="1"/>
  <c r="K116" i="1"/>
  <c r="H116" i="1"/>
  <c r="I116" i="1" s="1"/>
  <c r="G116" i="1"/>
  <c r="F116" i="1"/>
  <c r="E116" i="1"/>
  <c r="D116" i="1"/>
  <c r="B116" i="1"/>
  <c r="A116" i="1"/>
  <c r="BB115" i="1"/>
  <c r="BA115" i="1"/>
  <c r="O115" i="1"/>
  <c r="L115" i="1"/>
  <c r="K115" i="1"/>
  <c r="F115" i="1"/>
  <c r="E115" i="1"/>
  <c r="D115" i="1"/>
  <c r="B115" i="1"/>
  <c r="G115" i="1" s="1"/>
  <c r="H115" i="1" s="1"/>
  <c r="I115" i="1" s="1"/>
  <c r="A115" i="1"/>
  <c r="BB114" i="1"/>
  <c r="BA114" i="1"/>
  <c r="O114" i="1"/>
  <c r="L114" i="1"/>
  <c r="K114" i="1"/>
  <c r="I114" i="1"/>
  <c r="F114" i="1"/>
  <c r="E114" i="1"/>
  <c r="D114" i="1"/>
  <c r="B114" i="1"/>
  <c r="G114" i="1" s="1"/>
  <c r="H114" i="1" s="1"/>
  <c r="A114" i="1"/>
  <c r="J116" i="1" s="1"/>
  <c r="BB113" i="1"/>
  <c r="BA113" i="1"/>
  <c r="O113" i="1"/>
  <c r="L113" i="1"/>
  <c r="K113" i="1"/>
  <c r="J113" i="1"/>
  <c r="F113" i="1"/>
  <c r="E113" i="1"/>
  <c r="D113" i="1"/>
  <c r="B113" i="1"/>
  <c r="G113" i="1" s="1"/>
  <c r="H113" i="1" s="1"/>
  <c r="I113" i="1" s="1"/>
  <c r="A113" i="1"/>
  <c r="BB112" i="1"/>
  <c r="BA112" i="1"/>
  <c r="O112" i="1"/>
  <c r="L112" i="1"/>
  <c r="K112" i="1"/>
  <c r="J112" i="1"/>
  <c r="H112" i="1"/>
  <c r="I112" i="1" s="1"/>
  <c r="G112" i="1"/>
  <c r="F112" i="1"/>
  <c r="E112" i="1"/>
  <c r="D112" i="1"/>
  <c r="B112" i="1"/>
  <c r="A112" i="1"/>
  <c r="BB111" i="1"/>
  <c r="BA111" i="1"/>
  <c r="O111" i="1"/>
  <c r="L111" i="1"/>
  <c r="K111" i="1"/>
  <c r="F111" i="1"/>
  <c r="E111" i="1"/>
  <c r="D111" i="1"/>
  <c r="B111" i="1"/>
  <c r="G111" i="1" s="1"/>
  <c r="H111" i="1" s="1"/>
  <c r="I111" i="1" s="1"/>
  <c r="A111" i="1"/>
  <c r="BB110" i="1"/>
  <c r="BA110" i="1"/>
  <c r="O110" i="1"/>
  <c r="L110" i="1"/>
  <c r="K110" i="1"/>
  <c r="J110" i="1"/>
  <c r="I110" i="1"/>
  <c r="F110" i="1"/>
  <c r="E110" i="1"/>
  <c r="D110" i="1"/>
  <c r="B110" i="1"/>
  <c r="G110" i="1" s="1"/>
  <c r="H110" i="1" s="1"/>
  <c r="A110" i="1"/>
  <c r="BB109" i="1"/>
  <c r="BA109" i="1"/>
  <c r="O109" i="1"/>
  <c r="L109" i="1"/>
  <c r="K109" i="1"/>
  <c r="J109" i="1"/>
  <c r="F109" i="1"/>
  <c r="E109" i="1"/>
  <c r="D109" i="1"/>
  <c r="B109" i="1"/>
  <c r="G109" i="1" s="1"/>
  <c r="H109" i="1" s="1"/>
  <c r="I109" i="1" s="1"/>
  <c r="A109" i="1"/>
  <c r="BB108" i="1"/>
  <c r="BA108" i="1"/>
  <c r="O108" i="1"/>
  <c r="L108" i="1"/>
  <c r="K108" i="1"/>
  <c r="J108" i="1"/>
  <c r="H108" i="1"/>
  <c r="I108" i="1" s="1"/>
  <c r="G108" i="1"/>
  <c r="F108" i="1"/>
  <c r="E108" i="1"/>
  <c r="D108" i="1"/>
  <c r="B108" i="1"/>
  <c r="A108" i="1"/>
  <c r="BB107" i="1"/>
  <c r="BA107" i="1"/>
  <c r="O107" i="1"/>
  <c r="L107" i="1"/>
  <c r="K107" i="1"/>
  <c r="F107" i="1"/>
  <c r="E107" i="1"/>
  <c r="D107" i="1"/>
  <c r="B107" i="1"/>
  <c r="G107" i="1" s="1"/>
  <c r="H107" i="1" s="1"/>
  <c r="I107" i="1" s="1"/>
  <c r="A107" i="1"/>
  <c r="J111" i="1" s="1"/>
  <c r="BB106" i="1"/>
  <c r="BA106" i="1"/>
  <c r="O106" i="1"/>
  <c r="L106" i="1"/>
  <c r="K106" i="1"/>
  <c r="J106" i="1"/>
  <c r="I106" i="1"/>
  <c r="F106" i="1"/>
  <c r="E106" i="1"/>
  <c r="D106" i="1"/>
  <c r="B106" i="1"/>
  <c r="G106" i="1" s="1"/>
  <c r="H106" i="1" s="1"/>
  <c r="A106" i="1"/>
  <c r="BB105" i="1"/>
  <c r="BA105" i="1"/>
  <c r="O105" i="1"/>
  <c r="L105" i="1"/>
  <c r="K105" i="1"/>
  <c r="J105" i="1"/>
  <c r="F105" i="1"/>
  <c r="E105" i="1"/>
  <c r="D105" i="1"/>
  <c r="B105" i="1"/>
  <c r="G105" i="1" s="1"/>
  <c r="H105" i="1" s="1"/>
  <c r="I105" i="1" s="1"/>
  <c r="A105" i="1"/>
  <c r="BB104" i="1"/>
  <c r="BA104" i="1"/>
  <c r="O104" i="1"/>
  <c r="L104" i="1"/>
  <c r="K104" i="1"/>
  <c r="H104" i="1"/>
  <c r="I104" i="1" s="1"/>
  <c r="G104" i="1"/>
  <c r="F104" i="1"/>
  <c r="E104" i="1"/>
  <c r="D104" i="1"/>
  <c r="B104" i="1"/>
  <c r="A104" i="1"/>
  <c r="BB103" i="1"/>
  <c r="BA103" i="1"/>
  <c r="O103" i="1"/>
  <c r="L103" i="1"/>
  <c r="K103" i="1"/>
  <c r="F103" i="1"/>
  <c r="E103" i="1"/>
  <c r="D103" i="1"/>
  <c r="B103" i="1"/>
  <c r="G103" i="1" s="1"/>
  <c r="H103" i="1" s="1"/>
  <c r="I103" i="1" s="1"/>
  <c r="A103" i="1"/>
  <c r="BB102" i="1"/>
  <c r="BA102" i="1"/>
  <c r="O102" i="1"/>
  <c r="L102" i="1"/>
  <c r="K102" i="1"/>
  <c r="J102" i="1"/>
  <c r="I102" i="1"/>
  <c r="F102" i="1"/>
  <c r="E102" i="1"/>
  <c r="D102" i="1"/>
  <c r="B102" i="1"/>
  <c r="G102" i="1" s="1"/>
  <c r="H102" i="1" s="1"/>
  <c r="A102" i="1"/>
  <c r="BB101" i="1"/>
  <c r="BA101" i="1"/>
  <c r="O101" i="1"/>
  <c r="L101" i="1"/>
  <c r="K101" i="1"/>
  <c r="J101" i="1"/>
  <c r="F101" i="1"/>
  <c r="E101" i="1"/>
  <c r="D101" i="1"/>
  <c r="B101" i="1"/>
  <c r="G101" i="1" s="1"/>
  <c r="H101" i="1" s="1"/>
  <c r="I101" i="1" s="1"/>
  <c r="A101" i="1"/>
  <c r="BB100" i="1"/>
  <c r="BA100" i="1"/>
  <c r="O100" i="1"/>
  <c r="L100" i="1"/>
  <c r="K100" i="1"/>
  <c r="H100" i="1"/>
  <c r="I100" i="1" s="1"/>
  <c r="G100" i="1"/>
  <c r="F100" i="1"/>
  <c r="E100" i="1"/>
  <c r="D100" i="1"/>
  <c r="B100" i="1"/>
  <c r="A100" i="1"/>
  <c r="J104" i="1" s="1"/>
  <c r="BB99" i="1"/>
  <c r="BA99" i="1"/>
  <c r="O99" i="1"/>
  <c r="L99" i="1"/>
  <c r="K99" i="1"/>
  <c r="F99" i="1"/>
  <c r="E99" i="1"/>
  <c r="D99" i="1"/>
  <c r="B99" i="1"/>
  <c r="G99" i="1" s="1"/>
  <c r="H99" i="1" s="1"/>
  <c r="I99" i="1" s="1"/>
  <c r="A99" i="1"/>
  <c r="BB98" i="1"/>
  <c r="BA98" i="1"/>
  <c r="O98" i="1"/>
  <c r="L98" i="1"/>
  <c r="K98" i="1"/>
  <c r="I98" i="1"/>
  <c r="F98" i="1"/>
  <c r="E98" i="1"/>
  <c r="D98" i="1"/>
  <c r="B98" i="1"/>
  <c r="G98" i="1" s="1"/>
  <c r="H98" i="1" s="1"/>
  <c r="A98" i="1"/>
  <c r="BB97" i="1"/>
  <c r="BA97" i="1"/>
  <c r="O97" i="1"/>
  <c r="L97" i="1"/>
  <c r="K97" i="1"/>
  <c r="F97" i="1"/>
  <c r="E97" i="1"/>
  <c r="D97" i="1"/>
  <c r="B97" i="1"/>
  <c r="G97" i="1" s="1"/>
  <c r="H97" i="1" s="1"/>
  <c r="I97" i="1" s="1"/>
  <c r="A97" i="1"/>
  <c r="BB96" i="1"/>
  <c r="BA96" i="1"/>
  <c r="O96" i="1"/>
  <c r="L96" i="1"/>
  <c r="K96" i="1"/>
  <c r="H96" i="1"/>
  <c r="I96" i="1" s="1"/>
  <c r="G96" i="1"/>
  <c r="F96" i="1"/>
  <c r="E96" i="1"/>
  <c r="D96" i="1"/>
  <c r="B96" i="1"/>
  <c r="A96" i="1"/>
  <c r="BB95" i="1"/>
  <c r="BA95" i="1"/>
  <c r="O95" i="1"/>
  <c r="L95" i="1"/>
  <c r="K95" i="1"/>
  <c r="F95" i="1"/>
  <c r="E95" i="1"/>
  <c r="D95" i="1"/>
  <c r="B95" i="1"/>
  <c r="G95" i="1" s="1"/>
  <c r="H95" i="1" s="1"/>
  <c r="I95" i="1" s="1"/>
  <c r="A95" i="1"/>
  <c r="BB94" i="1"/>
  <c r="BA94" i="1"/>
  <c r="O94" i="1"/>
  <c r="L94" i="1"/>
  <c r="K94" i="1"/>
  <c r="I94" i="1"/>
  <c r="F94" i="1"/>
  <c r="E94" i="1"/>
  <c r="D94" i="1"/>
  <c r="B94" i="1"/>
  <c r="G94" i="1" s="1"/>
  <c r="H94" i="1" s="1"/>
  <c r="A94" i="1"/>
  <c r="BB93" i="1"/>
  <c r="BA93" i="1"/>
  <c r="O93" i="1"/>
  <c r="L93" i="1"/>
  <c r="K93" i="1"/>
  <c r="F93" i="1"/>
  <c r="E93" i="1"/>
  <c r="D93" i="1"/>
  <c r="B93" i="1"/>
  <c r="G93" i="1" s="1"/>
  <c r="H93" i="1" s="1"/>
  <c r="I93" i="1" s="1"/>
  <c r="A93" i="1"/>
  <c r="J93" i="1" s="1"/>
  <c r="BB92" i="1"/>
  <c r="BA92" i="1"/>
  <c r="O92" i="1"/>
  <c r="L92" i="1"/>
  <c r="K92" i="1"/>
  <c r="G92" i="1"/>
  <c r="H92" i="1" s="1"/>
  <c r="I92" i="1" s="1"/>
  <c r="F92" i="1"/>
  <c r="E92" i="1"/>
  <c r="D92" i="1"/>
  <c r="B92" i="1"/>
  <c r="A92" i="1"/>
  <c r="BB91" i="1"/>
  <c r="BA91" i="1"/>
  <c r="O91" i="1"/>
  <c r="L91" i="1"/>
  <c r="K91" i="1"/>
  <c r="F91" i="1"/>
  <c r="E91" i="1"/>
  <c r="D91" i="1"/>
  <c r="B91" i="1"/>
  <c r="G91" i="1" s="1"/>
  <c r="H91" i="1" s="1"/>
  <c r="I91" i="1" s="1"/>
  <c r="A91" i="1"/>
  <c r="BB90" i="1"/>
  <c r="BA90" i="1"/>
  <c r="O90" i="1"/>
  <c r="L90" i="1"/>
  <c r="K90" i="1"/>
  <c r="I90" i="1"/>
  <c r="F90" i="1"/>
  <c r="E90" i="1"/>
  <c r="D90" i="1"/>
  <c r="B90" i="1"/>
  <c r="G90" i="1" s="1"/>
  <c r="H90" i="1" s="1"/>
  <c r="A90" i="1"/>
  <c r="BB89" i="1"/>
  <c r="BA89" i="1"/>
  <c r="O89" i="1"/>
  <c r="L89" i="1"/>
  <c r="K89" i="1"/>
  <c r="J89" i="1"/>
  <c r="F89" i="1"/>
  <c r="E89" i="1"/>
  <c r="D89" i="1"/>
  <c r="B89" i="1"/>
  <c r="G89" i="1" s="1"/>
  <c r="H89" i="1" s="1"/>
  <c r="I89" i="1" s="1"/>
  <c r="A89" i="1"/>
  <c r="BB88" i="1"/>
  <c r="BA88" i="1"/>
  <c r="O88" i="1"/>
  <c r="L88" i="1"/>
  <c r="K88" i="1"/>
  <c r="G88" i="1"/>
  <c r="H88" i="1" s="1"/>
  <c r="I88" i="1" s="1"/>
  <c r="F88" i="1"/>
  <c r="E88" i="1"/>
  <c r="D88" i="1"/>
  <c r="B88" i="1"/>
  <c r="A88" i="1"/>
  <c r="BB87" i="1"/>
  <c r="BA87" i="1"/>
  <c r="O87" i="1"/>
  <c r="L87" i="1"/>
  <c r="K87" i="1"/>
  <c r="F87" i="1"/>
  <c r="E87" i="1"/>
  <c r="D87" i="1"/>
  <c r="B87" i="1"/>
  <c r="G87" i="1" s="1"/>
  <c r="H87" i="1" s="1"/>
  <c r="I87" i="1" s="1"/>
  <c r="A87" i="1"/>
  <c r="BB86" i="1"/>
  <c r="BA86" i="1"/>
  <c r="O86" i="1"/>
  <c r="L86" i="1"/>
  <c r="K86" i="1"/>
  <c r="I86" i="1"/>
  <c r="F86" i="1"/>
  <c r="E86" i="1"/>
  <c r="D86" i="1"/>
  <c r="B86" i="1"/>
  <c r="G86" i="1" s="1"/>
  <c r="H86" i="1" s="1"/>
  <c r="A86" i="1"/>
  <c r="J92" i="1" s="1"/>
  <c r="BB85" i="1"/>
  <c r="BA85" i="1"/>
  <c r="O85" i="1"/>
  <c r="L85" i="1"/>
  <c r="K85" i="1"/>
  <c r="J85" i="1"/>
  <c r="F85" i="1"/>
  <c r="E85" i="1"/>
  <c r="D85" i="1"/>
  <c r="B85" i="1"/>
  <c r="G85" i="1" s="1"/>
  <c r="H85" i="1" s="1"/>
  <c r="I85" i="1" s="1"/>
  <c r="A85" i="1"/>
  <c r="BB84" i="1"/>
  <c r="BA84" i="1"/>
  <c r="O84" i="1"/>
  <c r="L84" i="1"/>
  <c r="K84" i="1"/>
  <c r="G84" i="1"/>
  <c r="H84" i="1" s="1"/>
  <c r="I84" i="1" s="1"/>
  <c r="F84" i="1"/>
  <c r="E84" i="1"/>
  <c r="D84" i="1"/>
  <c r="B84" i="1"/>
  <c r="A84" i="1"/>
  <c r="BB83" i="1"/>
  <c r="BA83" i="1"/>
  <c r="O83" i="1"/>
  <c r="L83" i="1"/>
  <c r="K83" i="1"/>
  <c r="F83" i="1"/>
  <c r="E83" i="1"/>
  <c r="D83" i="1"/>
  <c r="B83" i="1"/>
  <c r="G83" i="1" s="1"/>
  <c r="H83" i="1" s="1"/>
  <c r="I83" i="1" s="1"/>
  <c r="A83" i="1"/>
  <c r="BB82" i="1"/>
  <c r="BA82" i="1"/>
  <c r="O82" i="1"/>
  <c r="L82" i="1"/>
  <c r="K82" i="1"/>
  <c r="H82" i="1"/>
  <c r="I82" i="1" s="1"/>
  <c r="F82" i="1"/>
  <c r="E82" i="1"/>
  <c r="D82" i="1"/>
  <c r="B82" i="1"/>
  <c r="G82" i="1" s="1"/>
  <c r="A82" i="1"/>
  <c r="BB81" i="1"/>
  <c r="BA81" i="1"/>
  <c r="O81" i="1"/>
  <c r="L81" i="1"/>
  <c r="K81" i="1"/>
  <c r="F81" i="1"/>
  <c r="E81" i="1"/>
  <c r="D81" i="1"/>
  <c r="B81" i="1"/>
  <c r="G81" i="1" s="1"/>
  <c r="H81" i="1" s="1"/>
  <c r="I81" i="1" s="1"/>
  <c r="A81" i="1"/>
  <c r="BB80" i="1"/>
  <c r="BA80" i="1"/>
  <c r="O80" i="1"/>
  <c r="L80" i="1"/>
  <c r="K80" i="1"/>
  <c r="H80" i="1"/>
  <c r="I80" i="1" s="1"/>
  <c r="G80" i="1"/>
  <c r="F80" i="1"/>
  <c r="E80" i="1"/>
  <c r="D80" i="1"/>
  <c r="B80" i="1"/>
  <c r="A80" i="1"/>
  <c r="BB79" i="1"/>
  <c r="BA79" i="1"/>
  <c r="O79" i="1"/>
  <c r="L79" i="1"/>
  <c r="K79" i="1"/>
  <c r="J79" i="1"/>
  <c r="G79" i="1"/>
  <c r="H79" i="1" s="1"/>
  <c r="I79" i="1" s="1"/>
  <c r="F79" i="1"/>
  <c r="E79" i="1"/>
  <c r="D79" i="1"/>
  <c r="B79" i="1"/>
  <c r="A79" i="1"/>
  <c r="BB78" i="1"/>
  <c r="BA78" i="1"/>
  <c r="O78" i="1"/>
  <c r="L78" i="1"/>
  <c r="K78" i="1"/>
  <c r="J78" i="1"/>
  <c r="F78" i="1"/>
  <c r="E78" i="1"/>
  <c r="D78" i="1"/>
  <c r="B78" i="1"/>
  <c r="G78" i="1" s="1"/>
  <c r="H78" i="1" s="1"/>
  <c r="I78" i="1" s="1"/>
  <c r="A78" i="1"/>
  <c r="BB77" i="1"/>
  <c r="BA77" i="1"/>
  <c r="O77" i="1"/>
  <c r="L77" i="1"/>
  <c r="K77" i="1"/>
  <c r="J77" i="1"/>
  <c r="G77" i="1"/>
  <c r="F77" i="1"/>
  <c r="E77" i="1"/>
  <c r="D77" i="1"/>
  <c r="B77" i="1"/>
  <c r="A77" i="1"/>
  <c r="BB76" i="1"/>
  <c r="BA76" i="1"/>
  <c r="O76" i="1"/>
  <c r="L76" i="1"/>
  <c r="K76" i="1"/>
  <c r="H76" i="1"/>
  <c r="I76" i="1" s="1"/>
  <c r="G76" i="1"/>
  <c r="F76" i="1"/>
  <c r="E76" i="1"/>
  <c r="D76" i="1"/>
  <c r="B76" i="1"/>
  <c r="A76" i="1"/>
  <c r="BB75" i="1"/>
  <c r="BA75" i="1"/>
  <c r="O75" i="1"/>
  <c r="L75" i="1"/>
  <c r="K75" i="1"/>
  <c r="J75" i="1"/>
  <c r="G75" i="1"/>
  <c r="H75" i="1" s="1"/>
  <c r="I75" i="1" s="1"/>
  <c r="F75" i="1"/>
  <c r="E75" i="1"/>
  <c r="D75" i="1"/>
  <c r="B75" i="1"/>
  <c r="A75" i="1"/>
  <c r="BB74" i="1"/>
  <c r="BA74" i="1"/>
  <c r="O74" i="1"/>
  <c r="L74" i="1"/>
  <c r="K74" i="1"/>
  <c r="J74" i="1"/>
  <c r="H74" i="1"/>
  <c r="I74" i="1" s="1"/>
  <c r="F74" i="1"/>
  <c r="E74" i="1"/>
  <c r="D74" i="1"/>
  <c r="B74" i="1"/>
  <c r="G74" i="1" s="1"/>
  <c r="A74" i="1"/>
  <c r="BB73" i="1"/>
  <c r="BA73" i="1"/>
  <c r="O73" i="1"/>
  <c r="L73" i="1"/>
  <c r="K73" i="1"/>
  <c r="J73" i="1"/>
  <c r="F73" i="1"/>
  <c r="E73" i="1"/>
  <c r="D73" i="1"/>
  <c r="B73" i="1"/>
  <c r="G73" i="1" s="1"/>
  <c r="H73" i="1" s="1"/>
  <c r="I73" i="1" s="1"/>
  <c r="A73" i="1"/>
  <c r="BB72" i="1"/>
  <c r="BA72" i="1"/>
  <c r="O72" i="1"/>
  <c r="L72" i="1"/>
  <c r="K72" i="1"/>
  <c r="G72" i="1"/>
  <c r="H72" i="1" s="1"/>
  <c r="I72" i="1" s="1"/>
  <c r="F72" i="1"/>
  <c r="E72" i="1"/>
  <c r="D72" i="1"/>
  <c r="B72" i="1"/>
  <c r="A72" i="1"/>
  <c r="J76" i="1" s="1"/>
  <c r="BB71" i="1"/>
  <c r="BA71" i="1"/>
  <c r="O71" i="1"/>
  <c r="L71" i="1"/>
  <c r="K71" i="1"/>
  <c r="F71" i="1"/>
  <c r="E71" i="1"/>
  <c r="D71" i="1"/>
  <c r="B71" i="1"/>
  <c r="G71" i="1" s="1"/>
  <c r="H71" i="1" s="1"/>
  <c r="I71" i="1" s="1"/>
  <c r="A71" i="1"/>
  <c r="BB70" i="1"/>
  <c r="BA70" i="1"/>
  <c r="O70" i="1"/>
  <c r="L70" i="1"/>
  <c r="K70" i="1"/>
  <c r="H70" i="1"/>
  <c r="I70" i="1" s="1"/>
  <c r="F70" i="1"/>
  <c r="E70" i="1"/>
  <c r="D70" i="1"/>
  <c r="B70" i="1"/>
  <c r="G70" i="1" s="1"/>
  <c r="A70" i="1"/>
  <c r="BB69" i="1"/>
  <c r="BA69" i="1"/>
  <c r="O69" i="1"/>
  <c r="L69" i="1"/>
  <c r="K69" i="1"/>
  <c r="F69" i="1"/>
  <c r="E69" i="1"/>
  <c r="D69" i="1"/>
  <c r="B69" i="1"/>
  <c r="G69" i="1" s="1"/>
  <c r="H69" i="1" s="1"/>
  <c r="I69" i="1" s="1"/>
  <c r="A69" i="1"/>
  <c r="BB68" i="1"/>
  <c r="BA68" i="1"/>
  <c r="O68" i="1"/>
  <c r="L68" i="1"/>
  <c r="K68" i="1"/>
  <c r="H68" i="1"/>
  <c r="I68" i="1" s="1"/>
  <c r="G68" i="1"/>
  <c r="F68" i="1"/>
  <c r="E68" i="1"/>
  <c r="D68" i="1"/>
  <c r="B68" i="1"/>
  <c r="A68" i="1"/>
  <c r="BB67" i="1"/>
  <c r="BA67" i="1"/>
  <c r="O67" i="1"/>
  <c r="L67" i="1"/>
  <c r="K67" i="1"/>
  <c r="G67" i="1"/>
  <c r="H67" i="1" s="1"/>
  <c r="I67" i="1" s="1"/>
  <c r="F67" i="1"/>
  <c r="E67" i="1"/>
  <c r="D67" i="1"/>
  <c r="B67" i="1"/>
  <c r="A67" i="1"/>
  <c r="BB66" i="1"/>
  <c r="BA66" i="1"/>
  <c r="O66" i="1"/>
  <c r="L66" i="1"/>
  <c r="K66" i="1"/>
  <c r="F66" i="1"/>
  <c r="E66" i="1"/>
  <c r="D66" i="1"/>
  <c r="B66" i="1"/>
  <c r="G66" i="1" s="1"/>
  <c r="H66" i="1" s="1"/>
  <c r="I66" i="1" s="1"/>
  <c r="A66" i="1"/>
  <c r="BB65" i="1"/>
  <c r="BA65" i="1"/>
  <c r="O65" i="1"/>
  <c r="L65" i="1"/>
  <c r="K65" i="1"/>
  <c r="G65" i="1"/>
  <c r="F65" i="1"/>
  <c r="E65" i="1"/>
  <c r="D65" i="1"/>
  <c r="B65" i="1"/>
  <c r="A65" i="1"/>
  <c r="J67" i="1" s="1"/>
  <c r="BB64" i="1"/>
  <c r="BA64" i="1"/>
  <c r="O64" i="1"/>
  <c r="L64" i="1"/>
  <c r="K64" i="1"/>
  <c r="J64" i="1"/>
  <c r="H64" i="1"/>
  <c r="I64" i="1" s="1"/>
  <c r="G64" i="1"/>
  <c r="F64" i="1"/>
  <c r="E64" i="1"/>
  <c r="D64" i="1"/>
  <c r="B64" i="1"/>
  <c r="A64" i="1"/>
  <c r="BB63" i="1"/>
  <c r="BA63" i="1"/>
  <c r="O63" i="1"/>
  <c r="L63" i="1"/>
  <c r="K63" i="1"/>
  <c r="J63" i="1"/>
  <c r="F63" i="1"/>
  <c r="E63" i="1"/>
  <c r="D63" i="1"/>
  <c r="B63" i="1"/>
  <c r="G63" i="1" s="1"/>
  <c r="H63" i="1" s="1"/>
  <c r="I63" i="1" s="1"/>
  <c r="A63" i="1"/>
  <c r="BB62" i="1"/>
  <c r="BA62" i="1"/>
  <c r="O62" i="1"/>
  <c r="L62" i="1"/>
  <c r="K62" i="1"/>
  <c r="H62" i="1"/>
  <c r="I62" i="1" s="1"/>
  <c r="F62" i="1"/>
  <c r="E62" i="1"/>
  <c r="D62" i="1"/>
  <c r="B62" i="1"/>
  <c r="G62" i="1" s="1"/>
  <c r="A62" i="1"/>
  <c r="BB61" i="1"/>
  <c r="BA61" i="1"/>
  <c r="O61" i="1"/>
  <c r="L61" i="1"/>
  <c r="K61" i="1"/>
  <c r="J61" i="1"/>
  <c r="F61" i="1"/>
  <c r="E61" i="1"/>
  <c r="D61" i="1"/>
  <c r="B61" i="1"/>
  <c r="G61" i="1" s="1"/>
  <c r="H61" i="1" s="1"/>
  <c r="I61" i="1" s="1"/>
  <c r="A61" i="1"/>
  <c r="BB60" i="1"/>
  <c r="BA60" i="1"/>
  <c r="O60" i="1"/>
  <c r="L60" i="1"/>
  <c r="K60" i="1"/>
  <c r="J60" i="1"/>
  <c r="G60" i="1"/>
  <c r="H60" i="1" s="1"/>
  <c r="I60" i="1" s="1"/>
  <c r="F60" i="1"/>
  <c r="E60" i="1"/>
  <c r="D60" i="1"/>
  <c r="B60" i="1"/>
  <c r="A60" i="1"/>
  <c r="BB59" i="1"/>
  <c r="BA59" i="1"/>
  <c r="O59" i="1"/>
  <c r="L59" i="1"/>
  <c r="K59" i="1"/>
  <c r="J59" i="1"/>
  <c r="G59" i="1"/>
  <c r="H59" i="1" s="1"/>
  <c r="I59" i="1" s="1"/>
  <c r="F59" i="1"/>
  <c r="E59" i="1"/>
  <c r="D59" i="1"/>
  <c r="B59" i="1"/>
  <c r="A59" i="1"/>
  <c r="BB58" i="1"/>
  <c r="BA58" i="1"/>
  <c r="O58" i="1"/>
  <c r="L58" i="1"/>
  <c r="K58" i="1"/>
  <c r="F58" i="1"/>
  <c r="E58" i="1"/>
  <c r="D58" i="1"/>
  <c r="B58" i="1"/>
  <c r="G58" i="1" s="1"/>
  <c r="H58" i="1" s="1"/>
  <c r="I58" i="1" s="1"/>
  <c r="A58" i="1"/>
  <c r="J62" i="1" s="1"/>
  <c r="BB57" i="1"/>
  <c r="BA57" i="1"/>
  <c r="O57" i="1"/>
  <c r="L57" i="1"/>
  <c r="K57" i="1"/>
  <c r="J57" i="1"/>
  <c r="G57" i="1"/>
  <c r="F57" i="1"/>
  <c r="E57" i="1"/>
  <c r="D57" i="1"/>
  <c r="B57" i="1"/>
  <c r="A57" i="1"/>
  <c r="BB56" i="1"/>
  <c r="BA56" i="1"/>
  <c r="O56" i="1"/>
  <c r="L56" i="1"/>
  <c r="K56" i="1"/>
  <c r="H56" i="1"/>
  <c r="I56" i="1" s="1"/>
  <c r="G56" i="1"/>
  <c r="F56" i="1"/>
  <c r="E56" i="1"/>
  <c r="D56" i="1"/>
  <c r="B56" i="1"/>
  <c r="A56" i="1"/>
  <c r="BB55" i="1"/>
  <c r="BA55" i="1"/>
  <c r="O55" i="1"/>
  <c r="L55" i="1"/>
  <c r="K55" i="1"/>
  <c r="J55" i="1"/>
  <c r="F55" i="1"/>
  <c r="E55" i="1"/>
  <c r="D55" i="1"/>
  <c r="B55" i="1"/>
  <c r="G55" i="1" s="1"/>
  <c r="H55" i="1" s="1"/>
  <c r="I55" i="1" s="1"/>
  <c r="A55" i="1"/>
  <c r="BB54" i="1"/>
  <c r="BA54" i="1"/>
  <c r="O54" i="1"/>
  <c r="L54" i="1"/>
  <c r="K54" i="1"/>
  <c r="H54" i="1"/>
  <c r="I54" i="1" s="1"/>
  <c r="F54" i="1"/>
  <c r="E54" i="1"/>
  <c r="D54" i="1"/>
  <c r="B54" i="1"/>
  <c r="G54" i="1" s="1"/>
  <c r="A54" i="1"/>
  <c r="BB53" i="1"/>
  <c r="BA53" i="1"/>
  <c r="O53" i="1"/>
  <c r="L53" i="1"/>
  <c r="K53" i="1"/>
  <c r="J53" i="1"/>
  <c r="F53" i="1"/>
  <c r="E53" i="1"/>
  <c r="D53" i="1"/>
  <c r="B53" i="1"/>
  <c r="G53" i="1" s="1"/>
  <c r="H53" i="1" s="1"/>
  <c r="I53" i="1" s="1"/>
  <c r="A53" i="1"/>
  <c r="BB52" i="1"/>
  <c r="BA52" i="1"/>
  <c r="O52" i="1"/>
  <c r="L52" i="1"/>
  <c r="K52" i="1"/>
  <c r="J52" i="1"/>
  <c r="G52" i="1"/>
  <c r="H52" i="1" s="1"/>
  <c r="I52" i="1" s="1"/>
  <c r="F52" i="1"/>
  <c r="E52" i="1"/>
  <c r="D52" i="1"/>
  <c r="B52" i="1"/>
  <c r="A52" i="1"/>
  <c r="BB51" i="1"/>
  <c r="BA51" i="1"/>
  <c r="O51" i="1"/>
  <c r="L51" i="1"/>
  <c r="K51" i="1"/>
  <c r="J51" i="1"/>
  <c r="G51" i="1"/>
  <c r="H51" i="1" s="1"/>
  <c r="I51" i="1" s="1"/>
  <c r="F51" i="1"/>
  <c r="E51" i="1"/>
  <c r="D51" i="1"/>
  <c r="B51" i="1"/>
  <c r="A51" i="1"/>
  <c r="J54" i="1" s="1"/>
  <c r="BB50" i="1"/>
  <c r="BA50" i="1"/>
  <c r="O50" i="1"/>
  <c r="L50" i="1"/>
  <c r="K50" i="1"/>
  <c r="F50" i="1"/>
  <c r="E50" i="1"/>
  <c r="D50" i="1"/>
  <c r="B50" i="1"/>
  <c r="G50" i="1" s="1"/>
  <c r="H50" i="1" s="1"/>
  <c r="I50" i="1" s="1"/>
  <c r="A50" i="1"/>
  <c r="BB49" i="1"/>
  <c r="BA49" i="1"/>
  <c r="O49" i="1"/>
  <c r="L49" i="1"/>
  <c r="K49" i="1"/>
  <c r="G49" i="1"/>
  <c r="F49" i="1"/>
  <c r="E49" i="1"/>
  <c r="D49" i="1"/>
  <c r="B49" i="1"/>
  <c r="A49" i="1"/>
  <c r="BB48" i="1"/>
  <c r="BA48" i="1"/>
  <c r="O48" i="1"/>
  <c r="L48" i="1"/>
  <c r="K48" i="1"/>
  <c r="H48" i="1"/>
  <c r="I48" i="1" s="1"/>
  <c r="G48" i="1"/>
  <c r="F48" i="1"/>
  <c r="E48" i="1"/>
  <c r="D48" i="1"/>
  <c r="B48" i="1"/>
  <c r="A48" i="1"/>
  <c r="BB47" i="1"/>
  <c r="BA47" i="1"/>
  <c r="O47" i="1"/>
  <c r="L47" i="1"/>
  <c r="K47" i="1"/>
  <c r="J47" i="1"/>
  <c r="F47" i="1"/>
  <c r="E47" i="1"/>
  <c r="D47" i="1"/>
  <c r="B47" i="1"/>
  <c r="G47" i="1" s="1"/>
  <c r="H47" i="1" s="1"/>
  <c r="I47" i="1" s="1"/>
  <c r="A47" i="1"/>
  <c r="BB46" i="1"/>
  <c r="BA46" i="1"/>
  <c r="O46" i="1"/>
  <c r="L46" i="1"/>
  <c r="K46" i="1"/>
  <c r="H46" i="1"/>
  <c r="I46" i="1" s="1"/>
  <c r="F46" i="1"/>
  <c r="E46" i="1"/>
  <c r="D46" i="1"/>
  <c r="B46" i="1"/>
  <c r="G46" i="1" s="1"/>
  <c r="A46" i="1"/>
  <c r="BB45" i="1"/>
  <c r="BA45" i="1"/>
  <c r="O45" i="1"/>
  <c r="L45" i="1"/>
  <c r="K45" i="1"/>
  <c r="J45" i="1"/>
  <c r="F45" i="1"/>
  <c r="E45" i="1"/>
  <c r="D45" i="1"/>
  <c r="B45" i="1"/>
  <c r="G45" i="1" s="1"/>
  <c r="H45" i="1" s="1"/>
  <c r="I45" i="1" s="1"/>
  <c r="A45" i="1"/>
  <c r="BB44" i="1"/>
  <c r="BA44" i="1"/>
  <c r="O44" i="1"/>
  <c r="L44" i="1"/>
  <c r="K44" i="1"/>
  <c r="G44" i="1"/>
  <c r="H44" i="1" s="1"/>
  <c r="I44" i="1" s="1"/>
  <c r="F44" i="1"/>
  <c r="E44" i="1"/>
  <c r="D44" i="1"/>
  <c r="B44" i="1"/>
  <c r="A44" i="1"/>
  <c r="J48" i="1" s="1"/>
  <c r="BB43" i="1"/>
  <c r="BA43" i="1"/>
  <c r="O43" i="1"/>
  <c r="L43" i="1"/>
  <c r="K43" i="1"/>
  <c r="G43" i="1"/>
  <c r="H43" i="1" s="1"/>
  <c r="I43" i="1" s="1"/>
  <c r="F43" i="1"/>
  <c r="E43" i="1"/>
  <c r="D43" i="1"/>
  <c r="B43" i="1"/>
  <c r="A43" i="1"/>
  <c r="BB42" i="1"/>
  <c r="BA42" i="1"/>
  <c r="O42" i="1"/>
  <c r="L42" i="1"/>
  <c r="K42" i="1"/>
  <c r="F42" i="1"/>
  <c r="E42" i="1"/>
  <c r="D42" i="1"/>
  <c r="B42" i="1"/>
  <c r="G42" i="1" s="1"/>
  <c r="H42" i="1" s="1"/>
  <c r="I42" i="1" s="1"/>
  <c r="A42" i="1"/>
  <c r="BB41" i="1"/>
  <c r="BA41" i="1"/>
  <c r="O41" i="1"/>
  <c r="L41" i="1"/>
  <c r="K41" i="1"/>
  <c r="G41" i="1"/>
  <c r="F41" i="1"/>
  <c r="E41" i="1"/>
  <c r="D41" i="1"/>
  <c r="B41" i="1"/>
  <c r="A41" i="1"/>
  <c r="BB40" i="1"/>
  <c r="BA40" i="1"/>
  <c r="O40" i="1"/>
  <c r="L40" i="1"/>
  <c r="K40" i="1"/>
  <c r="H40" i="1"/>
  <c r="I40" i="1" s="1"/>
  <c r="G40" i="1"/>
  <c r="F40" i="1"/>
  <c r="E40" i="1"/>
  <c r="D40" i="1"/>
  <c r="B40" i="1"/>
  <c r="A40" i="1"/>
  <c r="BB39" i="1"/>
  <c r="BA39" i="1"/>
  <c r="O39" i="1"/>
  <c r="L39" i="1"/>
  <c r="K39" i="1"/>
  <c r="F39" i="1"/>
  <c r="E39" i="1"/>
  <c r="D39" i="1"/>
  <c r="B39" i="1"/>
  <c r="G39" i="1" s="1"/>
  <c r="H39" i="1" s="1"/>
  <c r="I39" i="1" s="1"/>
  <c r="A39" i="1"/>
  <c r="BB38" i="1"/>
  <c r="BA38" i="1"/>
  <c r="O38" i="1"/>
  <c r="L38" i="1"/>
  <c r="K38" i="1"/>
  <c r="H38" i="1"/>
  <c r="I38" i="1" s="1"/>
  <c r="F38" i="1"/>
  <c r="E38" i="1"/>
  <c r="D38" i="1"/>
  <c r="B38" i="1"/>
  <c r="G38" i="1" s="1"/>
  <c r="A38" i="1"/>
  <c r="BB37" i="1"/>
  <c r="BA37" i="1"/>
  <c r="O37" i="1"/>
  <c r="L37" i="1"/>
  <c r="K37" i="1"/>
  <c r="J37" i="1"/>
  <c r="F37" i="1"/>
  <c r="E37" i="1"/>
  <c r="D37" i="1"/>
  <c r="B37" i="1"/>
  <c r="G37" i="1" s="1"/>
  <c r="H37" i="1" s="1"/>
  <c r="I37" i="1" s="1"/>
  <c r="A37" i="1"/>
  <c r="J40" i="1" s="1"/>
  <c r="BB36" i="1"/>
  <c r="BA36" i="1"/>
  <c r="O36" i="1"/>
  <c r="L36" i="1"/>
  <c r="K36" i="1"/>
  <c r="J36" i="1"/>
  <c r="G36" i="1"/>
  <c r="H36" i="1" s="1"/>
  <c r="I36" i="1" s="1"/>
  <c r="F36" i="1"/>
  <c r="E36" i="1"/>
  <c r="D36" i="1"/>
  <c r="B36" i="1"/>
  <c r="A36" i="1"/>
  <c r="BB35" i="1"/>
  <c r="BA35" i="1"/>
  <c r="O35" i="1"/>
  <c r="L35" i="1"/>
  <c r="K35" i="1"/>
  <c r="J35" i="1"/>
  <c r="G35" i="1"/>
  <c r="H35" i="1" s="1"/>
  <c r="I35" i="1" s="1"/>
  <c r="F35" i="1"/>
  <c r="E35" i="1"/>
  <c r="D35" i="1"/>
  <c r="B35" i="1"/>
  <c r="A35" i="1"/>
  <c r="BB34" i="1"/>
  <c r="BA34" i="1"/>
  <c r="O34" i="1"/>
  <c r="L34" i="1"/>
  <c r="K34" i="1"/>
  <c r="F34" i="1"/>
  <c r="E34" i="1"/>
  <c r="D34" i="1"/>
  <c r="B34" i="1"/>
  <c r="G34" i="1" s="1"/>
  <c r="H34" i="1" s="1"/>
  <c r="I34" i="1" s="1"/>
  <c r="A34" i="1"/>
  <c r="BB33" i="1"/>
  <c r="BA33" i="1"/>
  <c r="O33" i="1"/>
  <c r="L33" i="1"/>
  <c r="K33" i="1"/>
  <c r="J33" i="1"/>
  <c r="G33" i="1"/>
  <c r="F33" i="1"/>
  <c r="E33" i="1"/>
  <c r="D33" i="1"/>
  <c r="B33" i="1"/>
  <c r="A33" i="1"/>
  <c r="BB32" i="1"/>
  <c r="BA32" i="1"/>
  <c r="O32" i="1"/>
  <c r="L32" i="1"/>
  <c r="K32" i="1"/>
  <c r="J32" i="1"/>
  <c r="H32" i="1"/>
  <c r="I32" i="1" s="1"/>
  <c r="G32" i="1"/>
  <c r="F32" i="1"/>
  <c r="E32" i="1"/>
  <c r="D32" i="1"/>
  <c r="B32" i="1"/>
  <c r="A32" i="1"/>
  <c r="BB31" i="1"/>
  <c r="BA31" i="1"/>
  <c r="O31" i="1"/>
  <c r="L31" i="1"/>
  <c r="K31" i="1"/>
  <c r="J31" i="1"/>
  <c r="F31" i="1"/>
  <c r="E31" i="1"/>
  <c r="D31" i="1"/>
  <c r="B31" i="1"/>
  <c r="G31" i="1" s="1"/>
  <c r="H31" i="1" s="1"/>
  <c r="I31" i="1" s="1"/>
  <c r="A31" i="1"/>
  <c r="BB30" i="1"/>
  <c r="BA30" i="1"/>
  <c r="O30" i="1"/>
  <c r="L30" i="1"/>
  <c r="K30" i="1"/>
  <c r="H30" i="1"/>
  <c r="I30" i="1" s="1"/>
  <c r="F30" i="1"/>
  <c r="E30" i="1"/>
  <c r="D30" i="1"/>
  <c r="B30" i="1"/>
  <c r="G30" i="1" s="1"/>
  <c r="A30" i="1"/>
  <c r="J34" i="1" s="1"/>
  <c r="BB29" i="1"/>
  <c r="BA29" i="1"/>
  <c r="O29" i="1"/>
  <c r="L29" i="1"/>
  <c r="K29" i="1"/>
  <c r="J29" i="1"/>
  <c r="F29" i="1"/>
  <c r="E29" i="1"/>
  <c r="D29" i="1"/>
  <c r="B29" i="1"/>
  <c r="G29" i="1" s="1"/>
  <c r="H29" i="1" s="1"/>
  <c r="I29" i="1" s="1"/>
  <c r="A29" i="1"/>
  <c r="BB28" i="1"/>
  <c r="BA28" i="1"/>
  <c r="O28" i="1"/>
  <c r="L28" i="1"/>
  <c r="K28" i="1"/>
  <c r="J28" i="1"/>
  <c r="G28" i="1"/>
  <c r="H28" i="1" s="1"/>
  <c r="I28" i="1" s="1"/>
  <c r="F28" i="1"/>
  <c r="E28" i="1"/>
  <c r="D28" i="1"/>
  <c r="B28" i="1"/>
  <c r="A28" i="1"/>
  <c r="BB27" i="1"/>
  <c r="BA27" i="1"/>
  <c r="O27" i="1"/>
  <c r="L27" i="1"/>
  <c r="K27" i="1"/>
  <c r="J27" i="1"/>
  <c r="G27" i="1"/>
  <c r="H27" i="1" s="1"/>
  <c r="I27" i="1" s="1"/>
  <c r="F27" i="1"/>
  <c r="E27" i="1"/>
  <c r="D27" i="1"/>
  <c r="B27" i="1"/>
  <c r="A27" i="1"/>
  <c r="BB26" i="1"/>
  <c r="BA26" i="1"/>
  <c r="O26" i="1"/>
  <c r="L26" i="1"/>
  <c r="K26" i="1"/>
  <c r="F26" i="1"/>
  <c r="E26" i="1"/>
  <c r="D26" i="1"/>
  <c r="B26" i="1"/>
  <c r="G26" i="1" s="1"/>
  <c r="H26" i="1" s="1"/>
  <c r="I26" i="1" s="1"/>
  <c r="A26" i="1"/>
  <c r="BB25" i="1"/>
  <c r="BA25" i="1"/>
  <c r="O25" i="1"/>
  <c r="L25" i="1"/>
  <c r="K25" i="1"/>
  <c r="G25" i="1"/>
  <c r="F25" i="1"/>
  <c r="E25" i="1"/>
  <c r="D25" i="1"/>
  <c r="B25" i="1"/>
  <c r="A25" i="1"/>
  <c r="BB24" i="1"/>
  <c r="BA24" i="1"/>
  <c r="O24" i="1"/>
  <c r="L24" i="1"/>
  <c r="K24" i="1"/>
  <c r="H24" i="1"/>
  <c r="I24" i="1" s="1"/>
  <c r="G24" i="1"/>
  <c r="F24" i="1"/>
  <c r="E24" i="1"/>
  <c r="D24" i="1"/>
  <c r="B24" i="1"/>
  <c r="A24" i="1"/>
  <c r="BB23" i="1"/>
  <c r="BA23" i="1"/>
  <c r="O23" i="1"/>
  <c r="L23" i="1"/>
  <c r="K23" i="1"/>
  <c r="J23" i="1"/>
  <c r="F23" i="1"/>
  <c r="E23" i="1"/>
  <c r="D23" i="1"/>
  <c r="B23" i="1"/>
  <c r="G23" i="1" s="1"/>
  <c r="H23" i="1" s="1"/>
  <c r="I23" i="1" s="1"/>
  <c r="A23" i="1"/>
  <c r="J26" i="1" s="1"/>
  <c r="BB22" i="1"/>
  <c r="BA22" i="1"/>
  <c r="O22" i="1"/>
  <c r="L22" i="1"/>
  <c r="K22" i="1"/>
  <c r="H22" i="1"/>
  <c r="I22" i="1" s="1"/>
  <c r="F22" i="1"/>
  <c r="E22" i="1"/>
  <c r="D22" i="1"/>
  <c r="B22" i="1"/>
  <c r="G22" i="1" s="1"/>
  <c r="A22" i="1"/>
  <c r="BB21" i="1"/>
  <c r="BA21" i="1"/>
  <c r="O21" i="1"/>
  <c r="L21" i="1"/>
  <c r="K21" i="1"/>
  <c r="J21" i="1"/>
  <c r="F21" i="1"/>
  <c r="E21" i="1"/>
  <c r="D21" i="1"/>
  <c r="B21" i="1"/>
  <c r="G21" i="1" s="1"/>
  <c r="H21" i="1" s="1"/>
  <c r="I21" i="1" s="1"/>
  <c r="A21" i="1"/>
  <c r="BB20" i="1"/>
  <c r="BA20" i="1"/>
  <c r="O20" i="1"/>
  <c r="L20" i="1"/>
  <c r="K20" i="1"/>
  <c r="G20" i="1"/>
  <c r="H20" i="1" s="1"/>
  <c r="I20" i="1" s="1"/>
  <c r="F20" i="1"/>
  <c r="E20" i="1"/>
  <c r="D20" i="1"/>
  <c r="B20" i="1"/>
  <c r="A20" i="1"/>
  <c r="BB19" i="1"/>
  <c r="BA19" i="1"/>
  <c r="O19" i="1"/>
  <c r="L19" i="1"/>
  <c r="K19" i="1"/>
  <c r="G19" i="1"/>
  <c r="H19" i="1" s="1"/>
  <c r="I19" i="1" s="1"/>
  <c r="F19" i="1"/>
  <c r="E19" i="1"/>
  <c r="D19" i="1"/>
  <c r="B19" i="1"/>
  <c r="A19" i="1"/>
  <c r="BB18" i="1"/>
  <c r="BA18" i="1"/>
  <c r="O18" i="1"/>
  <c r="L18" i="1"/>
  <c r="K18" i="1"/>
  <c r="J18" i="1"/>
  <c r="F18" i="1"/>
  <c r="E18" i="1"/>
  <c r="D18" i="1"/>
  <c r="B18" i="1"/>
  <c r="G18" i="1" s="1"/>
  <c r="H18" i="1" s="1"/>
  <c r="I18" i="1" s="1"/>
  <c r="A18" i="1"/>
  <c r="BB17" i="1"/>
  <c r="BA17" i="1"/>
  <c r="O17" i="1"/>
  <c r="L17" i="1"/>
  <c r="K17" i="1"/>
  <c r="G17" i="1"/>
  <c r="H17" i="1" s="1"/>
  <c r="I17" i="1" s="1"/>
  <c r="F17" i="1"/>
  <c r="E17" i="1"/>
  <c r="D17" i="1"/>
  <c r="B17" i="1"/>
  <c r="A17" i="1"/>
  <c r="BB16" i="1"/>
  <c r="BA16" i="1"/>
  <c r="O16" i="1"/>
  <c r="L16" i="1"/>
  <c r="K16" i="1"/>
  <c r="G16" i="1"/>
  <c r="F16" i="1"/>
  <c r="H16" i="1" s="1"/>
  <c r="I16" i="1" s="1"/>
  <c r="E16" i="1"/>
  <c r="D16" i="1"/>
  <c r="B16" i="1"/>
  <c r="A16" i="1"/>
  <c r="J22" i="1" s="1"/>
  <c r="BB15" i="1"/>
  <c r="BA15" i="1"/>
  <c r="O15" i="1"/>
  <c r="L15" i="1"/>
  <c r="K15" i="1"/>
  <c r="F15" i="1"/>
  <c r="E15" i="1"/>
  <c r="D15" i="1"/>
  <c r="B15" i="1"/>
  <c r="G15" i="1" s="1"/>
  <c r="H15" i="1" s="1"/>
  <c r="I15" i="1" s="1"/>
  <c r="A15" i="1"/>
  <c r="BB14" i="1"/>
  <c r="BA14" i="1"/>
  <c r="O14" i="1"/>
  <c r="L14" i="1"/>
  <c r="K14" i="1"/>
  <c r="J14" i="1"/>
  <c r="H14" i="1"/>
  <c r="I14" i="1" s="1"/>
  <c r="F14" i="1"/>
  <c r="E14" i="1"/>
  <c r="D14" i="1"/>
  <c r="B14" i="1"/>
  <c r="G14" i="1" s="1"/>
  <c r="A14" i="1"/>
  <c r="BB13" i="1"/>
  <c r="BA13" i="1"/>
  <c r="O13" i="1"/>
  <c r="L13" i="1"/>
  <c r="K13" i="1"/>
  <c r="J13" i="1"/>
  <c r="G13" i="1"/>
  <c r="F13" i="1"/>
  <c r="H13" i="1" s="1"/>
  <c r="I13" i="1" s="1"/>
  <c r="E13" i="1"/>
  <c r="D13" i="1"/>
  <c r="B13" i="1"/>
  <c r="A13" i="1"/>
  <c r="BB12" i="1"/>
  <c r="BA12" i="1"/>
  <c r="O12" i="1"/>
  <c r="L12" i="1"/>
  <c r="K12" i="1"/>
  <c r="H12" i="1"/>
  <c r="I12" i="1" s="1"/>
  <c r="G12" i="1"/>
  <c r="F12" i="1"/>
  <c r="E12" i="1"/>
  <c r="D12" i="1"/>
  <c r="B12" i="1"/>
  <c r="A12" i="1"/>
  <c r="BB11" i="1"/>
  <c r="BA11" i="1"/>
  <c r="O11" i="1"/>
  <c r="L11" i="1"/>
  <c r="K11" i="1"/>
  <c r="J11" i="1"/>
  <c r="F11" i="1"/>
  <c r="E11" i="1"/>
  <c r="D11" i="1"/>
  <c r="B11" i="1"/>
  <c r="G11" i="1" s="1"/>
  <c r="H11" i="1" s="1"/>
  <c r="I11" i="1" s="1"/>
  <c r="A11" i="1"/>
  <c r="BB10" i="1"/>
  <c r="BA10" i="1"/>
  <c r="O10" i="1"/>
  <c r="L10" i="1"/>
  <c r="K10" i="1"/>
  <c r="J10" i="1"/>
  <c r="F10" i="1"/>
  <c r="H10" i="1" s="1"/>
  <c r="I10" i="1" s="1"/>
  <c r="E10" i="1"/>
  <c r="D10" i="1"/>
  <c r="B10" i="1"/>
  <c r="G10" i="1" s="1"/>
  <c r="A10" i="1"/>
  <c r="BB9" i="1"/>
  <c r="BA9" i="1"/>
  <c r="O9" i="1"/>
  <c r="L9" i="1"/>
  <c r="K9" i="1"/>
  <c r="F9" i="1"/>
  <c r="E9" i="1"/>
  <c r="D9" i="1"/>
  <c r="B9" i="1"/>
  <c r="G9" i="1" s="1"/>
  <c r="H9" i="1" s="1"/>
  <c r="I9" i="1" s="1"/>
  <c r="A9" i="1"/>
  <c r="J15" i="1" s="1"/>
  <c r="BB8" i="1"/>
  <c r="BA8" i="1"/>
  <c r="O8" i="1"/>
  <c r="L8" i="1"/>
  <c r="K8" i="1"/>
  <c r="G8" i="1"/>
  <c r="H8" i="1" s="1"/>
  <c r="I8" i="1" s="1"/>
  <c r="F8" i="1"/>
  <c r="E8" i="1"/>
  <c r="D8" i="1"/>
  <c r="B8" i="1"/>
  <c r="A8" i="1"/>
  <c r="BB7" i="1"/>
  <c r="BA7" i="1"/>
  <c r="O7" i="1"/>
  <c r="L7" i="1"/>
  <c r="K7" i="1"/>
  <c r="G7" i="1"/>
  <c r="H7" i="1" s="1"/>
  <c r="I7" i="1" s="1"/>
  <c r="F7" i="1"/>
  <c r="E7" i="1"/>
  <c r="D7" i="1"/>
  <c r="B7" i="1"/>
  <c r="A7" i="1"/>
  <c r="BB6" i="1"/>
  <c r="BA6" i="1"/>
  <c r="O6" i="1"/>
  <c r="L6" i="1"/>
  <c r="K6" i="1"/>
  <c r="F6" i="1"/>
  <c r="E6" i="1"/>
  <c r="D6" i="1"/>
  <c r="B6" i="1"/>
  <c r="G6" i="1" s="1"/>
  <c r="H6" i="1" s="1"/>
  <c r="I6" i="1" s="1"/>
  <c r="A6" i="1"/>
  <c r="BB5" i="1"/>
  <c r="BA5" i="1"/>
  <c r="O5" i="1"/>
  <c r="L5" i="1"/>
  <c r="K5" i="1"/>
  <c r="F5" i="1"/>
  <c r="E5" i="1"/>
  <c r="D5" i="1"/>
  <c r="B5" i="1"/>
  <c r="G5" i="1" s="1"/>
  <c r="H5" i="1" s="1"/>
  <c r="I5" i="1" s="1"/>
  <c r="A5" i="1"/>
  <c r="BB4" i="1"/>
  <c r="BA4" i="1"/>
  <c r="O4" i="1"/>
  <c r="L4" i="1"/>
  <c r="K4" i="1"/>
  <c r="G4" i="1"/>
  <c r="H4" i="1" s="1"/>
  <c r="I4" i="1" s="1"/>
  <c r="F4" i="1"/>
  <c r="E4" i="1"/>
  <c r="D4" i="1"/>
  <c r="B4" i="1"/>
  <c r="A4" i="1"/>
  <c r="BB3" i="1"/>
  <c r="BA3" i="1"/>
  <c r="O3" i="1"/>
  <c r="L3" i="1"/>
  <c r="K3" i="1"/>
  <c r="G3" i="1"/>
  <c r="H3" i="1" s="1"/>
  <c r="I3" i="1" s="1"/>
  <c r="F3" i="1"/>
  <c r="E3" i="1"/>
  <c r="D3" i="1"/>
  <c r="B3" i="1"/>
  <c r="A3" i="1"/>
  <c r="BB2" i="1"/>
  <c r="BA2" i="1"/>
  <c r="O2" i="1"/>
  <c r="L2" i="1"/>
  <c r="K2" i="1"/>
  <c r="J2" i="1"/>
  <c r="F2" i="1"/>
  <c r="E2" i="1"/>
  <c r="D2" i="1"/>
  <c r="B2" i="1"/>
  <c r="G2" i="1" s="1"/>
  <c r="H2" i="1" s="1"/>
  <c r="I2" i="1" s="1"/>
  <c r="A2" i="1"/>
  <c r="J3" i="1" s="1"/>
  <c r="BB1" i="1"/>
  <c r="BA1" i="1"/>
  <c r="J6" i="1" l="1"/>
  <c r="J69" i="1"/>
  <c r="J71" i="1"/>
  <c r="J84" i="1"/>
  <c r="J80" i="1"/>
  <c r="J82" i="1"/>
  <c r="J81" i="1"/>
  <c r="J83" i="1"/>
  <c r="J97" i="1"/>
  <c r="J9" i="1"/>
  <c r="J12" i="1"/>
  <c r="J24" i="1"/>
  <c r="J56" i="1"/>
  <c r="J5" i="1"/>
  <c r="J8" i="1"/>
  <c r="J42" i="1"/>
  <c r="J38" i="1"/>
  <c r="J39" i="1"/>
  <c r="H77" i="1"/>
  <c r="I77" i="1" s="1"/>
  <c r="J96" i="1"/>
  <c r="J98" i="1"/>
  <c r="J94" i="1"/>
  <c r="J99" i="1"/>
  <c r="J95" i="1"/>
  <c r="H25" i="1"/>
  <c r="I25" i="1" s="1"/>
  <c r="H33" i="1"/>
  <c r="I33" i="1" s="1"/>
  <c r="H41" i="1"/>
  <c r="I41" i="1" s="1"/>
  <c r="H49" i="1"/>
  <c r="I49" i="1" s="1"/>
  <c r="H57" i="1"/>
  <c r="I57" i="1" s="1"/>
  <c r="H65" i="1"/>
  <c r="I65" i="1" s="1"/>
  <c r="J4" i="1"/>
  <c r="J7" i="1"/>
  <c r="J17" i="1"/>
  <c r="J20" i="1"/>
  <c r="J50" i="1"/>
  <c r="J46" i="1"/>
  <c r="J44" i="1"/>
  <c r="J25" i="1"/>
  <c r="J41" i="1"/>
  <c r="J49" i="1"/>
  <c r="J65" i="1"/>
  <c r="J125" i="1"/>
  <c r="J127" i="1"/>
  <c r="J124" i="1"/>
  <c r="J126" i="1"/>
  <c r="J121" i="1"/>
  <c r="J123" i="1"/>
  <c r="J134" i="1"/>
  <c r="J131" i="1"/>
  <c r="J133" i="1"/>
  <c r="J130" i="1"/>
  <c r="J132" i="1"/>
  <c r="J16" i="1"/>
  <c r="J19" i="1"/>
  <c r="J43" i="1"/>
  <c r="J68" i="1"/>
  <c r="J70" i="1"/>
  <c r="J66" i="1"/>
  <c r="H121" i="1"/>
  <c r="I121" i="1" s="1"/>
  <c r="J119" i="1"/>
  <c r="J139" i="1"/>
  <c r="J148" i="1"/>
  <c r="J155" i="1"/>
  <c r="J173" i="1"/>
  <c r="J180" i="1"/>
  <c r="J185" i="1"/>
  <c r="J198" i="1"/>
  <c r="J196" i="1"/>
  <c r="J194" i="1"/>
  <c r="J193" i="1"/>
  <c r="J241" i="1"/>
  <c r="H252" i="1"/>
  <c r="I252" i="1" s="1"/>
  <c r="H263" i="1"/>
  <c r="I263" i="1" s="1"/>
  <c r="J282" i="1"/>
  <c r="J283" i="1"/>
  <c r="J279" i="1"/>
  <c r="J278" i="1"/>
  <c r="H279" i="1"/>
  <c r="I279" i="1" s="1"/>
  <c r="J280" i="1"/>
  <c r="H298" i="1"/>
  <c r="I298" i="1" s="1"/>
  <c r="J87" i="1"/>
  <c r="J91" i="1"/>
  <c r="J103" i="1"/>
  <c r="J107" i="1"/>
  <c r="J115" i="1"/>
  <c r="J137" i="1"/>
  <c r="J146" i="1"/>
  <c r="J153" i="1"/>
  <c r="J171" i="1"/>
  <c r="J178" i="1"/>
  <c r="H256" i="1"/>
  <c r="I256" i="1" s="1"/>
  <c r="H272" i="1"/>
  <c r="I272" i="1" s="1"/>
  <c r="H308" i="1"/>
  <c r="I308" i="1" s="1"/>
  <c r="H396" i="1"/>
  <c r="I396" i="1" s="1"/>
  <c r="J212" i="1"/>
  <c r="J210" i="1"/>
  <c r="J208" i="1"/>
  <c r="J207" i="1"/>
  <c r="J30" i="1"/>
  <c r="J58" i="1"/>
  <c r="J86" i="1"/>
  <c r="J90" i="1"/>
  <c r="J114" i="1"/>
  <c r="J118" i="1"/>
  <c r="J149" i="1"/>
  <c r="J158" i="1"/>
  <c r="J174" i="1"/>
  <c r="H266" i="1"/>
  <c r="I266" i="1" s="1"/>
  <c r="H282" i="1"/>
  <c r="I282" i="1" s="1"/>
  <c r="J337" i="1"/>
  <c r="J336" i="1"/>
  <c r="J338" i="1"/>
  <c r="J333" i="1"/>
  <c r="J364" i="1"/>
  <c r="J363" i="1"/>
  <c r="J366" i="1"/>
  <c r="J361" i="1"/>
  <c r="J365" i="1"/>
  <c r="H388" i="1"/>
  <c r="I388" i="1" s="1"/>
  <c r="J156" i="1"/>
  <c r="J172" i="1"/>
  <c r="J213" i="1"/>
  <c r="J226" i="1"/>
  <c r="J224" i="1"/>
  <c r="J222" i="1"/>
  <c r="J221" i="1"/>
  <c r="J184" i="1"/>
  <c r="J182" i="1"/>
  <c r="J179" i="1"/>
  <c r="J290" i="1"/>
  <c r="J288" i="1"/>
  <c r="J285" i="1"/>
  <c r="J289" i="1"/>
  <c r="J286" i="1"/>
  <c r="J177" i="1"/>
  <c r="J211" i="1"/>
  <c r="J240" i="1"/>
  <c r="J238" i="1"/>
  <c r="J236" i="1"/>
  <c r="J235" i="1"/>
  <c r="J72" i="1"/>
  <c r="J88" i="1"/>
  <c r="J100" i="1"/>
  <c r="J254" i="1"/>
  <c r="J252" i="1"/>
  <c r="J250" i="1"/>
  <c r="J249" i="1"/>
  <c r="J253" i="1"/>
  <c r="H257" i="1"/>
  <c r="I257" i="1" s="1"/>
  <c r="H273" i="1"/>
  <c r="I273" i="1" s="1"/>
  <c r="J287" i="1"/>
  <c r="H288" i="1"/>
  <c r="I288" i="1" s="1"/>
  <c r="J316" i="1"/>
  <c r="J315" i="1"/>
  <c r="J312" i="1"/>
  <c r="J317" i="1"/>
  <c r="H378" i="1"/>
  <c r="I378" i="1" s="1"/>
  <c r="J260" i="1"/>
  <c r="J263" i="1"/>
  <c r="J276" i="1"/>
  <c r="J292" i="1"/>
  <c r="J308" i="1"/>
  <c r="J311" i="1"/>
  <c r="J327" i="1"/>
  <c r="J343" i="1"/>
  <c r="J354" i="1"/>
  <c r="J359" i="1"/>
  <c r="J370" i="1"/>
  <c r="J389" i="1"/>
  <c r="J397" i="1"/>
  <c r="J409" i="1"/>
  <c r="J422" i="1"/>
  <c r="J424" i="1"/>
  <c r="J430" i="1"/>
  <c r="J447" i="1"/>
  <c r="J481" i="1"/>
  <c r="J486" i="1"/>
  <c r="J483" i="1"/>
  <c r="J485" i="1"/>
  <c r="J482" i="1"/>
  <c r="J484" i="1"/>
  <c r="J540" i="1"/>
  <c r="J539" i="1"/>
  <c r="J538" i="1"/>
  <c r="J542" i="1"/>
  <c r="J541" i="1"/>
  <c r="H572" i="1"/>
  <c r="I572" i="1" s="1"/>
  <c r="J186" i="1"/>
  <c r="J188" i="1"/>
  <c r="J190" i="1"/>
  <c r="J200" i="1"/>
  <c r="J202" i="1"/>
  <c r="J204" i="1"/>
  <c r="J214" i="1"/>
  <c r="J216" i="1"/>
  <c r="J218" i="1"/>
  <c r="J228" i="1"/>
  <c r="J230" i="1"/>
  <c r="J232" i="1"/>
  <c r="J242" i="1"/>
  <c r="J244" i="1"/>
  <c r="J246" i="1"/>
  <c r="J257" i="1"/>
  <c r="J270" i="1"/>
  <c r="J273" i="1"/>
  <c r="J305" i="1"/>
  <c r="J328" i="1"/>
  <c r="J344" i="1"/>
  <c r="H392" i="1"/>
  <c r="I392" i="1" s="1"/>
  <c r="H400" i="1"/>
  <c r="I400" i="1" s="1"/>
  <c r="J401" i="1"/>
  <c r="J403" i="1"/>
  <c r="J434" i="1"/>
  <c r="J437" i="1"/>
  <c r="H471" i="1"/>
  <c r="I471" i="1" s="1"/>
  <c r="H472" i="1"/>
  <c r="I472" i="1" s="1"/>
  <c r="J548" i="1"/>
  <c r="J547" i="1"/>
  <c r="J546" i="1"/>
  <c r="J543" i="1"/>
  <c r="J549" i="1"/>
  <c r="J386" i="1"/>
  <c r="J383" i="1"/>
  <c r="J382" i="1"/>
  <c r="J394" i="1"/>
  <c r="J391" i="1"/>
  <c r="J425" i="1"/>
  <c r="J494" i="1"/>
  <c r="J423" i="1"/>
  <c r="J419" i="1"/>
  <c r="J436" i="1"/>
  <c r="J432" i="1"/>
  <c r="J431" i="1"/>
  <c r="J470" i="1"/>
  <c r="J467" i="1"/>
  <c r="J472" i="1"/>
  <c r="J469" i="1"/>
  <c r="J471" i="1"/>
  <c r="J468" i="1"/>
  <c r="J418" i="1"/>
  <c r="J420" i="1"/>
  <c r="J426" i="1"/>
  <c r="J428" i="1"/>
  <c r="J497" i="1"/>
  <c r="J499" i="1"/>
  <c r="J498" i="1"/>
  <c r="J500" i="1"/>
  <c r="H381" i="1"/>
  <c r="I381" i="1" s="1"/>
  <c r="J456" i="1"/>
  <c r="J452" i="1"/>
  <c r="J458" i="1"/>
  <c r="J496" i="1"/>
  <c r="J326" i="1"/>
  <c r="J331" i="1"/>
  <c r="J369" i="1"/>
  <c r="J384" i="1"/>
  <c r="J392" i="1"/>
  <c r="J406" i="1"/>
  <c r="J408" i="1"/>
  <c r="J421" i="1"/>
  <c r="J429" i="1"/>
  <c r="J513" i="1"/>
  <c r="J514" i="1"/>
  <c r="J509" i="1"/>
  <c r="J388" i="1"/>
  <c r="J402" i="1"/>
  <c r="J399" i="1"/>
  <c r="J396" i="1"/>
  <c r="J433" i="1"/>
  <c r="J510" i="1"/>
  <c r="H564" i="1"/>
  <c r="I564" i="1" s="1"/>
  <c r="J464" i="1"/>
  <c r="J487" i="1"/>
  <c r="J503" i="1"/>
  <c r="J516" i="1"/>
  <c r="J519" i="1"/>
  <c r="J600" i="1"/>
  <c r="J625" i="1"/>
  <c r="J622" i="1"/>
  <c r="J621" i="1"/>
  <c r="H663" i="1"/>
  <c r="I663" i="1" s="1"/>
  <c r="J440" i="1"/>
  <c r="J558" i="1"/>
  <c r="J562" i="1"/>
  <c r="J566" i="1"/>
  <c r="J570" i="1"/>
  <c r="J578" i="1"/>
  <c r="J582" i="1"/>
  <c r="J603" i="1"/>
  <c r="H620" i="1"/>
  <c r="I620" i="1" s="1"/>
  <c r="J637" i="1"/>
  <c r="J661" i="1"/>
  <c r="J658" i="1"/>
  <c r="J660" i="1"/>
  <c r="J657" i="1"/>
  <c r="J654" i="1"/>
  <c r="J653" i="1"/>
  <c r="J650" i="1"/>
  <c r="J652" i="1"/>
  <c r="J649" i="1"/>
  <c r="H675" i="1"/>
  <c r="I675" i="1" s="1"/>
  <c r="J501" i="1"/>
  <c r="J504" i="1"/>
  <c r="J559" i="1"/>
  <c r="J583" i="1"/>
  <c r="J580" i="1"/>
  <c r="J651" i="1"/>
  <c r="H625" i="1"/>
  <c r="I625" i="1" s="1"/>
  <c r="J635" i="1"/>
  <c r="J638" i="1"/>
  <c r="J685" i="1"/>
  <c r="J689" i="1"/>
  <c r="J684" i="1"/>
  <c r="J683" i="1"/>
  <c r="J688" i="1"/>
  <c r="J686" i="1"/>
  <c r="J502" i="1"/>
  <c r="J515" i="1"/>
  <c r="J518" i="1"/>
  <c r="J568" i="1"/>
  <c r="J584" i="1"/>
  <c r="J598" i="1"/>
  <c r="J594" i="1"/>
  <c r="J593" i="1"/>
  <c r="J596" i="1"/>
  <c r="J636" i="1"/>
  <c r="J640" i="1"/>
  <c r="J563" i="1"/>
  <c r="J561" i="1"/>
  <c r="J557" i="1"/>
  <c r="J581" i="1"/>
  <c r="J671" i="1"/>
  <c r="H715" i="1"/>
  <c r="I715" i="1" s="1"/>
  <c r="J716" i="1"/>
  <c r="H723" i="1"/>
  <c r="I723" i="1" s="1"/>
  <c r="J724" i="1"/>
  <c r="H731" i="1"/>
  <c r="I731" i="1" s="1"/>
  <c r="J733" i="1"/>
  <c r="J738" i="1"/>
  <c r="J732" i="1"/>
  <c r="H739" i="1"/>
  <c r="I739" i="1" s="1"/>
  <c r="H747" i="1"/>
  <c r="I747" i="1" s="1"/>
  <c r="J760" i="1"/>
  <c r="H835" i="1"/>
  <c r="I835" i="1" s="1"/>
  <c r="J851" i="1"/>
  <c r="H895" i="1"/>
  <c r="I895" i="1" s="1"/>
  <c r="J577" i="1"/>
  <c r="J586" i="1"/>
  <c r="J633" i="1"/>
  <c r="J675" i="1"/>
  <c r="J681" i="1"/>
  <c r="J703" i="1"/>
  <c r="J699" i="1"/>
  <c r="J708" i="1"/>
  <c r="H755" i="1"/>
  <c r="I755" i="1" s="1"/>
  <c r="H763" i="1"/>
  <c r="I763" i="1" s="1"/>
  <c r="J780" i="1"/>
  <c r="J776" i="1"/>
  <c r="J778" i="1"/>
  <c r="J774" i="1"/>
  <c r="J792" i="1"/>
  <c r="J788" i="1"/>
  <c r="J794" i="1"/>
  <c r="J790" i="1"/>
  <c r="J809" i="1"/>
  <c r="H810" i="1"/>
  <c r="I810" i="1" s="1"/>
  <c r="J826" i="1"/>
  <c r="J828" i="1"/>
  <c r="J824" i="1"/>
  <c r="J829" i="1"/>
  <c r="J834" i="1"/>
  <c r="J836" i="1"/>
  <c r="J832" i="1"/>
  <c r="J831" i="1"/>
  <c r="J871" i="1"/>
  <c r="J867" i="1"/>
  <c r="J868" i="1"/>
  <c r="H939" i="1"/>
  <c r="I939" i="1" s="1"/>
  <c r="J765" i="1"/>
  <c r="J762" i="1"/>
  <c r="J812" i="1"/>
  <c r="J813" i="1"/>
  <c r="J911" i="1"/>
  <c r="J908" i="1"/>
  <c r="J913" i="1"/>
  <c r="J910" i="1"/>
  <c r="J912" i="1"/>
  <c r="J909" i="1"/>
  <c r="J677" i="1"/>
  <c r="J682" i="1"/>
  <c r="J718" i="1"/>
  <c r="J757" i="1"/>
  <c r="J754" i="1"/>
  <c r="J753" i="1"/>
  <c r="J761" i="1"/>
  <c r="J799" i="1"/>
  <c r="J800" i="1"/>
  <c r="J810" i="1"/>
  <c r="H811" i="1"/>
  <c r="I811" i="1" s="1"/>
  <c r="J815" i="1"/>
  <c r="H834" i="1"/>
  <c r="I834" i="1" s="1"/>
  <c r="J852" i="1"/>
  <c r="J856" i="1"/>
  <c r="J853" i="1"/>
  <c r="H933" i="1"/>
  <c r="I933" i="1" s="1"/>
  <c r="J766" i="1"/>
  <c r="J797" i="1"/>
  <c r="H802" i="1"/>
  <c r="I802" i="1" s="1"/>
  <c r="J811" i="1"/>
  <c r="H842" i="1"/>
  <c r="I842" i="1" s="1"/>
  <c r="J854" i="1"/>
  <c r="J796" i="1"/>
  <c r="J798" i="1"/>
  <c r="H900" i="1"/>
  <c r="I900" i="1" s="1"/>
  <c r="J717" i="1"/>
  <c r="J714" i="1"/>
  <c r="J711" i="1"/>
  <c r="J763" i="1"/>
  <c r="H818" i="1"/>
  <c r="I818" i="1" s="1"/>
  <c r="H850" i="1"/>
  <c r="I850" i="1" s="1"/>
  <c r="J855" i="1"/>
  <c r="H911" i="1"/>
  <c r="I911" i="1" s="1"/>
  <c r="J712" i="1"/>
  <c r="J720" i="1"/>
  <c r="J736" i="1"/>
  <c r="J744" i="1"/>
  <c r="J759" i="1"/>
  <c r="J772" i="1"/>
  <c r="J767" i="1"/>
  <c r="J770" i="1"/>
  <c r="J804" i="1"/>
  <c r="J808" i="1"/>
  <c r="J805" i="1"/>
  <c r="J803" i="1"/>
  <c r="H806" i="1"/>
  <c r="I806" i="1" s="1"/>
  <c r="H827" i="1"/>
  <c r="I827" i="1" s="1"/>
  <c r="J907" i="1"/>
  <c r="H919" i="1"/>
  <c r="I919" i="1" s="1"/>
  <c r="J730" i="1"/>
  <c r="J821" i="1"/>
  <c r="J837" i="1"/>
  <c r="J845" i="1"/>
  <c r="J860" i="1"/>
  <c r="J864" i="1"/>
  <c r="J880" i="1"/>
  <c r="J888" i="1"/>
  <c r="J898" i="1"/>
  <c r="J906" i="1"/>
  <c r="J914" i="1"/>
  <c r="J922" i="1"/>
  <c r="J930" i="1"/>
  <c r="J940" i="1"/>
  <c r="J943" i="1"/>
  <c r="J946" i="1"/>
  <c r="J960" i="1"/>
  <c r="J956" i="1"/>
  <c r="J996" i="1"/>
  <c r="J1004" i="1"/>
  <c r="J1076" i="1"/>
  <c r="J1079" i="1"/>
  <c r="J1080" i="1"/>
  <c r="J1081" i="1"/>
  <c r="J1077" i="1"/>
  <c r="J1078" i="1"/>
  <c r="H1086" i="1"/>
  <c r="I1086" i="1" s="1"/>
  <c r="J848" i="1"/>
  <c r="J901" i="1"/>
  <c r="J925" i="1"/>
  <c r="J934" i="1"/>
  <c r="J937" i="1"/>
  <c r="J953" i="1"/>
  <c r="J958" i="1"/>
  <c r="J963" i="1"/>
  <c r="J979" i="1"/>
  <c r="J1016" i="1"/>
  <c r="H1048" i="1"/>
  <c r="I1048" i="1" s="1"/>
  <c r="J1055" i="1"/>
  <c r="J1060" i="1"/>
  <c r="J1057" i="1"/>
  <c r="J928" i="1"/>
  <c r="J968" i="1"/>
  <c r="J964" i="1"/>
  <c r="J1011" i="1"/>
  <c r="J1008" i="1"/>
  <c r="J1005" i="1"/>
  <c r="J932" i="1"/>
  <c r="J935" i="1"/>
  <c r="J938" i="1"/>
  <c r="J976" i="1"/>
  <c r="J972" i="1"/>
  <c r="J1006" i="1"/>
  <c r="J1073" i="1"/>
  <c r="J1072" i="1"/>
  <c r="J1069" i="1"/>
  <c r="J1074" i="1"/>
  <c r="J1071" i="1"/>
  <c r="J1070" i="1"/>
  <c r="H1071" i="1"/>
  <c r="I1071" i="1" s="1"/>
  <c r="J905" i="1"/>
  <c r="J929" i="1"/>
  <c r="J942" i="1"/>
  <c r="J945" i="1"/>
  <c r="J949" i="1"/>
  <c r="J955" i="1"/>
  <c r="J966" i="1"/>
  <c r="J971" i="1"/>
  <c r="J977" i="1"/>
  <c r="J982" i="1"/>
  <c r="J1010" i="1"/>
  <c r="J1038" i="1"/>
  <c r="J1034" i="1"/>
  <c r="J1039" i="1"/>
  <c r="J1033" i="1"/>
  <c r="J1036" i="1"/>
  <c r="H1062" i="1"/>
  <c r="I1062" i="1" s="1"/>
  <c r="H1075" i="1"/>
  <c r="I1075" i="1" s="1"/>
  <c r="J900" i="1"/>
  <c r="J1003" i="1"/>
  <c r="J1000" i="1"/>
  <c r="J1030" i="1"/>
  <c r="J1026" i="1"/>
  <c r="J1028" i="1"/>
  <c r="J1031" i="1"/>
  <c r="J933" i="1"/>
  <c r="J936" i="1"/>
  <c r="J951" i="1"/>
  <c r="J967" i="1"/>
  <c r="J973" i="1"/>
  <c r="J978" i="1"/>
  <c r="J995" i="1"/>
  <c r="J992" i="1"/>
  <c r="J991" i="1"/>
  <c r="J999" i="1"/>
  <c r="J1007" i="1"/>
  <c r="J1092" i="1"/>
  <c r="J1091" i="1"/>
  <c r="J1095" i="1"/>
  <c r="J1090" i="1"/>
  <c r="J1100" i="1"/>
  <c r="J1101" i="1"/>
  <c r="J1098" i="1"/>
  <c r="J1106" i="1"/>
  <c r="J1104" i="1"/>
  <c r="J1105" i="1"/>
  <c r="H1105" i="1"/>
  <c r="I1105" i="1" s="1"/>
  <c r="H1120" i="1"/>
  <c r="I1120" i="1" s="1"/>
  <c r="J1127" i="1"/>
  <c r="H1128" i="1"/>
  <c r="I1128" i="1" s="1"/>
  <c r="H1178" i="1"/>
  <c r="I1178" i="1" s="1"/>
  <c r="J1020" i="1"/>
  <c r="J1025" i="1"/>
  <c r="H1102" i="1"/>
  <c r="I1102" i="1" s="1"/>
  <c r="H1138" i="1"/>
  <c r="I1138" i="1" s="1"/>
  <c r="J1157" i="1"/>
  <c r="H1162" i="1"/>
  <c r="I1162" i="1" s="1"/>
  <c r="J1066" i="1"/>
  <c r="J1063" i="1"/>
  <c r="H1161" i="1"/>
  <c r="I1161" i="1" s="1"/>
  <c r="H1053" i="1"/>
  <c r="I1053" i="1" s="1"/>
  <c r="J1065" i="1"/>
  <c r="H1089" i="1"/>
  <c r="I1089" i="1" s="1"/>
  <c r="H1095" i="1"/>
  <c r="I1095" i="1" s="1"/>
  <c r="J1130" i="1"/>
  <c r="J1129" i="1"/>
  <c r="J1126" i="1"/>
  <c r="H1114" i="1"/>
  <c r="I1114" i="1" s="1"/>
  <c r="H1122" i="1"/>
  <c r="I1122" i="1" s="1"/>
  <c r="J1155" i="1"/>
  <c r="J1154" i="1"/>
  <c r="J1153" i="1"/>
  <c r="J1158" i="1"/>
  <c r="J1156" i="1"/>
  <c r="J1147" i="1"/>
  <c r="J1146" i="1"/>
  <c r="J1150" i="1"/>
  <c r="J1182" i="1"/>
  <c r="H1200" i="1"/>
  <c r="I1200" i="1" s="1"/>
  <c r="J1205" i="1"/>
  <c r="J1225" i="1"/>
  <c r="H1107" i="1"/>
  <c r="I1107" i="1" s="1"/>
  <c r="J1115" i="1"/>
  <c r="J1114" i="1"/>
  <c r="J1171" i="1"/>
  <c r="J1170" i="1"/>
  <c r="H1193" i="1"/>
  <c r="I1193" i="1" s="1"/>
  <c r="H1209" i="1"/>
  <c r="I1209" i="1" s="1"/>
  <c r="H1152" i="1"/>
  <c r="I1152" i="1" s="1"/>
  <c r="J1163" i="1"/>
  <c r="J1162" i="1"/>
  <c r="J1159" i="1"/>
  <c r="H1160" i="1"/>
  <c r="I1160" i="1" s="1"/>
  <c r="H1168" i="1"/>
  <c r="I1168" i="1" s="1"/>
  <c r="H1176" i="1"/>
  <c r="I1176" i="1" s="1"/>
  <c r="J1183" i="1"/>
  <c r="H1184" i="1"/>
  <c r="I1184" i="1" s="1"/>
  <c r="H1192" i="1"/>
  <c r="I1192" i="1" s="1"/>
  <c r="J1203" i="1"/>
  <c r="J1202" i="1"/>
  <c r="J1207" i="1"/>
  <c r="H1169" i="1"/>
  <c r="I1169" i="1" s="1"/>
  <c r="H1177" i="1"/>
  <c r="I1177" i="1" s="1"/>
  <c r="J1184" i="1"/>
  <c r="H1185" i="1"/>
  <c r="I1185" i="1" s="1"/>
  <c r="J1123" i="1"/>
  <c r="J1122" i="1"/>
  <c r="J1121" i="1"/>
  <c r="J1161" i="1"/>
  <c r="J1179" i="1"/>
  <c r="J1178" i="1"/>
  <c r="J1177" i="1"/>
  <c r="J1185" i="1"/>
  <c r="J1219" i="1"/>
  <c r="J1216" i="1"/>
  <c r="J1221" i="1"/>
  <c r="J1218" i="1"/>
  <c r="J1215" i="1"/>
  <c r="H1216" i="1"/>
  <c r="I1216" i="1" s="1"/>
  <c r="J1227" i="1"/>
  <c r="J1224" i="1"/>
  <c r="J1226" i="1"/>
  <c r="J1223" i="1"/>
  <c r="H1224" i="1"/>
  <c r="I1224" i="1" s="1"/>
  <c r="J1138" i="1"/>
  <c r="J1194" i="1"/>
  <c r="J1210" i="1"/>
  <c r="J1234" i="1"/>
  <c r="J1229" i="1"/>
  <c r="J1200" i="1"/>
  <c r="J1208" i="1"/>
  <c r="J1232" i="1"/>
</calcChain>
</file>

<file path=xl/sharedStrings.xml><?xml version="1.0" encoding="utf-8"?>
<sst xmlns="http://schemas.openxmlformats.org/spreadsheetml/2006/main" count="2320" uniqueCount="864">
  <si>
    <t>YEAR</t>
    <phoneticPr fontId="3" type="noConversion"/>
  </si>
  <si>
    <t>MONTH</t>
    <phoneticPr fontId="3" type="noConversion"/>
  </si>
  <si>
    <t>DATE</t>
    <phoneticPr fontId="3" type="noConversion"/>
  </si>
  <si>
    <t>DOW</t>
    <phoneticPr fontId="3" type="noConversion"/>
  </si>
  <si>
    <t>WK NUM</t>
    <phoneticPr fontId="3" type="noConversion"/>
  </si>
  <si>
    <t>WK NUM_REV</t>
    <phoneticPr fontId="3" type="noConversion"/>
  </si>
  <si>
    <t>MONTH_REV</t>
    <phoneticPr fontId="3" type="noConversion"/>
  </si>
  <si>
    <t>MON&amp;WK</t>
    <phoneticPr fontId="3" type="noConversion"/>
  </si>
  <si>
    <t>월/주/일</t>
    <phoneticPr fontId="3" type="noConversion"/>
  </si>
  <si>
    <t>월/주/일2</t>
    <phoneticPr fontId="3" type="noConversion"/>
  </si>
  <si>
    <t>year</t>
    <phoneticPr fontId="3" type="noConversion"/>
  </si>
  <si>
    <t>weeknum</t>
    <phoneticPr fontId="3" type="noConversion"/>
  </si>
  <si>
    <t>KEYWORD</t>
  </si>
  <si>
    <t>CARR</t>
  </si>
  <si>
    <t>CABIN</t>
  </si>
  <si>
    <t>RBD</t>
  </si>
  <si>
    <t>SEQ</t>
  </si>
  <si>
    <t>행 레이블</t>
  </si>
  <si>
    <t>POO Country</t>
  </si>
  <si>
    <t>RGN</t>
    <phoneticPr fontId="3" type="noConversion"/>
  </si>
  <si>
    <t>APO</t>
    <phoneticPr fontId="4" type="noConversion"/>
  </si>
  <si>
    <t>RGN</t>
    <phoneticPr fontId="4" type="noConversion"/>
  </si>
  <si>
    <t>JPN APO</t>
    <phoneticPr fontId="4" type="noConversion"/>
  </si>
  <si>
    <t>년월</t>
    <phoneticPr fontId="4" type="noConversion"/>
  </si>
  <si>
    <t>구분</t>
    <phoneticPr fontId="4" type="noConversion"/>
  </si>
  <si>
    <t>국가명</t>
    <phoneticPr fontId="4" type="noConversion"/>
  </si>
  <si>
    <t>국가코드</t>
    <phoneticPr fontId="4" type="noConversion"/>
  </si>
  <si>
    <t>항공사</t>
  </si>
  <si>
    <t>구분</t>
  </si>
  <si>
    <t>KE</t>
  </si>
  <si>
    <t>FR</t>
  </si>
  <si>
    <t>P</t>
  </si>
  <si>
    <t>Africa</t>
  </si>
  <si>
    <t>Egypt</t>
  </si>
  <si>
    <t>MEA</t>
    <phoneticPr fontId="3" type="noConversion"/>
  </si>
  <si>
    <t>PEK</t>
    <phoneticPr fontId="4" type="noConversion"/>
  </si>
  <si>
    <t>CHN</t>
    <phoneticPr fontId="4" type="noConversion"/>
  </si>
  <si>
    <t>CTS</t>
    <phoneticPr fontId="4" type="noConversion"/>
  </si>
  <si>
    <t>2023-03</t>
    <phoneticPr fontId="4" type="noConversion"/>
  </si>
  <si>
    <t>전년</t>
    <phoneticPr fontId="4" type="noConversion"/>
  </si>
  <si>
    <t>Gabon</t>
  </si>
  <si>
    <t>GA</t>
  </si>
  <si>
    <t>HO</t>
  </si>
  <si>
    <t>중국계</t>
    <phoneticPr fontId="4" type="noConversion"/>
  </si>
  <si>
    <t>F</t>
  </si>
  <si>
    <t>Ivory Coast (Cote d'Ivoire)</t>
  </si>
  <si>
    <t>TSN</t>
    <phoneticPr fontId="4" type="noConversion"/>
  </si>
  <si>
    <t>FUK</t>
    <phoneticPr fontId="4" type="noConversion"/>
  </si>
  <si>
    <t>2023-04</t>
  </si>
  <si>
    <t>Guyana</t>
  </si>
  <si>
    <t>GY</t>
  </si>
  <si>
    <t>CX</t>
  </si>
  <si>
    <t>A</t>
  </si>
  <si>
    <t>South Africa</t>
  </si>
  <si>
    <t>XIY</t>
    <phoneticPr fontId="4" type="noConversion"/>
  </si>
  <si>
    <t>HND</t>
    <phoneticPr fontId="4" type="noConversion"/>
  </si>
  <si>
    <t>2023-05</t>
  </si>
  <si>
    <t>Gambia</t>
  </si>
  <si>
    <t>GM</t>
  </si>
  <si>
    <t>CA</t>
  </si>
  <si>
    <t>PR</t>
  </si>
  <si>
    <t>J</t>
  </si>
  <si>
    <t>Tanzania</t>
  </si>
  <si>
    <t>CGO</t>
    <phoneticPr fontId="4" type="noConversion"/>
  </si>
  <si>
    <t>KIX</t>
    <phoneticPr fontId="4" type="noConversion"/>
  </si>
  <si>
    <t>2023-06</t>
  </si>
  <si>
    <t>Guernsey</t>
  </si>
  <si>
    <t>GG</t>
  </si>
  <si>
    <t>NH</t>
  </si>
  <si>
    <t>일본계</t>
    <phoneticPr fontId="4" type="noConversion"/>
  </si>
  <si>
    <t>C</t>
  </si>
  <si>
    <t>Madagascar</t>
  </si>
  <si>
    <t>PVG</t>
    <phoneticPr fontId="4" type="noConversion"/>
  </si>
  <si>
    <t>NGO</t>
    <phoneticPr fontId="4" type="noConversion"/>
  </si>
  <si>
    <t>2023-07</t>
  </si>
  <si>
    <t>Guadeloupe</t>
  </si>
  <si>
    <t>GP</t>
  </si>
  <si>
    <t>CI</t>
  </si>
  <si>
    <t>D</t>
  </si>
  <si>
    <t>Ethiopia</t>
  </si>
  <si>
    <t>SHA</t>
    <phoneticPr fontId="4" type="noConversion"/>
  </si>
  <si>
    <t>NRT</t>
    <phoneticPr fontId="4" type="noConversion"/>
  </si>
  <si>
    <t>2023-08</t>
  </si>
  <si>
    <t>Guatemala</t>
  </si>
  <si>
    <t>GT</t>
  </si>
  <si>
    <t>MU</t>
  </si>
  <si>
    <t>I</t>
  </si>
  <si>
    <t>Ghana</t>
  </si>
  <si>
    <t>NKG</t>
    <phoneticPr fontId="4" type="noConversion"/>
  </si>
  <si>
    <t>OKA</t>
    <phoneticPr fontId="4" type="noConversion"/>
  </si>
  <si>
    <t>2023-09</t>
  </si>
  <si>
    <t>Guam</t>
  </si>
  <si>
    <t>GU</t>
  </si>
  <si>
    <t>SC</t>
  </si>
  <si>
    <t>남방</t>
    <phoneticPr fontId="4" type="noConversion"/>
  </si>
  <si>
    <t>R</t>
  </si>
  <si>
    <t>Tanzania, United Republic of</t>
  </si>
  <si>
    <t>HGH</t>
    <phoneticPr fontId="4" type="noConversion"/>
  </si>
  <si>
    <t>KMJ</t>
    <phoneticPr fontId="4" type="noConversion"/>
  </si>
  <si>
    <t>2023-10</t>
  </si>
  <si>
    <t>Grenada</t>
  </si>
  <si>
    <t>GD</t>
  </si>
  <si>
    <t>JL</t>
  </si>
  <si>
    <t>길상</t>
    <phoneticPr fontId="4" type="noConversion"/>
  </si>
  <si>
    <t>Z</t>
  </si>
  <si>
    <t>Morocco</t>
  </si>
  <si>
    <t>HFE</t>
    <phoneticPr fontId="4" type="noConversion"/>
  </si>
  <si>
    <t>KOJ</t>
    <phoneticPr fontId="4" type="noConversion"/>
  </si>
  <si>
    <t>2023-11</t>
  </si>
  <si>
    <t>Greece</t>
  </si>
  <si>
    <t>GR</t>
  </si>
  <si>
    <t>CZ</t>
  </si>
  <si>
    <t>O</t>
  </si>
  <si>
    <t>Kenya</t>
  </si>
  <si>
    <t>WUH</t>
    <phoneticPr fontId="4" type="noConversion"/>
  </si>
  <si>
    <t>AOJ</t>
    <phoneticPr fontId="4" type="noConversion"/>
  </si>
  <si>
    <t>2023-12</t>
  </si>
  <si>
    <t>Greenland</t>
  </si>
  <si>
    <t>GL</t>
  </si>
  <si>
    <t>GJ</t>
  </si>
  <si>
    <t>구주계</t>
    <phoneticPr fontId="4" type="noConversion"/>
  </si>
  <si>
    <t>EY</t>
  </si>
  <si>
    <t>Y</t>
  </si>
  <si>
    <t>XMN</t>
    <phoneticPr fontId="4" type="noConversion"/>
  </si>
  <si>
    <t>UKB</t>
    <phoneticPr fontId="4" type="noConversion"/>
  </si>
  <si>
    <t>2024-01</t>
    <phoneticPr fontId="4" type="noConversion"/>
  </si>
  <si>
    <t>Guinea</t>
  </si>
  <si>
    <t>GN</t>
  </si>
  <si>
    <t>HU</t>
  </si>
  <si>
    <t>B</t>
  </si>
  <si>
    <t>Côte d'Ivoire</t>
  </si>
  <si>
    <t>CAN</t>
    <phoneticPr fontId="4" type="noConversion"/>
  </si>
  <si>
    <t>NGS</t>
    <phoneticPr fontId="4" type="noConversion"/>
  </si>
  <si>
    <t>2024-02</t>
    <phoneticPr fontId="4" type="noConversion"/>
  </si>
  <si>
    <t>Guinea-Bissau</t>
  </si>
  <si>
    <t>GW</t>
  </si>
  <si>
    <t>GS</t>
  </si>
  <si>
    <t>M</t>
  </si>
  <si>
    <t>Senegal</t>
  </si>
  <si>
    <t>SZX</t>
    <phoneticPr fontId="4" type="noConversion"/>
  </si>
  <si>
    <t>OKJ</t>
    <phoneticPr fontId="4" type="noConversion"/>
  </si>
  <si>
    <t>2024-03</t>
    <phoneticPr fontId="4" type="noConversion"/>
  </si>
  <si>
    <t>Namibia</t>
  </si>
  <si>
    <t>NA</t>
  </si>
  <si>
    <t>동남아계</t>
    <phoneticPr fontId="4" type="noConversion"/>
  </si>
  <si>
    <t>S</t>
  </si>
  <si>
    <t>Rwanda</t>
  </si>
  <si>
    <t>CSX</t>
    <phoneticPr fontId="4" type="noConversion"/>
  </si>
  <si>
    <t>KIJ</t>
    <phoneticPr fontId="4" type="noConversion"/>
  </si>
  <si>
    <t>2024-04</t>
    <phoneticPr fontId="4" type="noConversion"/>
  </si>
  <si>
    <t>Nauru</t>
  </si>
  <si>
    <t>NR</t>
  </si>
  <si>
    <t>UA</t>
  </si>
  <si>
    <t>미주계</t>
    <phoneticPr fontId="4" type="noConversion"/>
  </si>
  <si>
    <t>H</t>
  </si>
  <si>
    <t>Zimbabwe</t>
  </si>
  <si>
    <t>KMG</t>
    <phoneticPr fontId="4" type="noConversion"/>
  </si>
  <si>
    <t>KMQ</t>
    <phoneticPr fontId="4" type="noConversion"/>
  </si>
  <si>
    <t>2024-05</t>
    <phoneticPr fontId="4" type="noConversion"/>
  </si>
  <si>
    <t>Nigeria</t>
  </si>
  <si>
    <t>NG</t>
  </si>
  <si>
    <t>ZH</t>
  </si>
  <si>
    <t>심천</t>
    <phoneticPr fontId="4" type="noConversion"/>
  </si>
  <si>
    <t>E</t>
  </si>
  <si>
    <t>Réunion</t>
  </si>
  <si>
    <t>MEA</t>
    <phoneticPr fontId="4" type="noConversion"/>
  </si>
  <si>
    <t>DYG</t>
    <phoneticPr fontId="4" type="noConversion"/>
  </si>
  <si>
    <t>2024-06</t>
    <phoneticPr fontId="4" type="noConversion"/>
  </si>
  <si>
    <t>Antarctica</t>
  </si>
  <si>
    <t>AQ</t>
  </si>
  <si>
    <t>AF</t>
    <phoneticPr fontId="4" type="noConversion"/>
  </si>
  <si>
    <t>K</t>
  </si>
  <si>
    <t>Uganda</t>
  </si>
  <si>
    <t>SHE</t>
    <phoneticPr fontId="4" type="noConversion"/>
  </si>
  <si>
    <t>2024-07</t>
    <phoneticPr fontId="4" type="noConversion"/>
  </si>
  <si>
    <t>South Sudan</t>
  </si>
  <si>
    <t>SS</t>
  </si>
  <si>
    <t>VN</t>
  </si>
  <si>
    <t>L</t>
  </si>
  <si>
    <t>Zambia</t>
  </si>
  <si>
    <t>DLC</t>
    <phoneticPr fontId="4" type="noConversion"/>
  </si>
  <si>
    <t>2024-08</t>
    <phoneticPr fontId="4" type="noConversion"/>
  </si>
  <si>
    <t>ZA</t>
  </si>
  <si>
    <t>SQ</t>
  </si>
  <si>
    <t>산동</t>
    <phoneticPr fontId="4" type="noConversion"/>
  </si>
  <si>
    <t>U</t>
  </si>
  <si>
    <t>YNJ</t>
    <phoneticPr fontId="4" type="noConversion"/>
  </si>
  <si>
    <t>2024-09</t>
    <phoneticPr fontId="4" type="noConversion"/>
  </si>
  <si>
    <t>Netherlands</t>
  </si>
  <si>
    <t>NL</t>
  </si>
  <si>
    <t>HX</t>
  </si>
  <si>
    <t>Q</t>
  </si>
  <si>
    <t>MDG</t>
    <phoneticPr fontId="4" type="noConversion"/>
  </si>
  <si>
    <t>2024-10</t>
    <phoneticPr fontId="4" type="noConversion"/>
  </si>
  <si>
    <t>Nepal</t>
  </si>
  <si>
    <t>NP</t>
  </si>
  <si>
    <t>QF</t>
  </si>
  <si>
    <t>대양주계</t>
    <phoneticPr fontId="4" type="noConversion"/>
  </si>
  <si>
    <t>N</t>
  </si>
  <si>
    <t>TAO</t>
    <phoneticPr fontId="4" type="noConversion"/>
  </si>
  <si>
    <t>2024-11</t>
  </si>
  <si>
    <t>Norway</t>
  </si>
  <si>
    <t>NO</t>
  </si>
  <si>
    <t>TG</t>
  </si>
  <si>
    <t>T</t>
  </si>
  <si>
    <t>Algeria</t>
  </si>
  <si>
    <t>TNA</t>
    <phoneticPr fontId="4" type="noConversion"/>
  </si>
  <si>
    <t>2024-12</t>
  </si>
  <si>
    <t>Norfolk Island</t>
  </si>
  <si>
    <t>NF</t>
  </si>
  <si>
    <t>QW</t>
  </si>
  <si>
    <t>G</t>
  </si>
  <si>
    <t>WEH</t>
    <phoneticPr fontId="4" type="noConversion"/>
  </si>
  <si>
    <t>2025-01</t>
    <phoneticPr fontId="4" type="noConversion"/>
  </si>
  <si>
    <t>New Caledonia</t>
  </si>
  <si>
    <t>NC</t>
  </si>
  <si>
    <t>X</t>
  </si>
  <si>
    <t>Tunisia</t>
  </si>
  <si>
    <t>HKG</t>
    <phoneticPr fontId="4" type="noConversion"/>
  </si>
  <si>
    <t>2025-02</t>
    <phoneticPr fontId="4" type="noConversion"/>
  </si>
  <si>
    <t>New Zealand</t>
  </si>
  <si>
    <t>NZ</t>
  </si>
  <si>
    <t>BA</t>
  </si>
  <si>
    <t>상하이</t>
    <phoneticPr fontId="4" type="noConversion"/>
  </si>
  <si>
    <t>OZ</t>
  </si>
  <si>
    <t>Congo, the Democratic Republic of the</t>
  </si>
  <si>
    <t>TPE</t>
    <phoneticPr fontId="4" type="noConversion"/>
  </si>
  <si>
    <t>2025-03</t>
    <phoneticPr fontId="4" type="noConversion"/>
  </si>
  <si>
    <t>Niue</t>
  </si>
  <si>
    <t>NU</t>
  </si>
  <si>
    <t>HA</t>
  </si>
  <si>
    <t>플라이홍콩</t>
    <phoneticPr fontId="4" type="noConversion"/>
  </si>
  <si>
    <t>Cameroon</t>
  </si>
  <si>
    <t>UBN</t>
    <phoneticPr fontId="4" type="noConversion"/>
  </si>
  <si>
    <t>2025-04</t>
    <phoneticPr fontId="4" type="noConversion"/>
  </si>
  <si>
    <t>Niger</t>
  </si>
  <si>
    <t>NE</t>
  </si>
  <si>
    <t>MF</t>
  </si>
  <si>
    <t>LAX</t>
    <phoneticPr fontId="4" type="noConversion"/>
  </si>
  <si>
    <t>AME</t>
    <phoneticPr fontId="4" type="noConversion"/>
  </si>
  <si>
    <t>2025-05</t>
    <phoneticPr fontId="4" type="noConversion"/>
  </si>
  <si>
    <t>Nicaragua</t>
  </si>
  <si>
    <t>NI</t>
  </si>
  <si>
    <t>BR</t>
  </si>
  <si>
    <t>하이난</t>
    <phoneticPr fontId="4" type="noConversion"/>
  </si>
  <si>
    <t>SFO</t>
    <phoneticPr fontId="4" type="noConversion"/>
  </si>
  <si>
    <t>2025-06</t>
    <phoneticPr fontId="4" type="noConversion"/>
  </si>
  <si>
    <t>South Korea</t>
  </si>
  <si>
    <t>KR</t>
  </si>
  <si>
    <t>UL</t>
  </si>
  <si>
    <t>말레이시아</t>
    <phoneticPr fontId="4" type="noConversion"/>
  </si>
  <si>
    <t>Malawi</t>
  </si>
  <si>
    <t>HNL</t>
    <phoneticPr fontId="4" type="noConversion"/>
  </si>
  <si>
    <t>2025-07</t>
    <phoneticPr fontId="4" type="noConversion"/>
  </si>
  <si>
    <t>Denmark</t>
  </si>
  <si>
    <t>DK</t>
  </si>
  <si>
    <t>LX</t>
  </si>
  <si>
    <t>업그레이드</t>
    <phoneticPr fontId="3" type="noConversion"/>
  </si>
  <si>
    <t>Mozambique</t>
  </si>
  <si>
    <t>LAS</t>
    <phoneticPr fontId="4" type="noConversion"/>
  </si>
  <si>
    <t>2025-08</t>
    <phoneticPr fontId="4" type="noConversion"/>
  </si>
  <si>
    <t>Dominican Republic</t>
  </si>
  <si>
    <t>DO</t>
  </si>
  <si>
    <t>AA</t>
  </si>
  <si>
    <t>SEA</t>
    <phoneticPr fontId="4" type="noConversion"/>
  </si>
  <si>
    <t>2025-09</t>
    <phoneticPr fontId="4" type="noConversion"/>
  </si>
  <si>
    <t>Dominica</t>
  </si>
  <si>
    <t>DM</t>
  </si>
  <si>
    <t>MH</t>
  </si>
  <si>
    <t>Mauritius</t>
  </si>
  <si>
    <t>JFK</t>
    <phoneticPr fontId="4" type="noConversion"/>
  </si>
  <si>
    <t>2025-10</t>
  </si>
  <si>
    <t>Timor-Leste</t>
  </si>
  <si>
    <t>TL</t>
  </si>
  <si>
    <t>TW</t>
  </si>
  <si>
    <t>국내계</t>
    <phoneticPr fontId="4" type="noConversion"/>
  </si>
  <si>
    <t>천진</t>
    <phoneticPr fontId="4" type="noConversion"/>
  </si>
  <si>
    <t>Burkina Faso</t>
  </si>
  <si>
    <t>ATL</t>
    <phoneticPr fontId="4" type="noConversion"/>
  </si>
  <si>
    <t>2025-11</t>
  </si>
  <si>
    <t>Germany</t>
  </si>
  <si>
    <t>DE</t>
  </si>
  <si>
    <t>JX</t>
  </si>
  <si>
    <t>Seychelles</t>
  </si>
  <si>
    <t>BOS</t>
    <phoneticPr fontId="4" type="noConversion"/>
  </si>
  <si>
    <t>2025-12</t>
  </si>
  <si>
    <t>Laos</t>
  </si>
  <si>
    <t>LA</t>
  </si>
  <si>
    <t>RA</t>
  </si>
  <si>
    <t>Burundi</t>
  </si>
  <si>
    <t>DFW</t>
    <phoneticPr fontId="4" type="noConversion"/>
  </si>
  <si>
    <t>2026-01</t>
    <phoneticPr fontId="4" type="noConversion"/>
  </si>
  <si>
    <t>금년</t>
    <phoneticPr fontId="4" type="noConversion"/>
  </si>
  <si>
    <t>Liberia</t>
  </si>
  <si>
    <t>LR</t>
  </si>
  <si>
    <t>AZ</t>
  </si>
  <si>
    <t>가루다</t>
    <phoneticPr fontId="4" type="noConversion"/>
  </si>
  <si>
    <t>Togo</t>
  </si>
  <si>
    <t>IAD</t>
    <phoneticPr fontId="4" type="noConversion"/>
  </si>
  <si>
    <t>2026-02</t>
    <phoneticPr fontId="4" type="noConversion"/>
  </si>
  <si>
    <t>Latvia</t>
  </si>
  <si>
    <t>LV</t>
  </si>
  <si>
    <t>FM</t>
  </si>
  <si>
    <t>ORD</t>
    <phoneticPr fontId="4" type="noConversion"/>
  </si>
  <si>
    <t>2026-03</t>
    <phoneticPr fontId="4" type="noConversion"/>
  </si>
  <si>
    <t>Russia</t>
  </si>
  <si>
    <t>RU</t>
  </si>
  <si>
    <t>Djibouti</t>
  </si>
  <si>
    <t>YVR</t>
    <phoneticPr fontId="4" type="noConversion"/>
  </si>
  <si>
    <t>2026-04</t>
    <phoneticPr fontId="4" type="noConversion"/>
  </si>
  <si>
    <t>Lebanon</t>
  </si>
  <si>
    <t>LB</t>
  </si>
  <si>
    <t>JD</t>
  </si>
  <si>
    <t>핀에어</t>
    <phoneticPr fontId="4" type="noConversion"/>
  </si>
  <si>
    <t>Benin</t>
  </si>
  <si>
    <t>YYZ</t>
    <phoneticPr fontId="4" type="noConversion"/>
  </si>
  <si>
    <t>2026-05</t>
    <phoneticPr fontId="4" type="noConversion"/>
  </si>
  <si>
    <t>Lesotho</t>
  </si>
  <si>
    <t>LS</t>
  </si>
  <si>
    <t>LY</t>
  </si>
  <si>
    <t>중동계</t>
    <phoneticPr fontId="4" type="noConversion"/>
  </si>
  <si>
    <t>AMS</t>
    <phoneticPr fontId="4" type="noConversion"/>
  </si>
  <si>
    <t>EUR</t>
    <phoneticPr fontId="4" type="noConversion"/>
  </si>
  <si>
    <t>2026-06</t>
    <phoneticPr fontId="4" type="noConversion"/>
  </si>
  <si>
    <t>Reunion</t>
  </si>
  <si>
    <t>RE</t>
  </si>
  <si>
    <t>TK</t>
  </si>
  <si>
    <t>룽에어</t>
    <phoneticPr fontId="4" type="noConversion"/>
  </si>
  <si>
    <t>V</t>
  </si>
  <si>
    <t>Angola</t>
  </si>
  <si>
    <t>CDG</t>
    <phoneticPr fontId="4" type="noConversion"/>
  </si>
  <si>
    <t>2026-07</t>
    <phoneticPr fontId="4" type="noConversion"/>
  </si>
  <si>
    <t>Romania</t>
  </si>
  <si>
    <t>RO</t>
  </si>
  <si>
    <t>AC</t>
  </si>
  <si>
    <t>W</t>
  </si>
  <si>
    <t>Mali</t>
  </si>
  <si>
    <t>FRA</t>
    <phoneticPr fontId="4" type="noConversion"/>
  </si>
  <si>
    <t>2026-08</t>
    <phoneticPr fontId="4" type="noConversion"/>
  </si>
  <si>
    <t>Luxembourg</t>
  </si>
  <si>
    <t>LU</t>
  </si>
  <si>
    <t>DL</t>
  </si>
  <si>
    <t>알리탈리아</t>
    <phoneticPr fontId="4" type="noConversion"/>
  </si>
  <si>
    <t>Botswana</t>
  </si>
  <si>
    <t>LHR</t>
    <phoneticPr fontId="4" type="noConversion"/>
  </si>
  <si>
    <t>2026-09</t>
    <phoneticPr fontId="4" type="noConversion"/>
  </si>
  <si>
    <t>RW</t>
  </si>
  <si>
    <t>KL</t>
  </si>
  <si>
    <t>Comoros</t>
  </si>
  <si>
    <t>BCN</t>
    <phoneticPr fontId="4" type="noConversion"/>
  </si>
  <si>
    <t>2026-10</t>
  </si>
  <si>
    <t>Libya</t>
  </si>
  <si>
    <t>OS</t>
  </si>
  <si>
    <t>스리랑카</t>
    <phoneticPr fontId="4" type="noConversion"/>
  </si>
  <si>
    <t>MAD</t>
    <phoneticPr fontId="4" type="noConversion"/>
  </si>
  <si>
    <t>2026-11</t>
  </si>
  <si>
    <t>Lithuania</t>
  </si>
  <si>
    <t>LT</t>
  </si>
  <si>
    <t>AI</t>
  </si>
  <si>
    <t>스위스</t>
    <phoneticPr fontId="4" type="noConversion"/>
  </si>
  <si>
    <t>Gabon</t>
    <phoneticPr fontId="4" type="noConversion"/>
  </si>
  <si>
    <t>FCO</t>
    <phoneticPr fontId="4" type="noConversion"/>
  </si>
  <si>
    <t>2026-12</t>
  </si>
  <si>
    <t>Lichtenstein</t>
  </si>
  <si>
    <t>LI</t>
  </si>
  <si>
    <t>IB</t>
  </si>
  <si>
    <t>Sao Tome and Principe</t>
  </si>
  <si>
    <t>MXP</t>
    <phoneticPr fontId="4" type="noConversion"/>
  </si>
  <si>
    <t>MG</t>
  </si>
  <si>
    <t>OM</t>
  </si>
  <si>
    <t>Sierra Leone</t>
  </si>
  <si>
    <t>IST</t>
    <phoneticPr fontId="4" type="noConversion"/>
  </si>
  <si>
    <t>Martinique</t>
  </si>
  <si>
    <t>MQ</t>
  </si>
  <si>
    <t>JQ</t>
  </si>
  <si>
    <t>PRG</t>
    <phoneticPr fontId="4" type="noConversion"/>
  </si>
  <si>
    <t>Marshall Islands</t>
  </si>
  <si>
    <t>LH</t>
  </si>
  <si>
    <t>Sudan</t>
  </si>
  <si>
    <t>VIE</t>
    <phoneticPr fontId="4" type="noConversion"/>
  </si>
  <si>
    <t>Mayotte</t>
  </si>
  <si>
    <t>YT</t>
  </si>
  <si>
    <t>AS</t>
  </si>
  <si>
    <t>ZAG</t>
    <phoneticPr fontId="4" type="noConversion"/>
  </si>
  <si>
    <t>Macao</t>
  </si>
  <si>
    <t>MO</t>
  </si>
  <si>
    <t>HB</t>
  </si>
  <si>
    <t>ZRH</t>
    <phoneticPr fontId="4" type="noConversion"/>
  </si>
  <si>
    <t>MW</t>
  </si>
  <si>
    <t>EK</t>
  </si>
  <si>
    <t>Somalia</t>
  </si>
  <si>
    <t>BUD</t>
    <phoneticPr fontId="4" type="noConversion"/>
  </si>
  <si>
    <t>Malaysia</t>
  </si>
  <si>
    <t>MY</t>
  </si>
  <si>
    <t>QR</t>
  </si>
  <si>
    <t>Equatorial Guinea</t>
  </si>
  <si>
    <t>TLV</t>
    <phoneticPr fontId="4" type="noConversion"/>
  </si>
  <si>
    <t>ML</t>
  </si>
  <si>
    <t>AY</t>
  </si>
  <si>
    <t>PY</t>
  </si>
  <si>
    <t>Congo</t>
  </si>
  <si>
    <t>DXB</t>
    <phoneticPr fontId="4" type="noConversion"/>
  </si>
  <si>
    <t>Isle of Man</t>
  </si>
  <si>
    <t>IM</t>
  </si>
  <si>
    <t>Mauritania</t>
  </si>
  <si>
    <t>TAS</t>
    <phoneticPr fontId="4" type="noConversion"/>
  </si>
  <si>
    <t>CIS</t>
    <phoneticPr fontId="4" type="noConversion"/>
  </si>
  <si>
    <t>Mexico</t>
  </si>
  <si>
    <t>MX</t>
  </si>
  <si>
    <t>5J</t>
  </si>
  <si>
    <t>SVO</t>
    <phoneticPr fontId="4" type="noConversion"/>
  </si>
  <si>
    <t>Monaco</t>
  </si>
  <si>
    <t>MC</t>
  </si>
  <si>
    <t>Eswatini</t>
  </si>
  <si>
    <t>VVO</t>
    <phoneticPr fontId="4" type="noConversion"/>
  </si>
  <si>
    <t>MA</t>
  </si>
  <si>
    <t>VJ</t>
  </si>
  <si>
    <t>Chad</t>
  </si>
  <si>
    <t>LED</t>
    <phoneticPr fontId="4" type="noConversion"/>
  </si>
  <si>
    <t>WS</t>
  </si>
  <si>
    <t>IKT</t>
    <phoneticPr fontId="4" type="noConversion"/>
  </si>
  <si>
    <t>MR</t>
  </si>
  <si>
    <t>AKL</t>
    <phoneticPr fontId="4" type="noConversion"/>
  </si>
  <si>
    <t>OCN</t>
    <phoneticPr fontId="4" type="noConversion"/>
  </si>
  <si>
    <t>MZ</t>
  </si>
  <si>
    <t>LO</t>
  </si>
  <si>
    <t>SYD</t>
    <phoneticPr fontId="4" type="noConversion"/>
  </si>
  <si>
    <t>Montenegro</t>
  </si>
  <si>
    <t>ME</t>
  </si>
  <si>
    <t>SK</t>
  </si>
  <si>
    <t>Central African Republic</t>
  </si>
  <si>
    <t>BNE</t>
    <phoneticPr fontId="4" type="noConversion"/>
  </si>
  <si>
    <t>Montserrat</t>
  </si>
  <si>
    <t>MS</t>
  </si>
  <si>
    <t>HY</t>
  </si>
  <si>
    <t>BKK</t>
    <phoneticPr fontId="4" type="noConversion"/>
  </si>
  <si>
    <t>Moldova</t>
  </si>
  <si>
    <t>MD</t>
  </si>
  <si>
    <t>M0</t>
  </si>
  <si>
    <t>우즈벡</t>
    <phoneticPr fontId="4" type="noConversion"/>
  </si>
  <si>
    <t>HKT</t>
    <phoneticPr fontId="4" type="noConversion"/>
  </si>
  <si>
    <t>Maldives</t>
  </si>
  <si>
    <t>MV</t>
  </si>
  <si>
    <t>3U</t>
  </si>
  <si>
    <t>CNX</t>
    <phoneticPr fontId="4" type="noConversion"/>
  </si>
  <si>
    <t>Malta</t>
  </si>
  <si>
    <t>MT</t>
  </si>
  <si>
    <t>FJ</t>
  </si>
  <si>
    <t>SGN</t>
    <phoneticPr fontId="4" type="noConversion"/>
  </si>
  <si>
    <t>Mongolia</t>
  </si>
  <si>
    <t>MN</t>
  </si>
  <si>
    <t>YP</t>
  </si>
  <si>
    <t>HAN</t>
    <phoneticPr fontId="4" type="noConversion"/>
  </si>
  <si>
    <t>United States</t>
  </si>
  <si>
    <t>US</t>
  </si>
  <si>
    <t>ET</t>
  </si>
  <si>
    <t>DAD</t>
    <phoneticPr fontId="4" type="noConversion"/>
  </si>
  <si>
    <t>US Minor Outlying Islands</t>
  </si>
  <si>
    <t>UM</t>
  </si>
  <si>
    <t>UO</t>
  </si>
  <si>
    <t>CXR</t>
    <phoneticPr fontId="4" type="noConversion"/>
  </si>
  <si>
    <t>US Virgin Islands</t>
  </si>
  <si>
    <t>VI</t>
  </si>
  <si>
    <t>7C</t>
  </si>
  <si>
    <t>MNL</t>
    <phoneticPr fontId="4" type="noConversion"/>
  </si>
  <si>
    <t>Myanmar</t>
  </si>
  <si>
    <t>MM</t>
  </si>
  <si>
    <t>SL</t>
  </si>
  <si>
    <t>CEB</t>
    <phoneticPr fontId="4" type="noConversion"/>
  </si>
  <si>
    <t>Federated States of Micronesia</t>
  </si>
  <si>
    <t>VZ</t>
  </si>
  <si>
    <t>CRK</t>
    <phoneticPr fontId="4" type="noConversion"/>
  </si>
  <si>
    <t>Vanuatu</t>
  </si>
  <si>
    <t>VU</t>
  </si>
  <si>
    <t>NX</t>
  </si>
  <si>
    <t>마카오</t>
    <phoneticPr fontId="4" type="noConversion"/>
  </si>
  <si>
    <t>SIN</t>
    <phoneticPr fontId="4" type="noConversion"/>
  </si>
  <si>
    <t>Bahrain</t>
  </si>
  <si>
    <t>BH</t>
  </si>
  <si>
    <t>VA</t>
  </si>
  <si>
    <t>KUL</t>
    <phoneticPr fontId="4" type="noConversion"/>
  </si>
  <si>
    <t>Barbados</t>
  </si>
  <si>
    <t>BB</t>
  </si>
  <si>
    <t>OD</t>
  </si>
  <si>
    <t>CGK</t>
    <phoneticPr fontId="4" type="noConversion"/>
  </si>
  <si>
    <t>Vatican City</t>
  </si>
  <si>
    <t>DPS</t>
    <phoneticPr fontId="4" type="noConversion"/>
  </si>
  <si>
    <t>Bahamas</t>
  </si>
  <si>
    <t>BS</t>
  </si>
  <si>
    <t>KN</t>
  </si>
  <si>
    <t>PNH</t>
    <phoneticPr fontId="4" type="noConversion"/>
  </si>
  <si>
    <t>Bangladesh</t>
  </si>
  <si>
    <t>BD</t>
  </si>
  <si>
    <t>TR</t>
  </si>
  <si>
    <t>Bermuda</t>
  </si>
  <si>
    <t>BM</t>
  </si>
  <si>
    <t>BI</t>
  </si>
  <si>
    <t>GUM</t>
    <phoneticPr fontId="4" type="noConversion"/>
  </si>
  <si>
    <t>BJ</t>
  </si>
  <si>
    <t>GK</t>
  </si>
  <si>
    <t>Asia</t>
  </si>
  <si>
    <t>SEA</t>
    <phoneticPr fontId="3" type="noConversion"/>
  </si>
  <si>
    <t>DEL</t>
    <phoneticPr fontId="4" type="noConversion"/>
  </si>
  <si>
    <t>Venezuela</t>
  </si>
  <si>
    <t>VE</t>
  </si>
  <si>
    <t>PG</t>
  </si>
  <si>
    <t>Brunei Darussalam</t>
  </si>
  <si>
    <t>KTM</t>
    <phoneticPr fontId="4" type="noConversion"/>
  </si>
  <si>
    <t>Vietnam</t>
  </si>
  <si>
    <t>H1</t>
  </si>
  <si>
    <t>Cambodia</t>
  </si>
  <si>
    <t>CMB</t>
    <phoneticPr fontId="4" type="noConversion"/>
  </si>
  <si>
    <t>Belgium</t>
  </si>
  <si>
    <t>BE</t>
  </si>
  <si>
    <t>D7</t>
  </si>
  <si>
    <t>China</t>
  </si>
  <si>
    <t>CHN</t>
    <phoneticPr fontId="3" type="noConversion"/>
  </si>
  <si>
    <t>MLE</t>
    <phoneticPr fontId="4" type="noConversion"/>
  </si>
  <si>
    <t>Belarus</t>
  </si>
  <si>
    <t>BY</t>
  </si>
  <si>
    <t>3K</t>
  </si>
  <si>
    <t>China (People's Republic of)</t>
  </si>
  <si>
    <t>PQC</t>
    <phoneticPr fontId="4" type="noConversion"/>
  </si>
  <si>
    <t>Belize</t>
  </si>
  <si>
    <t>BZ</t>
  </si>
  <si>
    <t>LJ</t>
  </si>
  <si>
    <t>Chinese Taipei</t>
  </si>
  <si>
    <t>LIS</t>
    <phoneticPr fontId="4" type="noConversion"/>
  </si>
  <si>
    <t>Bonaire Island</t>
  </si>
  <si>
    <t>BQ</t>
  </si>
  <si>
    <t>A1</t>
  </si>
  <si>
    <t>Hong Kong (SAR), China</t>
  </si>
  <si>
    <t>KTI</t>
    <phoneticPr fontId="4" type="noConversion"/>
  </si>
  <si>
    <t>Bosnia and Herzegovina</t>
  </si>
  <si>
    <t>India</t>
  </si>
  <si>
    <t>BW</t>
  </si>
  <si>
    <t>W2</t>
  </si>
  <si>
    <t>Indonesia</t>
  </si>
  <si>
    <t>Bolivia</t>
  </si>
  <si>
    <t>BO</t>
  </si>
  <si>
    <t>Z2</t>
  </si>
  <si>
    <t>Japan</t>
  </si>
  <si>
    <t>JPN</t>
    <phoneticPr fontId="3" type="noConversion"/>
  </si>
  <si>
    <t>BG</t>
  </si>
  <si>
    <t>BF</t>
  </si>
  <si>
    <t>VS</t>
  </si>
  <si>
    <t>Bouvet Island</t>
  </si>
  <si>
    <t>BV</t>
  </si>
  <si>
    <t>HH</t>
  </si>
  <si>
    <t>Bhutan</t>
  </si>
  <si>
    <t>BT</t>
  </si>
  <si>
    <t>UK</t>
  </si>
  <si>
    <t>Northern Mariana Islands</t>
  </si>
  <si>
    <t>MP</t>
  </si>
  <si>
    <t>8L</t>
  </si>
  <si>
    <t>Pakistan</t>
  </si>
  <si>
    <t>Macedonia</t>
  </si>
  <si>
    <t>MK</t>
  </si>
  <si>
    <t>FY</t>
  </si>
  <si>
    <t>Philippines</t>
  </si>
  <si>
    <t>Bulgaria</t>
  </si>
  <si>
    <t>SB</t>
  </si>
  <si>
    <t>Russian Federation</t>
  </si>
  <si>
    <t>CIS</t>
    <phoneticPr fontId="3" type="noConversion"/>
  </si>
  <si>
    <t>Brazil</t>
  </si>
  <si>
    <t>B7</t>
  </si>
  <si>
    <t>Singapore</t>
  </si>
  <si>
    <t>BN</t>
  </si>
  <si>
    <t>XJ</t>
  </si>
  <si>
    <t>KOR</t>
    <phoneticPr fontId="3" type="noConversion"/>
  </si>
  <si>
    <t>Samoa</t>
  </si>
  <si>
    <t>AM</t>
  </si>
  <si>
    <t>Sri Lanka</t>
  </si>
  <si>
    <t>Saudi Arabia</t>
  </si>
  <si>
    <t>SA</t>
  </si>
  <si>
    <t>BX</t>
    <phoneticPr fontId="4" type="noConversion"/>
  </si>
  <si>
    <t>Thailand</t>
  </si>
  <si>
    <t>South Georgia and the South Sandwich Islands</t>
  </si>
  <si>
    <t>Uzbekistan</t>
  </si>
  <si>
    <t>San Marino</t>
  </si>
  <si>
    <t>SM</t>
  </si>
  <si>
    <t>QH</t>
  </si>
  <si>
    <t>ST</t>
  </si>
  <si>
    <t>TN</t>
  </si>
  <si>
    <t>Macao (SAR), China</t>
  </si>
  <si>
    <t>Saint Martin</t>
  </si>
  <si>
    <t>FD</t>
  </si>
  <si>
    <t>Lao People's Democratic Republic</t>
  </si>
  <si>
    <t>Saint Barthelemy</t>
  </si>
  <si>
    <t>BL</t>
  </si>
  <si>
    <t>WY</t>
  </si>
  <si>
    <t>Saint Pierre and Miquelon</t>
  </si>
  <si>
    <t>PM</t>
  </si>
  <si>
    <t>8M</t>
  </si>
  <si>
    <t>Azerbaijan</t>
  </si>
  <si>
    <t>Western Sahara</t>
  </si>
  <si>
    <t>EH</t>
  </si>
  <si>
    <t>KC</t>
  </si>
  <si>
    <t>Kazakhstan</t>
  </si>
  <si>
    <t>SN</t>
  </si>
  <si>
    <t>J2</t>
  </si>
  <si>
    <t>Kyrgyzstan</t>
  </si>
  <si>
    <t>Serbia</t>
  </si>
  <si>
    <t>RS</t>
  </si>
  <si>
    <t>KY</t>
  </si>
  <si>
    <t>Tajikistan</t>
  </si>
  <si>
    <t>Saint Lucia</t>
  </si>
  <si>
    <t>LC</t>
  </si>
  <si>
    <t>PN</t>
  </si>
  <si>
    <t>Turkmenistan</t>
  </si>
  <si>
    <t>Saint Vincent and the Grenadines</t>
  </si>
  <si>
    <t>VC</t>
  </si>
  <si>
    <t>PX</t>
  </si>
  <si>
    <t>Saint Kitts and Nevis</t>
  </si>
  <si>
    <t>SV</t>
  </si>
  <si>
    <t>Saint Helena</t>
  </si>
  <si>
    <t>SH</t>
  </si>
  <si>
    <t>B6</t>
    <phoneticPr fontId="4" type="noConversion"/>
  </si>
  <si>
    <t>SO</t>
  </si>
  <si>
    <t>RJ</t>
    <phoneticPr fontId="4" type="noConversion"/>
  </si>
  <si>
    <t>Solomon Islands</t>
  </si>
  <si>
    <t>HR</t>
    <phoneticPr fontId="4" type="noConversion"/>
  </si>
  <si>
    <t>SD</t>
  </si>
  <si>
    <t>K6</t>
    <phoneticPr fontId="4" type="noConversion"/>
  </si>
  <si>
    <t>Suriname</t>
  </si>
  <si>
    <t>SR</t>
  </si>
  <si>
    <t>K7</t>
  </si>
  <si>
    <t>K7</t>
    <phoneticPr fontId="4" type="noConversion"/>
  </si>
  <si>
    <t>LK</t>
  </si>
  <si>
    <t>6E</t>
    <phoneticPr fontId="4" type="noConversion"/>
  </si>
  <si>
    <t>Svalbard and Jan Mayen</t>
  </si>
  <si>
    <t>SJ</t>
  </si>
  <si>
    <t>IZ</t>
    <phoneticPr fontId="4" type="noConversion"/>
  </si>
  <si>
    <t>Australasia</t>
  </si>
  <si>
    <t>American Samoa</t>
  </si>
  <si>
    <t>OCN</t>
    <phoneticPr fontId="3" type="noConversion"/>
  </si>
  <si>
    <t>Sweden</t>
  </si>
  <si>
    <t>SE</t>
  </si>
  <si>
    <t>WE</t>
    <phoneticPr fontId="4" type="noConversion"/>
  </si>
  <si>
    <t>Switzerland</t>
  </si>
  <si>
    <t>CH</t>
  </si>
  <si>
    <t>Tuvalu</t>
  </si>
  <si>
    <t>Spain</t>
  </si>
  <si>
    <t>ES</t>
  </si>
  <si>
    <t>Slovakia</t>
  </si>
  <si>
    <t>Australia</t>
  </si>
  <si>
    <t>Slovenia</t>
  </si>
  <si>
    <t>SI</t>
  </si>
  <si>
    <t>Syria</t>
  </si>
  <si>
    <t>SY</t>
  </si>
  <si>
    <t>Fiji</t>
  </si>
  <si>
    <t>Sint Maarten</t>
  </si>
  <si>
    <t>SX</t>
  </si>
  <si>
    <t>French Polynesia</t>
  </si>
  <si>
    <t>SG</t>
  </si>
  <si>
    <t>United Arab Emirates</t>
  </si>
  <si>
    <t>AE</t>
  </si>
  <si>
    <t>Micronesia, Federated States of</t>
  </si>
  <si>
    <t>Aruba</t>
  </si>
  <si>
    <t>AW</t>
  </si>
  <si>
    <t>Samoa</t>
    <phoneticPr fontId="4" type="noConversion"/>
  </si>
  <si>
    <t>Armenia</t>
  </si>
  <si>
    <t>Tonga</t>
  </si>
  <si>
    <t>Argentina</t>
  </si>
  <si>
    <t>AR</t>
  </si>
  <si>
    <t>Papua New Guinea</t>
  </si>
  <si>
    <t>Cook Islands</t>
  </si>
  <si>
    <t>Iceland</t>
  </si>
  <si>
    <t>IS</t>
  </si>
  <si>
    <t>Kiribati</t>
  </si>
  <si>
    <t>Haiti</t>
  </si>
  <si>
    <t>HT</t>
  </si>
  <si>
    <t>Ireland</t>
  </si>
  <si>
    <t>IE</t>
  </si>
  <si>
    <t>Afghanistan</t>
  </si>
  <si>
    <t>AF</t>
  </si>
  <si>
    <t>BX</t>
  </si>
  <si>
    <t>Andorra</t>
  </si>
  <si>
    <t>AD</t>
  </si>
  <si>
    <t>Albania</t>
  </si>
  <si>
    <t>AL</t>
  </si>
  <si>
    <t>DZ</t>
  </si>
  <si>
    <t>AO</t>
  </si>
  <si>
    <t>Antigua and Barbuda</t>
  </si>
  <si>
    <t>AG</t>
  </si>
  <si>
    <t>Anguilla</t>
  </si>
  <si>
    <t>Eritrea</t>
  </si>
  <si>
    <t>ER</t>
  </si>
  <si>
    <t>SZ</t>
  </si>
  <si>
    <t>Estonia</t>
  </si>
  <si>
    <t>EE</t>
  </si>
  <si>
    <t>Ecuador</t>
  </si>
  <si>
    <t>EC</t>
  </si>
  <si>
    <t>El Salvador</t>
  </si>
  <si>
    <t>Caribbean</t>
  </si>
  <si>
    <t>AME</t>
    <phoneticPr fontId="3" type="noConversion"/>
  </si>
  <si>
    <t>United Kingdom</t>
  </si>
  <si>
    <t>GB</t>
  </si>
  <si>
    <t>Cuba</t>
  </si>
  <si>
    <t>British Virgin Islands</t>
  </si>
  <si>
    <t>VG</t>
  </si>
  <si>
    <t>Palau</t>
  </si>
  <si>
    <t>British Indian Ocean Territory</t>
  </si>
  <si>
    <t>IO</t>
  </si>
  <si>
    <t>Yemen</t>
  </si>
  <si>
    <t>YE</t>
  </si>
  <si>
    <t>Oman</t>
  </si>
  <si>
    <t>AU</t>
  </si>
  <si>
    <t>Austria</t>
  </si>
  <si>
    <t>AT</t>
  </si>
  <si>
    <t>Cayman Islands</t>
  </si>
  <si>
    <t>Honduras</t>
  </si>
  <si>
    <t>HN</t>
  </si>
  <si>
    <t>Aland Islands</t>
  </si>
  <si>
    <t>AX</t>
  </si>
  <si>
    <t>Jamaica</t>
  </si>
  <si>
    <t>Wallis and Futuna</t>
  </si>
  <si>
    <t>WF</t>
  </si>
  <si>
    <t>Jordan</t>
  </si>
  <si>
    <t>JO</t>
  </si>
  <si>
    <t>Saint Vincent and Grenadines</t>
  </si>
  <si>
    <t>UG</t>
  </si>
  <si>
    <t>Uruguay</t>
  </si>
  <si>
    <t>UY</t>
  </si>
  <si>
    <t>UZ</t>
  </si>
  <si>
    <t>Virgin Islands, US</t>
  </si>
  <si>
    <t>Ukraine</t>
  </si>
  <si>
    <t>Saint Maarten</t>
  </si>
  <si>
    <t>Iraq</t>
  </si>
  <si>
    <t>IQ</t>
  </si>
  <si>
    <t>Trinidad and Tobago</t>
  </si>
  <si>
    <t>Iran</t>
  </si>
  <si>
    <t>IR</t>
  </si>
  <si>
    <t>Israel</t>
  </si>
  <si>
    <t>IL</t>
  </si>
  <si>
    <t>EG</t>
  </si>
  <si>
    <t>Italy</t>
  </si>
  <si>
    <t>IT</t>
  </si>
  <si>
    <t>IN</t>
  </si>
  <si>
    <t>ID</t>
  </si>
  <si>
    <t>JP</t>
  </si>
  <si>
    <t>JM</t>
  </si>
  <si>
    <t>Saint Barthélemy</t>
  </si>
  <si>
    <t>ZM</t>
  </si>
  <si>
    <t>Curaçao</t>
  </si>
  <si>
    <t>Jersey</t>
  </si>
  <si>
    <t>JE</t>
  </si>
  <si>
    <t>Bonaire, Saba, St. Eustatius</t>
  </si>
  <si>
    <t>GQ</t>
  </si>
  <si>
    <t>North Korea</t>
  </si>
  <si>
    <t>KP</t>
  </si>
  <si>
    <t>Georgia</t>
  </si>
  <si>
    <t>GE</t>
  </si>
  <si>
    <t>CN</t>
  </si>
  <si>
    <t>CF</t>
  </si>
  <si>
    <t>Central America</t>
  </si>
  <si>
    <t>Turks and Caicos Islands</t>
  </si>
  <si>
    <t>Taiwan</t>
  </si>
  <si>
    <t>DJ</t>
  </si>
  <si>
    <t>Costa Rica</t>
  </si>
  <si>
    <t>Gibraltar</t>
  </si>
  <si>
    <t>GI</t>
  </si>
  <si>
    <t>ZW</t>
  </si>
  <si>
    <t>TD</t>
  </si>
  <si>
    <t>Czech Republic</t>
  </si>
  <si>
    <t>Panama</t>
  </si>
  <si>
    <t>Chile</t>
  </si>
  <si>
    <t>CL</t>
  </si>
  <si>
    <t>CM</t>
  </si>
  <si>
    <t>Cabo Verde</t>
  </si>
  <si>
    <t>CV</t>
  </si>
  <si>
    <t>KZ</t>
  </si>
  <si>
    <t>North America</t>
  </si>
  <si>
    <t>Qatar</t>
  </si>
  <si>
    <t>QA</t>
  </si>
  <si>
    <t>Canada</t>
  </si>
  <si>
    <t>KH</t>
  </si>
  <si>
    <t>South America</t>
  </si>
  <si>
    <t>KM</t>
  </si>
  <si>
    <t>Colombia</t>
  </si>
  <si>
    <t>CR</t>
  </si>
  <si>
    <t>Paraguay</t>
  </si>
  <si>
    <t>Cocos Islands</t>
  </si>
  <si>
    <t>CC</t>
  </si>
  <si>
    <t>Peru</t>
  </si>
  <si>
    <t>Cote d'Ivoire</t>
  </si>
  <si>
    <t>CO</t>
  </si>
  <si>
    <t>Puerto Rico</t>
  </si>
  <si>
    <t>CG</t>
  </si>
  <si>
    <t>Democratic Republic of Congo</t>
  </si>
  <si>
    <t>CD</t>
  </si>
  <si>
    <t>CU</t>
  </si>
  <si>
    <t>Kuwait</t>
  </si>
  <si>
    <t>KW</t>
  </si>
  <si>
    <t>CK</t>
  </si>
  <si>
    <t>Curacao</t>
  </si>
  <si>
    <t>CW</t>
  </si>
  <si>
    <t>Croatia</t>
  </si>
  <si>
    <t>HR</t>
  </si>
  <si>
    <t>Christmas Island</t>
  </si>
  <si>
    <t>KG</t>
  </si>
  <si>
    <t>KI</t>
  </si>
  <si>
    <t>Cyprus</t>
  </si>
  <si>
    <t>CY</t>
  </si>
  <si>
    <t>TJ</t>
  </si>
  <si>
    <t>TZ</t>
  </si>
  <si>
    <t>TH</t>
  </si>
  <si>
    <t>TC</t>
  </si>
  <si>
    <t>Turkey</t>
  </si>
  <si>
    <t>Tokelau</t>
  </si>
  <si>
    <t>TO</t>
  </si>
  <si>
    <t>TM</t>
  </si>
  <si>
    <t>TV</t>
  </si>
  <si>
    <t>TT</t>
  </si>
  <si>
    <t>PA</t>
  </si>
  <si>
    <t>PK</t>
  </si>
  <si>
    <t>PW</t>
  </si>
  <si>
    <t>Palestine</t>
  </si>
  <si>
    <t>PS</t>
  </si>
  <si>
    <t>Faroe Islands</t>
  </si>
  <si>
    <t>FO</t>
  </si>
  <si>
    <t>PE</t>
  </si>
  <si>
    <t>Portugal</t>
  </si>
  <si>
    <t>PT</t>
  </si>
  <si>
    <t>Falkland Islands</t>
  </si>
  <si>
    <t>FK</t>
  </si>
  <si>
    <t>Poland</t>
  </si>
  <si>
    <t>PL</t>
  </si>
  <si>
    <t>France</t>
  </si>
  <si>
    <t>French Guiana</t>
  </si>
  <si>
    <t>GF</t>
  </si>
  <si>
    <t>French Southern Territories</t>
  </si>
  <si>
    <t>TF</t>
  </si>
  <si>
    <t>PF</t>
  </si>
  <si>
    <t>Finland</t>
  </si>
  <si>
    <t>FI</t>
  </si>
  <si>
    <t>PH</t>
  </si>
  <si>
    <t>Pitcairn Islands</t>
  </si>
  <si>
    <t>Heard Island and McDonald Islands</t>
  </si>
  <si>
    <t>HM</t>
  </si>
  <si>
    <t>Hungary</t>
  </si>
  <si>
    <t>Hong Kong</t>
  </si>
  <si>
    <t>HK</t>
  </si>
  <si>
    <t>TW</t>
    <phoneticPr fontId="3" type="noConversion"/>
  </si>
  <si>
    <t>HK</t>
    <phoneticPr fontId="4" type="noConversion"/>
  </si>
  <si>
    <t>Middle East</t>
  </si>
  <si>
    <t>CN</t>
    <phoneticPr fontId="4" type="noConversion"/>
  </si>
  <si>
    <t>MO</t>
    <phoneticPr fontId="4" type="noConversion"/>
  </si>
  <si>
    <t>RU</t>
    <phoneticPr fontId="4" type="noConversion"/>
  </si>
  <si>
    <t>EUR</t>
    <phoneticPr fontId="3" type="noConversion"/>
  </si>
  <si>
    <t>Czechia</t>
  </si>
  <si>
    <t>GH</t>
    <phoneticPr fontId="4" type="noConversion"/>
  </si>
  <si>
    <t>FM</t>
    <phoneticPr fontId="4" type="noConversion"/>
  </si>
  <si>
    <t>TZ</t>
    <phoneticPr fontId="4" type="noConversion"/>
  </si>
  <si>
    <t>Moldova, Republic of</t>
  </si>
  <si>
    <t>MD</t>
    <phoneticPr fontId="4" type="noConversion"/>
  </si>
  <si>
    <t>Syrian Arab Republic</t>
  </si>
  <si>
    <t>Iran, Islamic Republic of</t>
  </si>
  <si>
    <t>Europe</t>
  </si>
  <si>
    <t>Poland</t>
    <phoneticPr fontId="4" type="noConversion"/>
  </si>
  <si>
    <t>Cyprus</t>
    <phoneticPr fontId="4" type="noConversion"/>
  </si>
  <si>
    <t>North Macedonia</t>
  </si>
  <si>
    <t>Svalbard and Jan Mayen Islands</t>
  </si>
  <si>
    <t>Åland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</si>
</sst>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2"/>
      <color rgb="FF202122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8F9FA"/>
        <bgColor indexed="64"/>
      </patternFill>
    </fill>
  </fills>
  <borders count="6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CCCCCC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CCCCCC"/>
      </top>
      <bottom style="medium">
        <color rgb="FFA2A9B1"/>
      </bottom>
      <diagonal/>
    </border>
    <border>
      <left style="medium">
        <color rgb="FFCCCCCC"/>
      </left>
      <right style="medium">
        <color rgb="FFA2A9B1"/>
      </right>
      <top style="medium">
        <color rgb="FFCCCCCC"/>
      </top>
      <bottom style="medium">
        <color rgb="FFA2A9B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1" applyAlignment="1">
      <alignment horizontal="center" vertical="center"/>
    </xf>
    <xf numFmtId="0" fontId="2" fillId="0" borderId="0" xfId="1">
      <alignment vertical="center"/>
    </xf>
    <xf numFmtId="0" fontId="2" fillId="2" borderId="0" xfId="1" applyFill="1">
      <alignment vertical="center"/>
    </xf>
    <xf numFmtId="0" fontId="2" fillId="2" borderId="0" xfId="1" applyFill="1" applyAlignment="1">
      <alignment horizontal="center" vertical="center"/>
    </xf>
    <xf numFmtId="49" fontId="2" fillId="0" borderId="0" xfId="1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1" applyAlignment="1">
      <alignment horizontal="left" vertical="center"/>
    </xf>
    <xf numFmtId="0" fontId="1" fillId="0" borderId="0" xfId="1" applyFont="1" applyAlignment="1">
      <alignment horizontal="center" vertical="center"/>
    </xf>
    <xf numFmtId="49" fontId="1" fillId="0" borderId="0" xfId="1" applyNumberFormat="1" applyFont="1" applyAlignment="1">
      <alignment horizontal="center" vertical="center"/>
    </xf>
    <xf numFmtId="0" fontId="1" fillId="3" borderId="0" xfId="1" applyFont="1" applyFill="1" applyAlignment="1">
      <alignment horizontal="center" vertical="center"/>
    </xf>
    <xf numFmtId="0" fontId="6" fillId="4" borderId="1" xfId="0" applyFont="1" applyFill="1" applyBorder="1" applyAlignment="1">
      <alignment wrapText="1"/>
    </xf>
    <xf numFmtId="0" fontId="6" fillId="4" borderId="2" xfId="0" applyFont="1" applyFill="1" applyBorder="1" applyAlignment="1">
      <alignment wrapText="1"/>
    </xf>
    <xf numFmtId="49" fontId="0" fillId="0" borderId="0" xfId="0" applyNumberFormat="1" applyAlignment="1">
      <alignment horizontal="center" vertical="center"/>
    </xf>
    <xf numFmtId="0" fontId="6" fillId="4" borderId="3" xfId="0" applyFont="1" applyFill="1" applyBorder="1" applyAlignment="1">
      <alignment wrapText="1"/>
    </xf>
    <xf numFmtId="0" fontId="6" fillId="4" borderId="4" xfId="0" applyFont="1" applyFill="1" applyBorder="1" applyAlignment="1">
      <alignment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5" xfId="0" applyFont="1" applyBorder="1" applyAlignment="1">
      <alignment wrapText="1"/>
    </xf>
    <xf numFmtId="17" fontId="2" fillId="0" borderId="0" xfId="1" applyNumberFormat="1" applyAlignment="1">
      <alignment horizontal="center" vertical="center"/>
    </xf>
    <xf numFmtId="0" fontId="9" fillId="0" borderId="0" xfId="0" applyFont="1">
      <alignment vertical="center"/>
    </xf>
    <xf numFmtId="0" fontId="7" fillId="0" borderId="5" xfId="0" applyFont="1" applyBorder="1" applyAlignment="1">
      <alignment wrapText="1"/>
    </xf>
    <xf numFmtId="0" fontId="7" fillId="0" borderId="5" xfId="0" applyFont="1" applyBorder="1">
      <alignment vertical="center"/>
    </xf>
    <xf numFmtId="0" fontId="10" fillId="0" borderId="0" xfId="1" applyFont="1" applyAlignment="1">
      <alignment horizontal="left" vertical="center"/>
    </xf>
    <xf numFmtId="0" fontId="5" fillId="0" borderId="0" xfId="2">
      <alignment vertical="center"/>
    </xf>
    <xf numFmtId="0" fontId="6" fillId="0" borderId="0" xfId="0" applyFont="1">
      <alignment vertical="center"/>
    </xf>
    <xf numFmtId="0" fontId="1" fillId="0" borderId="0" xfId="1" applyFont="1" applyAlignment="1">
      <alignment horizontal="left" vertical="center"/>
    </xf>
  </cellXfs>
  <cellStyles count="3">
    <cellStyle name="표준" xfId="0" builtinId="0"/>
    <cellStyle name="표준 2" xfId="1" xr:uid="{0E106538-837C-476B-97D7-62AA5CA6727D}"/>
    <cellStyle name="표준 53" xfId="2" xr:uid="{FD22D6BA-6C04-4FC3-855E-531EA3827C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테마1">
  <a:themeElements>
    <a:clrScheme name="자연주의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자연주의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3112E-599A-4F64-970F-A22B6AC8F2D7}">
  <sheetPr codeName="Sheet6">
    <tabColor theme="9" tint="0.59999389629810485"/>
  </sheetPr>
  <dimension ref="A1:BB1466"/>
  <sheetViews>
    <sheetView showGridLines="0" tabSelected="1" topLeftCell="M1" zoomScale="70" zoomScaleNormal="70" workbookViewId="0">
      <pane ySplit="1" topLeftCell="A2" activePane="bottomLeft" state="frozen"/>
      <selection activeCell="C4" sqref="C4:C6"/>
      <selection pane="bottomLeft" activeCell="AH1" sqref="AH1:AH1048576"/>
    </sheetView>
  </sheetViews>
  <sheetFormatPr defaultColWidth="9" defaultRowHeight="17" x14ac:dyDescent="0.45"/>
  <cols>
    <col min="1" max="2" width="9.58203125" style="1" customWidth="1"/>
    <col min="3" max="3" width="13.75" style="1" customWidth="1"/>
    <col min="4" max="5" width="9" style="1" customWidth="1"/>
    <col min="6" max="6" width="20.08203125" style="1" customWidth="1"/>
    <col min="7" max="7" width="12.83203125" style="1" customWidth="1"/>
    <col min="8" max="10" width="30.83203125" style="1" customWidth="1"/>
    <col min="11" max="35" width="9" style="1"/>
    <col min="36" max="36" width="9.83203125" customWidth="1"/>
    <col min="37" max="44" width="9" style="1"/>
    <col min="45" max="45" width="19.83203125" style="1" customWidth="1"/>
    <col min="46" max="16384" width="9" style="1"/>
  </cols>
  <sheetData>
    <row r="1" spans="1:54" ht="17.5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X1" s="2"/>
      <c r="Y1" s="2"/>
      <c r="Z1" s="3" t="s">
        <v>17</v>
      </c>
      <c r="AA1" s="3" t="s">
        <v>18</v>
      </c>
      <c r="AB1" s="4" t="s">
        <v>19</v>
      </c>
      <c r="AH1" s="4" t="s">
        <v>20</v>
      </c>
      <c r="AI1" s="4" t="s">
        <v>21</v>
      </c>
      <c r="AJ1" s="1"/>
      <c r="AM1" s="1" t="s">
        <v>22</v>
      </c>
      <c r="AP1" s="1" t="s">
        <v>23</v>
      </c>
      <c r="AQ1" s="1" t="s">
        <v>24</v>
      </c>
      <c r="AS1" s="1" t="s">
        <v>25</v>
      </c>
      <c r="AT1" s="1" t="s">
        <v>26</v>
      </c>
      <c r="AX1" s="5" t="s">
        <v>27</v>
      </c>
      <c r="AY1" s="1" t="s">
        <v>28</v>
      </c>
      <c r="BA1" s="1" t="str">
        <f>TEXT(AX1,"0")</f>
        <v>항공사</v>
      </c>
      <c r="BB1" s="1" t="str">
        <f t="shared" ref="BB1:BB64" si="0">TEXT(AY1,"0")</f>
        <v>구분</v>
      </c>
    </row>
    <row r="2" spans="1:54" ht="17.5" thickBot="1" x14ac:dyDescent="0.4">
      <c r="A2" s="6">
        <f t="shared" ref="A2:A65" si="1">YEAR(C2)</f>
        <v>2022</v>
      </c>
      <c r="B2" s="6">
        <f t="shared" ref="B2:B65" si="2">MONTH(C2)</f>
        <v>1</v>
      </c>
      <c r="C2" s="7">
        <v>44564</v>
      </c>
      <c r="D2" s="6">
        <f t="shared" ref="D2:D65" si="3">WEEKDAY(C2,2)</f>
        <v>1</v>
      </c>
      <c r="E2" s="6">
        <f t="shared" ref="E2:E65" si="4">WEEKNUM(C2,2)</f>
        <v>2</v>
      </c>
      <c r="F2" s="6">
        <f t="shared" ref="F2:F65" si="5">WEEKNUM(DATE(YEAR(C2),1,DAY(C2-WEEKDAY(C2,2)+1)),WEEKDAY(DATE(YEAR(C2),1,1),11)+10)</f>
        <v>1</v>
      </c>
      <c r="G2" s="6" t="str">
        <f t="shared" ref="G2:G65" si="6">IF(LEN(B2)=1,_xlfn.CONCAT(0,B2),B2)</f>
        <v>01</v>
      </c>
      <c r="H2" s="6" t="str">
        <f t="shared" ref="H2:H65" si="7">G2&amp;"월 "&amp;F2&amp;"주차"</f>
        <v>01월 1주차</v>
      </c>
      <c r="I2" s="6" t="str">
        <f>H2&amp;" ("&amp;TEXT(C2,"m/dd")&amp;"~"&amp;TEXT(C8,"m/dd")&amp;")"</f>
        <v>01월 1주차 (1/03~1/09)</v>
      </c>
      <c r="J2" s="6" t="str">
        <f>A2&amp;"년 "&amp;WEEKNUM(C2,2)&amp;"주차"&amp;" ("&amp;TEXT(C2,"m/dd")&amp;"~"&amp;TEXT(C8,"m/dd")&amp;")"</f>
        <v>2022년 2주차 (1/03~1/09)</v>
      </c>
      <c r="K2" s="6">
        <f>YEAR(C2)</f>
        <v>2022</v>
      </c>
      <c r="L2" s="6">
        <f>WEEKNUM(C2,2)</f>
        <v>2</v>
      </c>
      <c r="O2" s="1" t="str">
        <f>P2&amp;R2</f>
        <v>KEP</v>
      </c>
      <c r="P2" s="1" t="s">
        <v>29</v>
      </c>
      <c r="Q2" s="1" t="s">
        <v>30</v>
      </c>
      <c r="R2" s="1" t="s">
        <v>31</v>
      </c>
      <c r="S2" s="1">
        <v>11</v>
      </c>
      <c r="X2" s="2"/>
      <c r="Y2" s="2"/>
      <c r="Z2" s="8" t="s">
        <v>32</v>
      </c>
      <c r="AA2" s="8" t="s">
        <v>33</v>
      </c>
      <c r="AB2" s="1" t="s">
        <v>34</v>
      </c>
      <c r="AH2" s="1" t="s">
        <v>35</v>
      </c>
      <c r="AI2" s="1" t="s">
        <v>36</v>
      </c>
      <c r="AJ2" s="6"/>
      <c r="AM2" s="9" t="s">
        <v>37</v>
      </c>
      <c r="AP2" s="10" t="s">
        <v>38</v>
      </c>
      <c r="AQ2" s="11" t="s">
        <v>39</v>
      </c>
      <c r="AS2" s="12" t="s">
        <v>40</v>
      </c>
      <c r="AT2" s="13" t="s">
        <v>41</v>
      </c>
      <c r="AX2" s="14" t="s">
        <v>42</v>
      </c>
      <c r="AY2" s="9" t="s">
        <v>43</v>
      </c>
      <c r="BA2" s="1" t="str">
        <f t="shared" ref="BA2:BB65" si="8">TEXT(AX2,"0")</f>
        <v>HO</v>
      </c>
      <c r="BB2" s="1" t="str">
        <f t="shared" si="0"/>
        <v>중국계</v>
      </c>
    </row>
    <row r="3" spans="1:54" ht="17.5" thickBot="1" x14ac:dyDescent="0.4">
      <c r="A3" s="6">
        <f t="shared" si="1"/>
        <v>2022</v>
      </c>
      <c r="B3" s="6">
        <f t="shared" si="2"/>
        <v>1</v>
      </c>
      <c r="C3" s="7">
        <v>44565</v>
      </c>
      <c r="D3" s="6">
        <f t="shared" si="3"/>
        <v>2</v>
      </c>
      <c r="E3" s="6">
        <f t="shared" si="4"/>
        <v>2</v>
      </c>
      <c r="F3" s="6">
        <f t="shared" si="5"/>
        <v>1</v>
      </c>
      <c r="G3" s="6" t="str">
        <f t="shared" si="6"/>
        <v>01</v>
      </c>
      <c r="H3" s="6" t="str">
        <f t="shared" si="7"/>
        <v>01월 1주차</v>
      </c>
      <c r="I3" s="6" t="str">
        <f>H3&amp;" ("&amp;TEXT(C2,"m/dd")&amp;"~"&amp;TEXT(C8,"m/dd")&amp;")"</f>
        <v>01월 1주차 (1/03~1/09)</v>
      </c>
      <c r="J3" s="6" t="str">
        <f>A2&amp;"년 "&amp;WEEKNUM(C2,2)&amp;"주차"&amp;" ("&amp;TEXT(C2,"m/dd")&amp;"~"&amp;TEXT(C8,"m/dd")&amp;")"</f>
        <v>2022년 2주차 (1/03~1/09)</v>
      </c>
      <c r="K3" s="6">
        <f>YEAR(C2)</f>
        <v>2022</v>
      </c>
      <c r="L3" s="6">
        <f>WEEKNUM(C2,2)</f>
        <v>2</v>
      </c>
      <c r="O3" s="1" t="str">
        <f t="shared" ref="O3:O66" si="9">P3&amp;R3</f>
        <v>KEF</v>
      </c>
      <c r="P3" s="1" t="s">
        <v>29</v>
      </c>
      <c r="Q3" s="1" t="s">
        <v>30</v>
      </c>
      <c r="R3" s="1" t="s">
        <v>44</v>
      </c>
      <c r="S3" s="1">
        <v>12</v>
      </c>
      <c r="X3" s="2"/>
      <c r="Y3" s="2"/>
      <c r="Z3" s="2"/>
      <c r="AA3" s="8" t="s">
        <v>45</v>
      </c>
      <c r="AB3" s="1" t="s">
        <v>34</v>
      </c>
      <c r="AH3" s="1" t="s">
        <v>46</v>
      </c>
      <c r="AI3" s="1" t="s">
        <v>36</v>
      </c>
      <c r="AJ3" s="6"/>
      <c r="AM3" s="9" t="s">
        <v>47</v>
      </c>
      <c r="AP3" s="10" t="s">
        <v>48</v>
      </c>
      <c r="AQ3" s="11" t="s">
        <v>39</v>
      </c>
      <c r="AS3" s="15" t="s">
        <v>49</v>
      </c>
      <c r="AT3" s="16" t="s">
        <v>50</v>
      </c>
      <c r="AX3" s="14" t="s">
        <v>51</v>
      </c>
      <c r="AY3" s="9" t="s">
        <v>43</v>
      </c>
      <c r="BA3" s="1" t="str">
        <f t="shared" si="8"/>
        <v>CX</v>
      </c>
      <c r="BB3" s="1" t="str">
        <f t="shared" si="0"/>
        <v>중국계</v>
      </c>
    </row>
    <row r="4" spans="1:54" ht="17.5" thickBot="1" x14ac:dyDescent="0.4">
      <c r="A4" s="6">
        <f t="shared" si="1"/>
        <v>2022</v>
      </c>
      <c r="B4" s="6">
        <f t="shared" si="2"/>
        <v>1</v>
      </c>
      <c r="C4" s="7">
        <v>44566</v>
      </c>
      <c r="D4" s="6">
        <f t="shared" si="3"/>
        <v>3</v>
      </c>
      <c r="E4" s="6">
        <f t="shared" si="4"/>
        <v>2</v>
      </c>
      <c r="F4" s="6">
        <f t="shared" si="5"/>
        <v>1</v>
      </c>
      <c r="G4" s="6" t="str">
        <f t="shared" si="6"/>
        <v>01</v>
      </c>
      <c r="H4" s="6" t="str">
        <f t="shared" si="7"/>
        <v>01월 1주차</v>
      </c>
      <c r="I4" s="6" t="str">
        <f>H4&amp;" ("&amp;TEXT(C2,"m/dd")&amp;"~"&amp;TEXT(C8,"m/dd")&amp;")"</f>
        <v>01월 1주차 (1/03~1/09)</v>
      </c>
      <c r="J4" s="6" t="str">
        <f>A2&amp;"년 "&amp;WEEKNUM(C2,2)&amp;"주차"&amp;" ("&amp;TEXT(C2,"m/dd")&amp;"~"&amp;TEXT(C8,"m/dd")&amp;")"</f>
        <v>2022년 2주차 (1/03~1/09)</v>
      </c>
      <c r="K4" s="6">
        <f>YEAR(C2)</f>
        <v>2022</v>
      </c>
      <c r="L4" s="6">
        <f>WEEKNUM(C2,2)</f>
        <v>2</v>
      </c>
      <c r="O4" s="1" t="str">
        <f t="shared" si="9"/>
        <v>KEA</v>
      </c>
      <c r="P4" s="1" t="s">
        <v>29</v>
      </c>
      <c r="Q4" s="1" t="s">
        <v>30</v>
      </c>
      <c r="R4" s="1" t="s">
        <v>52</v>
      </c>
      <c r="S4" s="1">
        <v>13</v>
      </c>
      <c r="X4" s="2"/>
      <c r="Y4" s="2"/>
      <c r="Z4" s="2"/>
      <c r="AA4" s="8" t="s">
        <v>53</v>
      </c>
      <c r="AB4" s="1" t="s">
        <v>34</v>
      </c>
      <c r="AH4" s="1" t="s">
        <v>54</v>
      </c>
      <c r="AI4" s="1" t="s">
        <v>36</v>
      </c>
      <c r="AJ4" s="6"/>
      <c r="AM4" s="9" t="s">
        <v>55</v>
      </c>
      <c r="AP4" s="10" t="s">
        <v>56</v>
      </c>
      <c r="AQ4" s="11" t="s">
        <v>39</v>
      </c>
      <c r="AS4" s="15" t="s">
        <v>57</v>
      </c>
      <c r="AT4" s="16" t="s">
        <v>58</v>
      </c>
      <c r="AX4" s="14" t="s">
        <v>59</v>
      </c>
      <c r="AY4" s="9" t="s">
        <v>43</v>
      </c>
      <c r="BA4" s="1" t="str">
        <f t="shared" si="8"/>
        <v>CA</v>
      </c>
      <c r="BB4" s="1" t="str">
        <f t="shared" si="0"/>
        <v>중국계</v>
      </c>
    </row>
    <row r="5" spans="1:54" ht="17.5" thickBot="1" x14ac:dyDescent="0.4">
      <c r="A5" s="6">
        <f t="shared" si="1"/>
        <v>2022</v>
      </c>
      <c r="B5" s="6">
        <f t="shared" si="2"/>
        <v>1</v>
      </c>
      <c r="C5" s="7">
        <v>44567</v>
      </c>
      <c r="D5" s="6">
        <f t="shared" si="3"/>
        <v>4</v>
      </c>
      <c r="E5" s="6">
        <f t="shared" si="4"/>
        <v>2</v>
      </c>
      <c r="F5" s="6">
        <f t="shared" si="5"/>
        <v>1</v>
      </c>
      <c r="G5" s="6" t="str">
        <f t="shared" si="6"/>
        <v>01</v>
      </c>
      <c r="H5" s="6" t="str">
        <f t="shared" si="7"/>
        <v>01월 1주차</v>
      </c>
      <c r="I5" s="6" t="str">
        <f>H5&amp;" ("&amp;TEXT(C2,"m/dd")&amp;"~"&amp;TEXT(C8,"m/dd")&amp;")"</f>
        <v>01월 1주차 (1/03~1/09)</v>
      </c>
      <c r="J5" s="6" t="str">
        <f>A2&amp;"년 "&amp;WEEKNUM(C2,2)&amp;"주차"&amp;" ("&amp;TEXT(C2,"m/dd")&amp;"~"&amp;TEXT(C8,"m/dd")&amp;")"</f>
        <v>2022년 2주차 (1/03~1/09)</v>
      </c>
      <c r="K5" s="6">
        <f>YEAR(C2)</f>
        <v>2022</v>
      </c>
      <c r="L5" s="6">
        <f>WEEKNUM(C2,2)</f>
        <v>2</v>
      </c>
      <c r="O5" s="1" t="str">
        <f t="shared" si="9"/>
        <v>KEJ</v>
      </c>
      <c r="P5" s="1" t="s">
        <v>29</v>
      </c>
      <c r="Q5" s="1" t="s">
        <v>60</v>
      </c>
      <c r="R5" s="1" t="s">
        <v>61</v>
      </c>
      <c r="S5" s="1">
        <v>21</v>
      </c>
      <c r="X5" s="2"/>
      <c r="Y5" s="2"/>
      <c r="Z5" s="2"/>
      <c r="AA5" s="8" t="s">
        <v>62</v>
      </c>
      <c r="AB5" s="1" t="s">
        <v>34</v>
      </c>
      <c r="AH5" s="1" t="s">
        <v>63</v>
      </c>
      <c r="AI5" s="1" t="s">
        <v>36</v>
      </c>
      <c r="AJ5" s="6"/>
      <c r="AM5" s="9" t="s">
        <v>64</v>
      </c>
      <c r="AP5" s="10" t="s">
        <v>65</v>
      </c>
      <c r="AQ5" s="11" t="s">
        <v>39</v>
      </c>
      <c r="AS5" s="15" t="s">
        <v>66</v>
      </c>
      <c r="AT5" s="16" t="s">
        <v>67</v>
      </c>
      <c r="AX5" s="14" t="s">
        <v>68</v>
      </c>
      <c r="AY5" s="9" t="s">
        <v>69</v>
      </c>
      <c r="BA5" s="1" t="str">
        <f t="shared" si="8"/>
        <v>NH</v>
      </c>
      <c r="BB5" s="1" t="str">
        <f t="shared" si="0"/>
        <v>일본계</v>
      </c>
    </row>
    <row r="6" spans="1:54" ht="17.5" thickBot="1" x14ac:dyDescent="0.4">
      <c r="A6" s="6">
        <f t="shared" si="1"/>
        <v>2022</v>
      </c>
      <c r="B6" s="6">
        <f t="shared" si="2"/>
        <v>1</v>
      </c>
      <c r="C6" s="7">
        <v>44568</v>
      </c>
      <c r="D6" s="6">
        <f t="shared" si="3"/>
        <v>5</v>
      </c>
      <c r="E6" s="6">
        <f t="shared" si="4"/>
        <v>2</v>
      </c>
      <c r="F6" s="6">
        <f t="shared" si="5"/>
        <v>1</v>
      </c>
      <c r="G6" s="6" t="str">
        <f t="shared" si="6"/>
        <v>01</v>
      </c>
      <c r="H6" s="6" t="str">
        <f t="shared" si="7"/>
        <v>01월 1주차</v>
      </c>
      <c r="I6" s="6" t="str">
        <f>H6&amp;" ("&amp;TEXT(C2,"m/dd")&amp;"~"&amp;TEXT(C8,"m/dd")&amp;")"</f>
        <v>01월 1주차 (1/03~1/09)</v>
      </c>
      <c r="J6" s="6" t="str">
        <f>A2&amp;"년 "&amp;WEEKNUM(C2,2)&amp;"주차"&amp;" ("&amp;TEXT(C2,"m/dd")&amp;"~"&amp;TEXT(C8,"m/dd")&amp;")"</f>
        <v>2022년 2주차 (1/03~1/09)</v>
      </c>
      <c r="K6" s="6">
        <f>YEAR(C2)</f>
        <v>2022</v>
      </c>
      <c r="L6" s="6">
        <f>WEEKNUM(C2,2)</f>
        <v>2</v>
      </c>
      <c r="O6" s="1" t="str">
        <f t="shared" si="9"/>
        <v>KEC</v>
      </c>
      <c r="P6" s="1" t="s">
        <v>29</v>
      </c>
      <c r="Q6" s="1" t="s">
        <v>60</v>
      </c>
      <c r="R6" s="1" t="s">
        <v>70</v>
      </c>
      <c r="S6" s="1">
        <v>22</v>
      </c>
      <c r="X6" s="2"/>
      <c r="Y6" s="2"/>
      <c r="Z6" s="2"/>
      <c r="AA6" s="17" t="s">
        <v>71</v>
      </c>
      <c r="AB6" s="1" t="s">
        <v>34</v>
      </c>
      <c r="AH6" s="1" t="s">
        <v>72</v>
      </c>
      <c r="AI6" s="1" t="s">
        <v>36</v>
      </c>
      <c r="AJ6" s="6"/>
      <c r="AM6" s="9" t="s">
        <v>73</v>
      </c>
      <c r="AP6" s="10" t="s">
        <v>74</v>
      </c>
      <c r="AQ6" s="11" t="s">
        <v>39</v>
      </c>
      <c r="AS6" s="15" t="s">
        <v>75</v>
      </c>
      <c r="AT6" s="16" t="s">
        <v>76</v>
      </c>
      <c r="AX6" s="14" t="s">
        <v>77</v>
      </c>
      <c r="AY6" s="9" t="s">
        <v>43</v>
      </c>
      <c r="BA6" s="1" t="str">
        <f t="shared" si="8"/>
        <v>CI</v>
      </c>
      <c r="BB6" s="1" t="str">
        <f t="shared" si="0"/>
        <v>중국계</v>
      </c>
    </row>
    <row r="7" spans="1:54" ht="17.5" thickBot="1" x14ac:dyDescent="0.4">
      <c r="A7" s="6">
        <f t="shared" si="1"/>
        <v>2022</v>
      </c>
      <c r="B7" s="6">
        <f t="shared" si="2"/>
        <v>1</v>
      </c>
      <c r="C7" s="7">
        <v>44569</v>
      </c>
      <c r="D7" s="6">
        <f t="shared" si="3"/>
        <v>6</v>
      </c>
      <c r="E7" s="6">
        <f t="shared" si="4"/>
        <v>2</v>
      </c>
      <c r="F7" s="6">
        <f t="shared" si="5"/>
        <v>1</v>
      </c>
      <c r="G7" s="6" t="str">
        <f t="shared" si="6"/>
        <v>01</v>
      </c>
      <c r="H7" s="6" t="str">
        <f t="shared" si="7"/>
        <v>01월 1주차</v>
      </c>
      <c r="I7" s="6" t="str">
        <f>H7&amp;" ("&amp;TEXT(C2,"m/dd")&amp;"~"&amp;TEXT(C8,"m/dd")&amp;")"</f>
        <v>01월 1주차 (1/03~1/09)</v>
      </c>
      <c r="J7" s="6" t="str">
        <f>A2&amp;"년 "&amp;WEEKNUM(C2,2)&amp;"주차"&amp;" ("&amp;TEXT(C2,"m/dd")&amp;"~"&amp;TEXT(C8,"m/dd")&amp;")"</f>
        <v>2022년 2주차 (1/03~1/09)</v>
      </c>
      <c r="K7" s="6">
        <f>YEAR(C2)</f>
        <v>2022</v>
      </c>
      <c r="L7" s="6">
        <f>WEEKNUM(C2,2)</f>
        <v>2</v>
      </c>
      <c r="O7" s="1" t="str">
        <f t="shared" si="9"/>
        <v>KED</v>
      </c>
      <c r="P7" s="1" t="s">
        <v>29</v>
      </c>
      <c r="Q7" s="1" t="s">
        <v>60</v>
      </c>
      <c r="R7" s="1" t="s">
        <v>78</v>
      </c>
      <c r="S7" s="1">
        <v>23</v>
      </c>
      <c r="X7" s="2"/>
      <c r="Y7" s="2"/>
      <c r="Z7" s="2"/>
      <c r="AA7" s="17" t="s">
        <v>79</v>
      </c>
      <c r="AB7" s="1" t="s">
        <v>34</v>
      </c>
      <c r="AH7" s="1" t="s">
        <v>80</v>
      </c>
      <c r="AI7" s="1" t="s">
        <v>36</v>
      </c>
      <c r="AJ7" s="6"/>
      <c r="AM7" s="9" t="s">
        <v>81</v>
      </c>
      <c r="AP7" s="10" t="s">
        <v>82</v>
      </c>
      <c r="AQ7" s="11" t="s">
        <v>39</v>
      </c>
      <c r="AS7" s="15" t="s">
        <v>83</v>
      </c>
      <c r="AT7" s="16" t="s">
        <v>84</v>
      </c>
      <c r="AX7" s="14" t="s">
        <v>85</v>
      </c>
      <c r="AY7" s="9" t="s">
        <v>43</v>
      </c>
      <c r="BA7" s="1" t="str">
        <f t="shared" si="8"/>
        <v>MU</v>
      </c>
      <c r="BB7" s="1" t="str">
        <f t="shared" si="0"/>
        <v>중국계</v>
      </c>
    </row>
    <row r="8" spans="1:54" ht="17.5" thickBot="1" x14ac:dyDescent="0.4">
      <c r="A8" s="6">
        <f t="shared" si="1"/>
        <v>2022</v>
      </c>
      <c r="B8" s="6">
        <f t="shared" si="2"/>
        <v>1</v>
      </c>
      <c r="C8" s="7">
        <v>44570</v>
      </c>
      <c r="D8" s="6">
        <f t="shared" si="3"/>
        <v>7</v>
      </c>
      <c r="E8" s="6">
        <f t="shared" si="4"/>
        <v>2</v>
      </c>
      <c r="F8" s="6">
        <f t="shared" si="5"/>
        <v>1</v>
      </c>
      <c r="G8" s="6" t="str">
        <f t="shared" si="6"/>
        <v>01</v>
      </c>
      <c r="H8" s="6" t="str">
        <f t="shared" si="7"/>
        <v>01월 1주차</v>
      </c>
      <c r="I8" s="6" t="str">
        <f>H8&amp;" ("&amp;TEXT(C2,"m/dd")&amp;"~"&amp;TEXT(C8,"m/dd")&amp;")"</f>
        <v>01월 1주차 (1/03~1/09)</v>
      </c>
      <c r="J8" s="6" t="str">
        <f>A2&amp;"년 "&amp;WEEKNUM(C2,2)&amp;"주차"&amp;" ("&amp;TEXT(C2,"m/dd")&amp;"~"&amp;TEXT(C8,"m/dd")&amp;")"</f>
        <v>2022년 2주차 (1/03~1/09)</v>
      </c>
      <c r="K8" s="6">
        <f>YEAR(C2)</f>
        <v>2022</v>
      </c>
      <c r="L8" s="6">
        <f>WEEKNUM(C2,2)</f>
        <v>2</v>
      </c>
      <c r="O8" s="1" t="str">
        <f t="shared" si="9"/>
        <v>KEI</v>
      </c>
      <c r="P8" s="1" t="s">
        <v>29</v>
      </c>
      <c r="Q8" s="1" t="s">
        <v>60</v>
      </c>
      <c r="R8" s="1" t="s">
        <v>86</v>
      </c>
      <c r="S8" s="1">
        <v>24</v>
      </c>
      <c r="X8" s="2"/>
      <c r="Y8" s="2"/>
      <c r="Z8" s="2"/>
      <c r="AA8" s="17" t="s">
        <v>87</v>
      </c>
      <c r="AB8" s="1" t="s">
        <v>34</v>
      </c>
      <c r="AH8" s="1" t="s">
        <v>88</v>
      </c>
      <c r="AI8" s="1" t="s">
        <v>36</v>
      </c>
      <c r="AJ8" s="6"/>
      <c r="AM8" s="9" t="s">
        <v>89</v>
      </c>
      <c r="AP8" s="10" t="s">
        <v>90</v>
      </c>
      <c r="AQ8" s="11" t="s">
        <v>39</v>
      </c>
      <c r="AS8" s="15" t="s">
        <v>91</v>
      </c>
      <c r="AT8" s="16" t="s">
        <v>92</v>
      </c>
      <c r="AX8" s="14" t="s">
        <v>93</v>
      </c>
      <c r="AY8" s="9" t="s">
        <v>43</v>
      </c>
      <c r="AZ8" s="9" t="s">
        <v>94</v>
      </c>
      <c r="BA8" s="1" t="str">
        <f t="shared" si="8"/>
        <v>SC</v>
      </c>
      <c r="BB8" s="1" t="str">
        <f t="shared" si="0"/>
        <v>중국계</v>
      </c>
    </row>
    <row r="9" spans="1:54" ht="17.5" thickBot="1" x14ac:dyDescent="0.4">
      <c r="A9" s="6">
        <f t="shared" si="1"/>
        <v>2022</v>
      </c>
      <c r="B9" s="6">
        <f t="shared" si="2"/>
        <v>1</v>
      </c>
      <c r="C9" s="7">
        <v>44571</v>
      </c>
      <c r="D9" s="6">
        <f t="shared" si="3"/>
        <v>1</v>
      </c>
      <c r="E9" s="6">
        <f t="shared" si="4"/>
        <v>3</v>
      </c>
      <c r="F9" s="6">
        <f t="shared" si="5"/>
        <v>2</v>
      </c>
      <c r="G9" s="6" t="str">
        <f t="shared" si="6"/>
        <v>01</v>
      </c>
      <c r="H9" s="6" t="str">
        <f t="shared" si="7"/>
        <v>01월 2주차</v>
      </c>
      <c r="I9" s="6" t="str">
        <f>H9&amp;" ("&amp;TEXT(C9,"m/dd")&amp;"~"&amp;TEXT(C15,"m/dd")&amp;")"</f>
        <v>01월 2주차 (1/10~1/16)</v>
      </c>
      <c r="J9" s="6" t="str">
        <f>A9&amp;"년 "&amp;WEEKNUM(C9,2)&amp;"주차"&amp;" ("&amp;TEXT(C9,"m/dd")&amp;"~"&amp;TEXT(C15,"m/dd")&amp;")"</f>
        <v>2022년 3주차 (1/10~1/16)</v>
      </c>
      <c r="K9" s="6">
        <f>YEAR(C9)</f>
        <v>2022</v>
      </c>
      <c r="L9" s="6">
        <f>WEEKNUM(C9,2)</f>
        <v>3</v>
      </c>
      <c r="O9" s="1" t="str">
        <f t="shared" si="9"/>
        <v>KER</v>
      </c>
      <c r="P9" s="1" t="s">
        <v>29</v>
      </c>
      <c r="Q9" s="1" t="s">
        <v>60</v>
      </c>
      <c r="R9" s="1" t="s">
        <v>95</v>
      </c>
      <c r="S9" s="1">
        <v>25</v>
      </c>
      <c r="X9" s="2"/>
      <c r="Y9" s="2"/>
      <c r="Z9" s="2"/>
      <c r="AA9" s="17" t="s">
        <v>96</v>
      </c>
      <c r="AB9" s="1" t="s">
        <v>34</v>
      </c>
      <c r="AH9" s="1" t="s">
        <v>97</v>
      </c>
      <c r="AI9" s="1" t="s">
        <v>36</v>
      </c>
      <c r="AJ9" s="6"/>
      <c r="AM9" s="9" t="s">
        <v>98</v>
      </c>
      <c r="AP9" s="10" t="s">
        <v>99</v>
      </c>
      <c r="AQ9" s="11" t="s">
        <v>39</v>
      </c>
      <c r="AS9" s="15" t="s">
        <v>100</v>
      </c>
      <c r="AT9" s="16" t="s">
        <v>101</v>
      </c>
      <c r="AX9" s="14" t="s">
        <v>102</v>
      </c>
      <c r="AY9" s="9" t="s">
        <v>69</v>
      </c>
      <c r="AZ9" s="9" t="s">
        <v>103</v>
      </c>
      <c r="BA9" s="1" t="str">
        <f t="shared" si="8"/>
        <v>JL</v>
      </c>
      <c r="BB9" s="1" t="str">
        <f t="shared" si="0"/>
        <v>일본계</v>
      </c>
    </row>
    <row r="10" spans="1:54" ht="17.5" thickBot="1" x14ac:dyDescent="0.4">
      <c r="A10" s="6">
        <f t="shared" si="1"/>
        <v>2022</v>
      </c>
      <c r="B10" s="6">
        <f t="shared" si="2"/>
        <v>1</v>
      </c>
      <c r="C10" s="7">
        <v>44572</v>
      </c>
      <c r="D10" s="6">
        <f t="shared" si="3"/>
        <v>2</v>
      </c>
      <c r="E10" s="6">
        <f t="shared" si="4"/>
        <v>3</v>
      </c>
      <c r="F10" s="6">
        <f t="shared" si="5"/>
        <v>2</v>
      </c>
      <c r="G10" s="6" t="str">
        <f t="shared" si="6"/>
        <v>01</v>
      </c>
      <c r="H10" s="6" t="str">
        <f t="shared" si="7"/>
        <v>01월 2주차</v>
      </c>
      <c r="I10" s="6" t="str">
        <f>H10&amp;" ("&amp;TEXT(C9,"m/dd")&amp;"~"&amp;TEXT(C15,"m/dd")&amp;")"</f>
        <v>01월 2주차 (1/10~1/16)</v>
      </c>
      <c r="J10" s="6" t="str">
        <f>A9&amp;"년 "&amp;WEEKNUM(C9,2)&amp;"주차"&amp;" ("&amp;TEXT(C9,"m/dd")&amp;"~"&amp;TEXT(C15,"m/dd")&amp;")"</f>
        <v>2022년 3주차 (1/10~1/16)</v>
      </c>
      <c r="K10" s="6">
        <f>YEAR(C9)</f>
        <v>2022</v>
      </c>
      <c r="L10" s="6">
        <f>WEEKNUM(C9,2)</f>
        <v>3</v>
      </c>
      <c r="O10" s="1" t="str">
        <f t="shared" si="9"/>
        <v>KEZ</v>
      </c>
      <c r="P10" s="1" t="s">
        <v>29</v>
      </c>
      <c r="Q10" s="1" t="s">
        <v>60</v>
      </c>
      <c r="R10" s="1" t="s">
        <v>104</v>
      </c>
      <c r="S10" s="1">
        <v>26</v>
      </c>
      <c r="X10" s="2"/>
      <c r="Y10" s="2"/>
      <c r="Z10" s="2"/>
      <c r="AA10" s="17" t="s">
        <v>105</v>
      </c>
      <c r="AB10" s="1" t="s">
        <v>34</v>
      </c>
      <c r="AH10" s="1" t="s">
        <v>106</v>
      </c>
      <c r="AI10" s="1" t="s">
        <v>36</v>
      </c>
      <c r="AJ10" s="6"/>
      <c r="AM10" s="9" t="s">
        <v>107</v>
      </c>
      <c r="AP10" s="10" t="s">
        <v>108</v>
      </c>
      <c r="AQ10" s="11" t="s">
        <v>39</v>
      </c>
      <c r="AS10" s="15" t="s">
        <v>109</v>
      </c>
      <c r="AT10" s="16" t="s">
        <v>110</v>
      </c>
      <c r="AX10" s="14" t="s">
        <v>111</v>
      </c>
      <c r="AY10" s="9" t="s">
        <v>43</v>
      </c>
      <c r="BA10" s="1" t="str">
        <f t="shared" si="8"/>
        <v>CZ</v>
      </c>
      <c r="BB10" s="1" t="str">
        <f t="shared" si="0"/>
        <v>중국계</v>
      </c>
    </row>
    <row r="11" spans="1:54" ht="17.5" thickBot="1" x14ac:dyDescent="0.4">
      <c r="A11" s="6">
        <f t="shared" si="1"/>
        <v>2022</v>
      </c>
      <c r="B11" s="6">
        <f t="shared" si="2"/>
        <v>1</v>
      </c>
      <c r="C11" s="7">
        <v>44573</v>
      </c>
      <c r="D11" s="6">
        <f t="shared" si="3"/>
        <v>3</v>
      </c>
      <c r="E11" s="6">
        <f t="shared" si="4"/>
        <v>3</v>
      </c>
      <c r="F11" s="6">
        <f t="shared" si="5"/>
        <v>2</v>
      </c>
      <c r="G11" s="6" t="str">
        <f t="shared" si="6"/>
        <v>01</v>
      </c>
      <c r="H11" s="6" t="str">
        <f t="shared" si="7"/>
        <v>01월 2주차</v>
      </c>
      <c r="I11" s="6" t="str">
        <f>H11&amp;" ("&amp;TEXT(C9,"m/dd")&amp;"~"&amp;TEXT(C15,"m/dd")&amp;")"</f>
        <v>01월 2주차 (1/10~1/16)</v>
      </c>
      <c r="J11" s="6" t="str">
        <f>A9&amp;"년 "&amp;WEEKNUM(C9,2)&amp;"주차"&amp;" ("&amp;TEXT(C9,"m/dd")&amp;"~"&amp;TEXT(C15,"m/dd")&amp;")"</f>
        <v>2022년 3주차 (1/10~1/16)</v>
      </c>
      <c r="K11" s="6">
        <f>YEAR(C9)</f>
        <v>2022</v>
      </c>
      <c r="L11" s="6">
        <f>WEEKNUM(C9,2)</f>
        <v>3</v>
      </c>
      <c r="O11" s="1" t="str">
        <f t="shared" si="9"/>
        <v>KEO</v>
      </c>
      <c r="P11" s="1" t="s">
        <v>29</v>
      </c>
      <c r="Q11" s="1" t="s">
        <v>60</v>
      </c>
      <c r="R11" s="1" t="s">
        <v>112</v>
      </c>
      <c r="S11" s="1">
        <v>27</v>
      </c>
      <c r="X11" s="2"/>
      <c r="Y11" s="2"/>
      <c r="Z11" s="2"/>
      <c r="AA11" s="17" t="s">
        <v>113</v>
      </c>
      <c r="AB11" s="1" t="s">
        <v>34</v>
      </c>
      <c r="AH11" s="1" t="s">
        <v>114</v>
      </c>
      <c r="AI11" s="1" t="s">
        <v>36</v>
      </c>
      <c r="AJ11" s="6"/>
      <c r="AM11" s="9" t="s">
        <v>115</v>
      </c>
      <c r="AP11" s="10" t="s">
        <v>116</v>
      </c>
      <c r="AQ11" s="11" t="s">
        <v>39</v>
      </c>
      <c r="AS11" s="15" t="s">
        <v>117</v>
      </c>
      <c r="AT11" s="16" t="s">
        <v>118</v>
      </c>
      <c r="AX11" s="14" t="s">
        <v>119</v>
      </c>
      <c r="AY11" s="9" t="s">
        <v>120</v>
      </c>
      <c r="BA11" s="1" t="str">
        <f t="shared" si="8"/>
        <v>GJ</v>
      </c>
      <c r="BB11" s="1" t="str">
        <f t="shared" si="0"/>
        <v>구주계</v>
      </c>
    </row>
    <row r="12" spans="1:54" ht="17.5" thickBot="1" x14ac:dyDescent="0.4">
      <c r="A12" s="6">
        <f t="shared" si="1"/>
        <v>2022</v>
      </c>
      <c r="B12" s="6">
        <f t="shared" si="2"/>
        <v>1</v>
      </c>
      <c r="C12" s="7">
        <v>44574</v>
      </c>
      <c r="D12" s="6">
        <f t="shared" si="3"/>
        <v>4</v>
      </c>
      <c r="E12" s="6">
        <f t="shared" si="4"/>
        <v>3</v>
      </c>
      <c r="F12" s="6">
        <f t="shared" si="5"/>
        <v>2</v>
      </c>
      <c r="G12" s="6" t="str">
        <f t="shared" si="6"/>
        <v>01</v>
      </c>
      <c r="H12" s="6" t="str">
        <f t="shared" si="7"/>
        <v>01월 2주차</v>
      </c>
      <c r="I12" s="6" t="str">
        <f>H12&amp;" ("&amp;TEXT(C9,"m/dd")&amp;"~"&amp;TEXT(C15,"m/dd")&amp;")"</f>
        <v>01월 2주차 (1/10~1/16)</v>
      </c>
      <c r="J12" s="6" t="str">
        <f>A9&amp;"년 "&amp;WEEKNUM(C9,2)&amp;"주차"&amp;" ("&amp;TEXT(C9,"m/dd")&amp;"~"&amp;TEXT(C15,"m/dd")&amp;")"</f>
        <v>2022년 3주차 (1/10~1/16)</v>
      </c>
      <c r="K12" s="6">
        <f>YEAR(C9)</f>
        <v>2022</v>
      </c>
      <c r="L12" s="6">
        <f>WEEKNUM(C9,2)</f>
        <v>3</v>
      </c>
      <c r="O12" s="1" t="str">
        <f t="shared" si="9"/>
        <v>KEY</v>
      </c>
      <c r="P12" s="1" t="s">
        <v>29</v>
      </c>
      <c r="Q12" s="1" t="s">
        <v>121</v>
      </c>
      <c r="R12" s="1" t="s">
        <v>122</v>
      </c>
      <c r="S12" s="1">
        <v>31</v>
      </c>
      <c r="X12" s="2"/>
      <c r="Y12" s="2"/>
      <c r="Z12" s="2"/>
      <c r="AA12" s="17" t="s">
        <v>87</v>
      </c>
      <c r="AB12" s="1" t="s">
        <v>34</v>
      </c>
      <c r="AH12" s="1" t="s">
        <v>123</v>
      </c>
      <c r="AI12" s="1" t="s">
        <v>36</v>
      </c>
      <c r="AJ12" s="6"/>
      <c r="AM12" s="9" t="s">
        <v>124</v>
      </c>
      <c r="AP12" s="10" t="s">
        <v>125</v>
      </c>
      <c r="AQ12" s="11" t="s">
        <v>39</v>
      </c>
      <c r="AS12" s="15" t="s">
        <v>126</v>
      </c>
      <c r="AT12" s="16" t="s">
        <v>127</v>
      </c>
      <c r="AX12" s="14" t="s">
        <v>128</v>
      </c>
      <c r="AY12" s="9" t="s">
        <v>43</v>
      </c>
      <c r="BA12" s="1" t="str">
        <f t="shared" si="8"/>
        <v>HU</v>
      </c>
      <c r="BB12" s="1" t="str">
        <f t="shared" si="0"/>
        <v>중국계</v>
      </c>
    </row>
    <row r="13" spans="1:54" ht="17.5" thickBot="1" x14ac:dyDescent="0.4">
      <c r="A13" s="6">
        <f t="shared" si="1"/>
        <v>2022</v>
      </c>
      <c r="B13" s="6">
        <f t="shared" si="2"/>
        <v>1</v>
      </c>
      <c r="C13" s="7">
        <v>44575</v>
      </c>
      <c r="D13" s="6">
        <f t="shared" si="3"/>
        <v>5</v>
      </c>
      <c r="E13" s="6">
        <f t="shared" si="4"/>
        <v>3</v>
      </c>
      <c r="F13" s="6">
        <f t="shared" si="5"/>
        <v>2</v>
      </c>
      <c r="G13" s="6" t="str">
        <f t="shared" si="6"/>
        <v>01</v>
      </c>
      <c r="H13" s="6" t="str">
        <f t="shared" si="7"/>
        <v>01월 2주차</v>
      </c>
      <c r="I13" s="6" t="str">
        <f>H13&amp;" ("&amp;TEXT(C9,"m/dd")&amp;"~"&amp;TEXT(C15,"m/dd")&amp;")"</f>
        <v>01월 2주차 (1/10~1/16)</v>
      </c>
      <c r="J13" s="6" t="str">
        <f>A9&amp;"년 "&amp;WEEKNUM(C9,2)&amp;"주차"&amp;" ("&amp;TEXT(C9,"m/dd")&amp;"~"&amp;TEXT(C15,"m/dd")&amp;")"</f>
        <v>2022년 3주차 (1/10~1/16)</v>
      </c>
      <c r="K13" s="6">
        <f>YEAR(C9)</f>
        <v>2022</v>
      </c>
      <c r="L13" s="6">
        <f>WEEKNUM(C9,2)</f>
        <v>3</v>
      </c>
      <c r="O13" s="1" t="str">
        <f t="shared" si="9"/>
        <v>KEB</v>
      </c>
      <c r="P13" s="1" t="s">
        <v>29</v>
      </c>
      <c r="Q13" s="1" t="s">
        <v>121</v>
      </c>
      <c r="R13" s="1" t="s">
        <v>129</v>
      </c>
      <c r="S13" s="1">
        <v>32</v>
      </c>
      <c r="X13" s="2"/>
      <c r="Y13" s="2"/>
      <c r="Z13" s="2"/>
      <c r="AA13" s="17" t="s">
        <v>130</v>
      </c>
      <c r="AB13" s="1" t="s">
        <v>34</v>
      </c>
      <c r="AH13" s="1" t="s">
        <v>131</v>
      </c>
      <c r="AI13" s="1" t="s">
        <v>36</v>
      </c>
      <c r="AJ13" s="6"/>
      <c r="AM13" s="9" t="s">
        <v>132</v>
      </c>
      <c r="AP13" s="10" t="s">
        <v>133</v>
      </c>
      <c r="AQ13" s="11" t="s">
        <v>39</v>
      </c>
      <c r="AS13" s="15" t="s">
        <v>134</v>
      </c>
      <c r="AT13" s="16" t="s">
        <v>135</v>
      </c>
      <c r="AX13" s="14" t="s">
        <v>136</v>
      </c>
      <c r="AY13" s="9" t="s">
        <v>43</v>
      </c>
      <c r="BA13" s="1" t="str">
        <f t="shared" si="8"/>
        <v>GS</v>
      </c>
      <c r="BB13" s="1" t="str">
        <f t="shared" si="0"/>
        <v>중국계</v>
      </c>
    </row>
    <row r="14" spans="1:54" ht="17.5" thickBot="1" x14ac:dyDescent="0.4">
      <c r="A14" s="6">
        <f t="shared" si="1"/>
        <v>2022</v>
      </c>
      <c r="B14" s="6">
        <f t="shared" si="2"/>
        <v>1</v>
      </c>
      <c r="C14" s="7">
        <v>44576</v>
      </c>
      <c r="D14" s="6">
        <f t="shared" si="3"/>
        <v>6</v>
      </c>
      <c r="E14" s="6">
        <f t="shared" si="4"/>
        <v>3</v>
      </c>
      <c r="F14" s="6">
        <f t="shared" si="5"/>
        <v>2</v>
      </c>
      <c r="G14" s="6" t="str">
        <f t="shared" si="6"/>
        <v>01</v>
      </c>
      <c r="H14" s="6" t="str">
        <f t="shared" si="7"/>
        <v>01월 2주차</v>
      </c>
      <c r="I14" s="6" t="str">
        <f>H14&amp;" ("&amp;TEXT(C9,"m/dd")&amp;"~"&amp;TEXT(C15,"m/dd")&amp;")"</f>
        <v>01월 2주차 (1/10~1/16)</v>
      </c>
      <c r="J14" s="6" t="str">
        <f>A9&amp;"년 "&amp;WEEKNUM(C9,2)&amp;"주차"&amp;" ("&amp;TEXT(C9,"m/dd")&amp;"~"&amp;TEXT(C15,"m/dd")&amp;")"</f>
        <v>2022년 3주차 (1/10~1/16)</v>
      </c>
      <c r="K14" s="6">
        <f>YEAR(C9)</f>
        <v>2022</v>
      </c>
      <c r="L14" s="6">
        <f>WEEKNUM(C9,2)</f>
        <v>3</v>
      </c>
      <c r="O14" s="1" t="str">
        <f t="shared" si="9"/>
        <v>KEM</v>
      </c>
      <c r="P14" s="1" t="s">
        <v>29</v>
      </c>
      <c r="Q14" s="1" t="s">
        <v>121</v>
      </c>
      <c r="R14" s="1" t="s">
        <v>137</v>
      </c>
      <c r="S14" s="1">
        <v>33</v>
      </c>
      <c r="X14" s="2"/>
      <c r="Y14" s="2"/>
      <c r="Z14" s="2"/>
      <c r="AA14" s="17" t="s">
        <v>138</v>
      </c>
      <c r="AB14" s="1" t="s">
        <v>34</v>
      </c>
      <c r="AH14" s="1" t="s">
        <v>139</v>
      </c>
      <c r="AI14" s="1" t="s">
        <v>36</v>
      </c>
      <c r="AJ14" s="6"/>
      <c r="AM14" s="9" t="s">
        <v>140</v>
      </c>
      <c r="AP14" s="10" t="s">
        <v>141</v>
      </c>
      <c r="AQ14" s="11" t="s">
        <v>39</v>
      </c>
      <c r="AS14" s="15" t="s">
        <v>142</v>
      </c>
      <c r="AT14" s="16" t="s">
        <v>143</v>
      </c>
      <c r="AX14" s="14" t="s">
        <v>41</v>
      </c>
      <c r="AY14" s="9" t="s">
        <v>144</v>
      </c>
      <c r="BA14" s="1" t="str">
        <f t="shared" si="8"/>
        <v>GA</v>
      </c>
      <c r="BB14" s="1" t="str">
        <f t="shared" si="0"/>
        <v>동남아계</v>
      </c>
    </row>
    <row r="15" spans="1:54" ht="17.5" thickBot="1" x14ac:dyDescent="0.4">
      <c r="A15" s="6">
        <f t="shared" si="1"/>
        <v>2022</v>
      </c>
      <c r="B15" s="6">
        <f t="shared" si="2"/>
        <v>1</v>
      </c>
      <c r="C15" s="7">
        <v>44577</v>
      </c>
      <c r="D15" s="6">
        <f t="shared" si="3"/>
        <v>7</v>
      </c>
      <c r="E15" s="6">
        <f t="shared" si="4"/>
        <v>3</v>
      </c>
      <c r="F15" s="6">
        <f t="shared" si="5"/>
        <v>2</v>
      </c>
      <c r="G15" s="6" t="str">
        <f t="shared" si="6"/>
        <v>01</v>
      </c>
      <c r="H15" s="6" t="str">
        <f t="shared" si="7"/>
        <v>01월 2주차</v>
      </c>
      <c r="I15" s="6" t="str">
        <f>H15&amp;" ("&amp;TEXT(C9,"m/dd")&amp;"~"&amp;TEXT(C15,"m/dd")&amp;")"</f>
        <v>01월 2주차 (1/10~1/16)</v>
      </c>
      <c r="J15" s="6" t="str">
        <f>A9&amp;"년 "&amp;WEEKNUM(C9,2)&amp;"주차"&amp;" ("&amp;TEXT(C9,"m/dd")&amp;"~"&amp;TEXT(C15,"m/dd")&amp;")"</f>
        <v>2022년 3주차 (1/10~1/16)</v>
      </c>
      <c r="K15" s="6">
        <f>YEAR(C9)</f>
        <v>2022</v>
      </c>
      <c r="L15" s="6">
        <f>WEEKNUM(C9,2)</f>
        <v>3</v>
      </c>
      <c r="O15" s="1" t="str">
        <f t="shared" si="9"/>
        <v>KES</v>
      </c>
      <c r="P15" s="1" t="s">
        <v>29</v>
      </c>
      <c r="Q15" s="1" t="s">
        <v>121</v>
      </c>
      <c r="R15" s="1" t="s">
        <v>145</v>
      </c>
      <c r="S15" s="1">
        <v>34</v>
      </c>
      <c r="X15" s="2"/>
      <c r="Y15" s="2"/>
      <c r="Z15" s="2"/>
      <c r="AA15" s="17" t="s">
        <v>146</v>
      </c>
      <c r="AB15" s="1" t="s">
        <v>34</v>
      </c>
      <c r="AH15" s="1" t="s">
        <v>147</v>
      </c>
      <c r="AI15" s="1" t="s">
        <v>36</v>
      </c>
      <c r="AJ15" s="6"/>
      <c r="AM15" s="9" t="s">
        <v>148</v>
      </c>
      <c r="AP15" s="10" t="s">
        <v>149</v>
      </c>
      <c r="AQ15" s="11" t="s">
        <v>39</v>
      </c>
      <c r="AS15" s="15" t="s">
        <v>150</v>
      </c>
      <c r="AT15" s="16" t="s">
        <v>151</v>
      </c>
      <c r="AX15" s="14" t="s">
        <v>152</v>
      </c>
      <c r="AY15" s="9" t="s">
        <v>153</v>
      </c>
      <c r="BA15" s="1" t="str">
        <f t="shared" si="8"/>
        <v>UA</v>
      </c>
      <c r="BB15" s="1" t="str">
        <f t="shared" si="0"/>
        <v>미주계</v>
      </c>
    </row>
    <row r="16" spans="1:54" ht="17.5" thickBot="1" x14ac:dyDescent="0.4">
      <c r="A16" s="6">
        <f t="shared" si="1"/>
        <v>2022</v>
      </c>
      <c r="B16" s="6">
        <f t="shared" si="2"/>
        <v>1</v>
      </c>
      <c r="C16" s="7">
        <v>44578</v>
      </c>
      <c r="D16" s="6">
        <f t="shared" si="3"/>
        <v>1</v>
      </c>
      <c r="E16" s="6">
        <f t="shared" si="4"/>
        <v>4</v>
      </c>
      <c r="F16" s="6">
        <f t="shared" si="5"/>
        <v>3</v>
      </c>
      <c r="G16" s="6" t="str">
        <f t="shared" si="6"/>
        <v>01</v>
      </c>
      <c r="H16" s="6" t="str">
        <f t="shared" si="7"/>
        <v>01월 3주차</v>
      </c>
      <c r="I16" s="6" t="str">
        <f>H16&amp;" ("&amp;TEXT(C16,"m/dd")&amp;"~"&amp;TEXT(C22,"m/dd")&amp;")"</f>
        <v>01월 3주차 (1/17~1/23)</v>
      </c>
      <c r="J16" s="6" t="str">
        <f>A16&amp;"년 "&amp;WEEKNUM(C16,2)&amp;"주차"&amp;" ("&amp;TEXT(C16,"m/dd")&amp;"~"&amp;TEXT(C22,"m/dd")&amp;")"</f>
        <v>2022년 4주차 (1/17~1/23)</v>
      </c>
      <c r="K16" s="6">
        <f>YEAR(C16)</f>
        <v>2022</v>
      </c>
      <c r="L16" s="6">
        <f>WEEKNUM(C16,2)</f>
        <v>4</v>
      </c>
      <c r="O16" s="1" t="str">
        <f t="shared" si="9"/>
        <v>KEH</v>
      </c>
      <c r="P16" s="1" t="s">
        <v>29</v>
      </c>
      <c r="Q16" s="1" t="s">
        <v>121</v>
      </c>
      <c r="R16" s="1" t="s">
        <v>154</v>
      </c>
      <c r="S16" s="1">
        <v>35</v>
      </c>
      <c r="X16" s="2"/>
      <c r="Y16" s="2"/>
      <c r="Z16" s="2"/>
      <c r="AA16" s="18" t="s">
        <v>155</v>
      </c>
      <c r="AB16" s="1" t="s">
        <v>34</v>
      </c>
      <c r="AH16" s="1" t="s">
        <v>156</v>
      </c>
      <c r="AI16" s="1" t="s">
        <v>36</v>
      </c>
      <c r="AJ16" s="6"/>
      <c r="AM16" s="9" t="s">
        <v>157</v>
      </c>
      <c r="AP16" s="10" t="s">
        <v>158</v>
      </c>
      <c r="AQ16" s="11" t="s">
        <v>39</v>
      </c>
      <c r="AS16" s="15" t="s">
        <v>159</v>
      </c>
      <c r="AT16" s="16" t="s">
        <v>160</v>
      </c>
      <c r="AX16" s="14" t="s">
        <v>161</v>
      </c>
      <c r="AY16" s="9" t="s">
        <v>43</v>
      </c>
      <c r="AZ16" s="9" t="s">
        <v>162</v>
      </c>
      <c r="BA16" s="1" t="str">
        <f t="shared" si="8"/>
        <v>ZH</v>
      </c>
      <c r="BB16" s="1" t="str">
        <f t="shared" si="0"/>
        <v>중국계</v>
      </c>
    </row>
    <row r="17" spans="1:54" ht="17.5" thickBot="1" x14ac:dyDescent="0.4">
      <c r="A17" s="6">
        <f t="shared" si="1"/>
        <v>2022</v>
      </c>
      <c r="B17" s="6">
        <f t="shared" si="2"/>
        <v>1</v>
      </c>
      <c r="C17" s="7">
        <v>44579</v>
      </c>
      <c r="D17" s="6">
        <f t="shared" si="3"/>
        <v>2</v>
      </c>
      <c r="E17" s="6">
        <f t="shared" si="4"/>
        <v>4</v>
      </c>
      <c r="F17" s="6">
        <f t="shared" si="5"/>
        <v>3</v>
      </c>
      <c r="G17" s="6" t="str">
        <f t="shared" si="6"/>
        <v>01</v>
      </c>
      <c r="H17" s="6" t="str">
        <f t="shared" si="7"/>
        <v>01월 3주차</v>
      </c>
      <c r="I17" s="6" t="str">
        <f>H17&amp;" ("&amp;TEXT(C16,"m/dd")&amp;"~"&amp;TEXT(C22,"m/dd")&amp;")"</f>
        <v>01월 3주차 (1/17~1/23)</v>
      </c>
      <c r="J17" s="6" t="str">
        <f>A16&amp;"년 "&amp;WEEKNUM(C16,2)&amp;"주차"&amp;" ("&amp;TEXT(C16,"m/dd")&amp;"~"&amp;TEXT(C22,"m/dd")&amp;")"</f>
        <v>2022년 4주차 (1/17~1/23)</v>
      </c>
      <c r="K17" s="6">
        <f>YEAR(C16)</f>
        <v>2022</v>
      </c>
      <c r="L17" s="6">
        <f>WEEKNUM(C16,2)</f>
        <v>4</v>
      </c>
      <c r="O17" s="1" t="str">
        <f t="shared" si="9"/>
        <v>KEE</v>
      </c>
      <c r="P17" s="1" t="s">
        <v>29</v>
      </c>
      <c r="Q17" s="1" t="s">
        <v>121</v>
      </c>
      <c r="R17" s="1" t="s">
        <v>163</v>
      </c>
      <c r="S17" s="1">
        <v>36</v>
      </c>
      <c r="X17" s="2"/>
      <c r="Y17" s="2"/>
      <c r="Z17" s="2"/>
      <c r="AA17" s="18" t="s">
        <v>164</v>
      </c>
      <c r="AB17" s="9" t="s">
        <v>165</v>
      </c>
      <c r="AH17" s="1" t="s">
        <v>166</v>
      </c>
      <c r="AI17" s="1" t="s">
        <v>36</v>
      </c>
      <c r="AJ17" s="6"/>
      <c r="AM17" s="9" t="s">
        <v>107</v>
      </c>
      <c r="AP17" s="10" t="s">
        <v>167</v>
      </c>
      <c r="AQ17" s="11" t="s">
        <v>39</v>
      </c>
      <c r="AS17" s="15" t="s">
        <v>168</v>
      </c>
      <c r="AT17" s="16" t="s">
        <v>169</v>
      </c>
      <c r="AX17" s="14" t="s">
        <v>170</v>
      </c>
      <c r="AY17" s="9" t="s">
        <v>120</v>
      </c>
      <c r="BA17" s="1" t="str">
        <f t="shared" si="8"/>
        <v>AF</v>
      </c>
      <c r="BB17" s="1" t="str">
        <f t="shared" si="0"/>
        <v>구주계</v>
      </c>
    </row>
    <row r="18" spans="1:54" ht="17.5" thickBot="1" x14ac:dyDescent="0.4">
      <c r="A18" s="6">
        <f t="shared" si="1"/>
        <v>2022</v>
      </c>
      <c r="B18" s="6">
        <f t="shared" si="2"/>
        <v>1</v>
      </c>
      <c r="C18" s="7">
        <v>44580</v>
      </c>
      <c r="D18" s="6">
        <f t="shared" si="3"/>
        <v>3</v>
      </c>
      <c r="E18" s="6">
        <f t="shared" si="4"/>
        <v>4</v>
      </c>
      <c r="F18" s="6">
        <f t="shared" si="5"/>
        <v>3</v>
      </c>
      <c r="G18" s="6" t="str">
        <f t="shared" si="6"/>
        <v>01</v>
      </c>
      <c r="H18" s="6" t="str">
        <f t="shared" si="7"/>
        <v>01월 3주차</v>
      </c>
      <c r="I18" s="6" t="str">
        <f>H18&amp;" ("&amp;TEXT(C16,"m/dd")&amp;"~"&amp;TEXT(C22,"m/dd")&amp;")"</f>
        <v>01월 3주차 (1/17~1/23)</v>
      </c>
      <c r="J18" s="6" t="str">
        <f>A16&amp;"년 "&amp;WEEKNUM(C16,2)&amp;"주차"&amp;" ("&amp;TEXT(C16,"m/dd")&amp;"~"&amp;TEXT(C22,"m/dd")&amp;")"</f>
        <v>2022년 4주차 (1/17~1/23)</v>
      </c>
      <c r="K18" s="6">
        <f>YEAR(C16)</f>
        <v>2022</v>
      </c>
      <c r="L18" s="6">
        <f>WEEKNUM(C16,2)</f>
        <v>4</v>
      </c>
      <c r="O18" s="1" t="str">
        <f t="shared" si="9"/>
        <v>KEK</v>
      </c>
      <c r="P18" s="1" t="s">
        <v>29</v>
      </c>
      <c r="Q18" s="1" t="s">
        <v>121</v>
      </c>
      <c r="R18" s="1" t="s">
        <v>171</v>
      </c>
      <c r="S18" s="1">
        <v>37</v>
      </c>
      <c r="X18" s="2"/>
      <c r="Y18" s="2"/>
      <c r="Z18" s="2"/>
      <c r="AA18" s="18" t="s">
        <v>172</v>
      </c>
      <c r="AB18" s="9" t="s">
        <v>165</v>
      </c>
      <c r="AH18" s="1" t="s">
        <v>173</v>
      </c>
      <c r="AI18" s="1" t="s">
        <v>36</v>
      </c>
      <c r="AJ18" s="6"/>
      <c r="AM18" s="9" t="s">
        <v>148</v>
      </c>
      <c r="AP18" s="10" t="s">
        <v>174</v>
      </c>
      <c r="AQ18" s="11" t="s">
        <v>39</v>
      </c>
      <c r="AS18" s="15" t="s">
        <v>175</v>
      </c>
      <c r="AT18" s="16" t="s">
        <v>176</v>
      </c>
      <c r="AX18" s="14" t="s">
        <v>177</v>
      </c>
      <c r="AY18" s="9" t="s">
        <v>144</v>
      </c>
      <c r="BA18" s="1" t="str">
        <f t="shared" si="8"/>
        <v>VN</v>
      </c>
      <c r="BB18" s="1" t="str">
        <f t="shared" si="0"/>
        <v>동남아계</v>
      </c>
    </row>
    <row r="19" spans="1:54" ht="17.5" thickBot="1" x14ac:dyDescent="0.4">
      <c r="A19" s="6">
        <f t="shared" si="1"/>
        <v>2022</v>
      </c>
      <c r="B19" s="6">
        <f t="shared" si="2"/>
        <v>1</v>
      </c>
      <c r="C19" s="7">
        <v>44581</v>
      </c>
      <c r="D19" s="6">
        <f t="shared" si="3"/>
        <v>4</v>
      </c>
      <c r="E19" s="6">
        <f t="shared" si="4"/>
        <v>4</v>
      </c>
      <c r="F19" s="6">
        <f t="shared" si="5"/>
        <v>3</v>
      </c>
      <c r="G19" s="6" t="str">
        <f t="shared" si="6"/>
        <v>01</v>
      </c>
      <c r="H19" s="6" t="str">
        <f t="shared" si="7"/>
        <v>01월 3주차</v>
      </c>
      <c r="I19" s="6" t="str">
        <f>H19&amp;" ("&amp;TEXT(C16,"m/dd")&amp;"~"&amp;TEXT(C22,"m/dd")&amp;")"</f>
        <v>01월 3주차 (1/17~1/23)</v>
      </c>
      <c r="J19" s="6" t="str">
        <f>A16&amp;"년 "&amp;WEEKNUM(C16,2)&amp;"주차"&amp;" ("&amp;TEXT(C16,"m/dd")&amp;"~"&amp;TEXT(C22,"m/dd")&amp;")"</f>
        <v>2022년 4주차 (1/17~1/23)</v>
      </c>
      <c r="K19" s="6">
        <f>YEAR(C16)</f>
        <v>2022</v>
      </c>
      <c r="L19" s="6">
        <f>WEEKNUM(C16,2)</f>
        <v>4</v>
      </c>
      <c r="O19" s="1" t="str">
        <f t="shared" si="9"/>
        <v>KEL</v>
      </c>
      <c r="P19" s="1" t="s">
        <v>29</v>
      </c>
      <c r="Q19" s="1" t="s">
        <v>121</v>
      </c>
      <c r="R19" s="1" t="s">
        <v>178</v>
      </c>
      <c r="S19" s="1">
        <v>38</v>
      </c>
      <c r="Z19" s="2"/>
      <c r="AA19" s="18" t="s">
        <v>179</v>
      </c>
      <c r="AB19" s="9" t="s">
        <v>165</v>
      </c>
      <c r="AH19" s="1" t="s">
        <v>180</v>
      </c>
      <c r="AI19" s="1" t="s">
        <v>36</v>
      </c>
      <c r="AJ19" s="6"/>
      <c r="AM19" s="9" t="s">
        <v>115</v>
      </c>
      <c r="AP19" s="10" t="s">
        <v>181</v>
      </c>
      <c r="AQ19" s="11" t="s">
        <v>39</v>
      </c>
      <c r="AS19" s="15" t="s">
        <v>53</v>
      </c>
      <c r="AT19" s="16" t="s">
        <v>182</v>
      </c>
      <c r="AX19" s="14" t="s">
        <v>183</v>
      </c>
      <c r="AY19" s="9" t="s">
        <v>144</v>
      </c>
      <c r="AZ19" s="9" t="s">
        <v>184</v>
      </c>
      <c r="BA19" s="1" t="str">
        <f t="shared" si="8"/>
        <v>SQ</v>
      </c>
      <c r="BB19" s="1" t="str">
        <f t="shared" si="0"/>
        <v>동남아계</v>
      </c>
    </row>
    <row r="20" spans="1:54" ht="17.5" thickBot="1" x14ac:dyDescent="0.4">
      <c r="A20" s="6">
        <f t="shared" si="1"/>
        <v>2022</v>
      </c>
      <c r="B20" s="6">
        <f t="shared" si="2"/>
        <v>1</v>
      </c>
      <c r="C20" s="7">
        <v>44582</v>
      </c>
      <c r="D20" s="6">
        <f t="shared" si="3"/>
        <v>5</v>
      </c>
      <c r="E20" s="6">
        <f t="shared" si="4"/>
        <v>4</v>
      </c>
      <c r="F20" s="6">
        <f t="shared" si="5"/>
        <v>3</v>
      </c>
      <c r="G20" s="6" t="str">
        <f t="shared" si="6"/>
        <v>01</v>
      </c>
      <c r="H20" s="6" t="str">
        <f t="shared" si="7"/>
        <v>01월 3주차</v>
      </c>
      <c r="I20" s="6" t="str">
        <f>H20&amp;" ("&amp;TEXT(C16,"m/dd")&amp;"~"&amp;TEXT(C22,"m/dd")&amp;")"</f>
        <v>01월 3주차 (1/17~1/23)</v>
      </c>
      <c r="J20" s="6" t="str">
        <f>A16&amp;"년 "&amp;WEEKNUM(C16,2)&amp;"주차"&amp;" ("&amp;TEXT(C16,"m/dd")&amp;"~"&amp;TEXT(C22,"m/dd")&amp;")"</f>
        <v>2022년 4주차 (1/17~1/23)</v>
      </c>
      <c r="K20" s="6">
        <f>YEAR(C16)</f>
        <v>2022</v>
      </c>
      <c r="L20" s="6">
        <f>WEEKNUM(C16,2)</f>
        <v>4</v>
      </c>
      <c r="O20" s="1" t="str">
        <f t="shared" si="9"/>
        <v>KEU</v>
      </c>
      <c r="P20" s="1" t="s">
        <v>29</v>
      </c>
      <c r="Q20" s="1" t="s">
        <v>121</v>
      </c>
      <c r="R20" s="1" t="s">
        <v>185</v>
      </c>
      <c r="S20" s="1">
        <v>39</v>
      </c>
      <c r="Z20" s="2"/>
      <c r="AA20" s="18" t="s">
        <v>142</v>
      </c>
      <c r="AB20" s="9" t="s">
        <v>165</v>
      </c>
      <c r="AH20" s="1" t="s">
        <v>186</v>
      </c>
      <c r="AI20" s="1" t="s">
        <v>36</v>
      </c>
      <c r="AJ20" s="6"/>
      <c r="AP20" s="10" t="s">
        <v>187</v>
      </c>
      <c r="AQ20" s="11" t="s">
        <v>39</v>
      </c>
      <c r="AS20" s="15" t="s">
        <v>188</v>
      </c>
      <c r="AT20" s="16" t="s">
        <v>189</v>
      </c>
      <c r="AX20" s="14" t="s">
        <v>190</v>
      </c>
      <c r="AY20" s="9" t="s">
        <v>43</v>
      </c>
      <c r="BA20" s="1" t="str">
        <f t="shared" si="8"/>
        <v>HX</v>
      </c>
      <c r="BB20" s="1" t="str">
        <f t="shared" si="0"/>
        <v>중국계</v>
      </c>
    </row>
    <row r="21" spans="1:54" ht="17.5" thickBot="1" x14ac:dyDescent="0.4">
      <c r="A21" s="6">
        <f t="shared" si="1"/>
        <v>2022</v>
      </c>
      <c r="B21" s="6">
        <f t="shared" si="2"/>
        <v>1</v>
      </c>
      <c r="C21" s="7">
        <v>44583</v>
      </c>
      <c r="D21" s="6">
        <f t="shared" si="3"/>
        <v>6</v>
      </c>
      <c r="E21" s="6">
        <f t="shared" si="4"/>
        <v>4</v>
      </c>
      <c r="F21" s="6">
        <f t="shared" si="5"/>
        <v>3</v>
      </c>
      <c r="G21" s="6" t="str">
        <f t="shared" si="6"/>
        <v>01</v>
      </c>
      <c r="H21" s="6" t="str">
        <f t="shared" si="7"/>
        <v>01월 3주차</v>
      </c>
      <c r="I21" s="6" t="str">
        <f>H21&amp;" ("&amp;TEXT(C16,"m/dd")&amp;"~"&amp;TEXT(C22,"m/dd")&amp;")"</f>
        <v>01월 3주차 (1/17~1/23)</v>
      </c>
      <c r="J21" s="6" t="str">
        <f>A16&amp;"년 "&amp;WEEKNUM(C16,2)&amp;"주차"&amp;" ("&amp;TEXT(C16,"m/dd")&amp;"~"&amp;TEXT(C22,"m/dd")&amp;")"</f>
        <v>2022년 4주차 (1/17~1/23)</v>
      </c>
      <c r="K21" s="6">
        <f>YEAR(C16)</f>
        <v>2022</v>
      </c>
      <c r="L21" s="6">
        <f>WEEKNUM(C16,2)</f>
        <v>4</v>
      </c>
      <c r="O21" s="1" t="str">
        <f t="shared" si="9"/>
        <v>KEQ</v>
      </c>
      <c r="P21" s="1" t="s">
        <v>29</v>
      </c>
      <c r="Q21" s="1" t="s">
        <v>121</v>
      </c>
      <c r="R21" s="1" t="s">
        <v>191</v>
      </c>
      <c r="S21" s="1">
        <v>40</v>
      </c>
      <c r="Z21" s="2"/>
      <c r="AA21" s="18" t="s">
        <v>159</v>
      </c>
      <c r="AB21" s="9" t="s">
        <v>165</v>
      </c>
      <c r="AH21" s="1" t="s">
        <v>192</v>
      </c>
      <c r="AI21" s="1" t="s">
        <v>36</v>
      </c>
      <c r="AJ21" s="6"/>
      <c r="AP21" s="10" t="s">
        <v>193</v>
      </c>
      <c r="AQ21" s="11" t="s">
        <v>39</v>
      </c>
      <c r="AS21" s="15" t="s">
        <v>194</v>
      </c>
      <c r="AT21" s="16" t="s">
        <v>195</v>
      </c>
      <c r="AX21" s="14" t="s">
        <v>196</v>
      </c>
      <c r="AY21" s="9" t="s">
        <v>197</v>
      </c>
      <c r="BA21" s="1" t="str">
        <f t="shared" si="8"/>
        <v>QF</v>
      </c>
      <c r="BB21" s="1" t="str">
        <f t="shared" si="0"/>
        <v>대양주계</v>
      </c>
    </row>
    <row r="22" spans="1:54" ht="17.5" thickBot="1" x14ac:dyDescent="0.4">
      <c r="A22" s="6">
        <f t="shared" si="1"/>
        <v>2022</v>
      </c>
      <c r="B22" s="6">
        <f t="shared" si="2"/>
        <v>1</v>
      </c>
      <c r="C22" s="7">
        <v>44584</v>
      </c>
      <c r="D22" s="6">
        <f t="shared" si="3"/>
        <v>7</v>
      </c>
      <c r="E22" s="6">
        <f t="shared" si="4"/>
        <v>4</v>
      </c>
      <c r="F22" s="6">
        <f t="shared" si="5"/>
        <v>3</v>
      </c>
      <c r="G22" s="6" t="str">
        <f t="shared" si="6"/>
        <v>01</v>
      </c>
      <c r="H22" s="6" t="str">
        <f t="shared" si="7"/>
        <v>01월 3주차</v>
      </c>
      <c r="I22" s="6" t="str">
        <f>H22&amp;" ("&amp;TEXT(C16,"m/dd")&amp;"~"&amp;TEXT(C22,"m/dd")&amp;")"</f>
        <v>01월 3주차 (1/17~1/23)</v>
      </c>
      <c r="J22" s="6" t="str">
        <f>A16&amp;"년 "&amp;WEEKNUM(C16,2)&amp;"주차"&amp;" ("&amp;TEXT(C16,"m/dd")&amp;"~"&amp;TEXT(C22,"m/dd")&amp;")"</f>
        <v>2022년 4주차 (1/17~1/23)</v>
      </c>
      <c r="K22" s="6">
        <f>YEAR(C16)</f>
        <v>2022</v>
      </c>
      <c r="L22" s="6">
        <f>WEEKNUM(C16,2)</f>
        <v>4</v>
      </c>
      <c r="O22" s="1" t="str">
        <f t="shared" si="9"/>
        <v>KEN</v>
      </c>
      <c r="P22" s="1" t="s">
        <v>29</v>
      </c>
      <c r="Q22" s="1" t="s">
        <v>121</v>
      </c>
      <c r="R22" s="1" t="s">
        <v>198</v>
      </c>
      <c r="S22" s="1">
        <v>41</v>
      </c>
      <c r="Z22" s="2"/>
      <c r="AA22" s="18" t="s">
        <v>172</v>
      </c>
      <c r="AB22" s="9" t="s">
        <v>165</v>
      </c>
      <c r="AH22" s="1" t="s">
        <v>199</v>
      </c>
      <c r="AI22" s="1" t="s">
        <v>36</v>
      </c>
      <c r="AJ22" s="6"/>
      <c r="AP22" s="10" t="s">
        <v>200</v>
      </c>
      <c r="AQ22" s="11" t="s">
        <v>39</v>
      </c>
      <c r="AS22" s="15" t="s">
        <v>201</v>
      </c>
      <c r="AT22" s="16" t="s">
        <v>202</v>
      </c>
      <c r="AX22" s="14" t="s">
        <v>203</v>
      </c>
      <c r="AY22" s="9" t="s">
        <v>144</v>
      </c>
      <c r="BA22" s="1" t="str">
        <f t="shared" si="8"/>
        <v>TG</v>
      </c>
      <c r="BB22" s="1" t="str">
        <f t="shared" si="0"/>
        <v>동남아계</v>
      </c>
    </row>
    <row r="23" spans="1:54" ht="17.5" thickBot="1" x14ac:dyDescent="0.4">
      <c r="A23" s="6">
        <f t="shared" si="1"/>
        <v>2022</v>
      </c>
      <c r="B23" s="6">
        <f t="shared" si="2"/>
        <v>1</v>
      </c>
      <c r="C23" s="7">
        <v>44585</v>
      </c>
      <c r="D23" s="6">
        <f t="shared" si="3"/>
        <v>1</v>
      </c>
      <c r="E23" s="6">
        <f t="shared" si="4"/>
        <v>5</v>
      </c>
      <c r="F23" s="6">
        <f t="shared" si="5"/>
        <v>4</v>
      </c>
      <c r="G23" s="6" t="str">
        <f t="shared" si="6"/>
        <v>01</v>
      </c>
      <c r="H23" s="6" t="str">
        <f t="shared" si="7"/>
        <v>01월 4주차</v>
      </c>
      <c r="I23" s="6" t="str">
        <f>H23&amp;" ("&amp;TEXT(C23,"m/dd")&amp;"~"&amp;TEXT(C29,"m/dd")&amp;")"</f>
        <v>01월 4주차 (1/24~1/30)</v>
      </c>
      <c r="J23" s="6" t="str">
        <f>A23&amp;"년 "&amp;WEEKNUM(C23,2)&amp;"주차"&amp;" ("&amp;TEXT(C23,"m/dd")&amp;"~"&amp;TEXT(C29,"m/dd")&amp;")"</f>
        <v>2022년 5주차 (1/24~1/30)</v>
      </c>
      <c r="K23" s="6">
        <f>YEAR(C23)</f>
        <v>2022</v>
      </c>
      <c r="L23" s="6">
        <f>WEEKNUM(C23,2)</f>
        <v>5</v>
      </c>
      <c r="O23" s="1" t="str">
        <f t="shared" si="9"/>
        <v>KET</v>
      </c>
      <c r="P23" s="1" t="s">
        <v>29</v>
      </c>
      <c r="Q23" s="1" t="s">
        <v>121</v>
      </c>
      <c r="R23" s="1" t="s">
        <v>204</v>
      </c>
      <c r="S23" s="1">
        <v>42</v>
      </c>
      <c r="Z23" s="2"/>
      <c r="AA23" s="18" t="s">
        <v>205</v>
      </c>
      <c r="AB23" s="9" t="s">
        <v>165</v>
      </c>
      <c r="AH23" s="1" t="s">
        <v>206</v>
      </c>
      <c r="AI23" s="1" t="s">
        <v>36</v>
      </c>
      <c r="AJ23" s="6"/>
      <c r="AP23" s="10" t="s">
        <v>207</v>
      </c>
      <c r="AQ23" s="11" t="s">
        <v>39</v>
      </c>
      <c r="AS23" s="15" t="s">
        <v>208</v>
      </c>
      <c r="AT23" s="16" t="s">
        <v>209</v>
      </c>
      <c r="AX23" s="14" t="s">
        <v>210</v>
      </c>
      <c r="AY23" s="9" t="s">
        <v>43</v>
      </c>
      <c r="BA23" s="1" t="str">
        <f t="shared" si="8"/>
        <v>QW</v>
      </c>
      <c r="BB23" s="1" t="str">
        <f t="shared" si="0"/>
        <v>중국계</v>
      </c>
    </row>
    <row r="24" spans="1:54" ht="17.5" thickBot="1" x14ac:dyDescent="0.4">
      <c r="A24" s="6">
        <f t="shared" si="1"/>
        <v>2022</v>
      </c>
      <c r="B24" s="6">
        <f t="shared" si="2"/>
        <v>1</v>
      </c>
      <c r="C24" s="7">
        <v>44586</v>
      </c>
      <c r="D24" s="6">
        <f t="shared" si="3"/>
        <v>2</v>
      </c>
      <c r="E24" s="6">
        <f t="shared" si="4"/>
        <v>5</v>
      </c>
      <c r="F24" s="6">
        <f t="shared" si="5"/>
        <v>4</v>
      </c>
      <c r="G24" s="6" t="str">
        <f t="shared" si="6"/>
        <v>01</v>
      </c>
      <c r="H24" s="6" t="str">
        <f t="shared" si="7"/>
        <v>01월 4주차</v>
      </c>
      <c r="I24" s="6" t="str">
        <f>H24&amp;" ("&amp;TEXT(C23,"m/dd")&amp;"~"&amp;TEXT(C29,"m/dd")&amp;")"</f>
        <v>01월 4주차 (1/24~1/30)</v>
      </c>
      <c r="J24" s="6" t="str">
        <f>A23&amp;"년 "&amp;WEEKNUM(C23,2)&amp;"주차"&amp;" ("&amp;TEXT(C23,"m/dd")&amp;"~"&amp;TEXT(C29,"m/dd")&amp;")"</f>
        <v>2022년 5주차 (1/24~1/30)</v>
      </c>
      <c r="K24" s="6">
        <f>YEAR(C23)</f>
        <v>2022</v>
      </c>
      <c r="L24" s="6">
        <f>WEEKNUM(C23,2)</f>
        <v>5</v>
      </c>
      <c r="O24" s="1" t="str">
        <f t="shared" si="9"/>
        <v>KEG</v>
      </c>
      <c r="P24" s="1" t="s">
        <v>29</v>
      </c>
      <c r="Q24" s="1" t="s">
        <v>121</v>
      </c>
      <c r="R24" s="1" t="s">
        <v>211</v>
      </c>
      <c r="S24" s="1">
        <v>43</v>
      </c>
      <c r="Z24" s="2"/>
      <c r="AA24" s="19" t="s">
        <v>179</v>
      </c>
      <c r="AB24" s="9" t="s">
        <v>165</v>
      </c>
      <c r="AH24" s="1" t="s">
        <v>212</v>
      </c>
      <c r="AI24" s="1" t="s">
        <v>36</v>
      </c>
      <c r="AJ24" s="6"/>
      <c r="AP24" s="10" t="s">
        <v>213</v>
      </c>
      <c r="AQ24" s="11" t="s">
        <v>39</v>
      </c>
      <c r="AS24" s="15" t="s">
        <v>214</v>
      </c>
      <c r="AT24" s="16" t="s">
        <v>215</v>
      </c>
      <c r="AX24" s="14" t="s">
        <v>60</v>
      </c>
      <c r="AY24" s="9" t="s">
        <v>144</v>
      </c>
      <c r="BA24" s="1" t="str">
        <f t="shared" si="8"/>
        <v>PR</v>
      </c>
      <c r="BB24" s="1" t="str">
        <f t="shared" si="0"/>
        <v>동남아계</v>
      </c>
    </row>
    <row r="25" spans="1:54" ht="17.5" thickBot="1" x14ac:dyDescent="0.4">
      <c r="A25" s="6">
        <f t="shared" si="1"/>
        <v>2022</v>
      </c>
      <c r="B25" s="6">
        <f t="shared" si="2"/>
        <v>1</v>
      </c>
      <c r="C25" s="7">
        <v>44587</v>
      </c>
      <c r="D25" s="6">
        <f t="shared" si="3"/>
        <v>3</v>
      </c>
      <c r="E25" s="6">
        <f t="shared" si="4"/>
        <v>5</v>
      </c>
      <c r="F25" s="6">
        <f t="shared" si="5"/>
        <v>4</v>
      </c>
      <c r="G25" s="6" t="str">
        <f t="shared" si="6"/>
        <v>01</v>
      </c>
      <c r="H25" s="6" t="str">
        <f t="shared" si="7"/>
        <v>01월 4주차</v>
      </c>
      <c r="I25" s="6" t="str">
        <f>H25&amp;" ("&amp;TEXT(C23,"m/dd")&amp;"~"&amp;TEXT(C29,"m/dd")&amp;")"</f>
        <v>01월 4주차 (1/24~1/30)</v>
      </c>
      <c r="J25" s="6" t="str">
        <f>A23&amp;"년 "&amp;WEEKNUM(C23,2)&amp;"주차"&amp;" ("&amp;TEXT(C23,"m/dd")&amp;"~"&amp;TEXT(C29,"m/dd")&amp;")"</f>
        <v>2022년 5주차 (1/24~1/30)</v>
      </c>
      <c r="K25" s="6">
        <f>YEAR(C23)</f>
        <v>2022</v>
      </c>
      <c r="L25" s="6">
        <f>WEEKNUM(C23,2)</f>
        <v>5</v>
      </c>
      <c r="O25" s="1" t="str">
        <f t="shared" si="9"/>
        <v>KEX</v>
      </c>
      <c r="P25" s="1" t="s">
        <v>29</v>
      </c>
      <c r="Q25" s="1" t="s">
        <v>121</v>
      </c>
      <c r="R25" s="1" t="s">
        <v>216</v>
      </c>
      <c r="S25" s="1">
        <v>44</v>
      </c>
      <c r="Z25" s="2"/>
      <c r="AA25" s="19" t="s">
        <v>217</v>
      </c>
      <c r="AB25" s="9" t="s">
        <v>165</v>
      </c>
      <c r="AH25" s="1" t="s">
        <v>218</v>
      </c>
      <c r="AI25" s="1" t="s">
        <v>36</v>
      </c>
      <c r="AJ25" s="6"/>
      <c r="AP25" s="10" t="s">
        <v>219</v>
      </c>
      <c r="AQ25" s="11" t="s">
        <v>39</v>
      </c>
      <c r="AS25" s="15" t="s">
        <v>220</v>
      </c>
      <c r="AT25" s="16" t="s">
        <v>221</v>
      </c>
      <c r="AX25" s="14" t="s">
        <v>222</v>
      </c>
      <c r="AY25" s="9" t="s">
        <v>120</v>
      </c>
      <c r="AZ25" s="9" t="s">
        <v>223</v>
      </c>
      <c r="BA25" s="1" t="str">
        <f t="shared" si="8"/>
        <v>BA</v>
      </c>
      <c r="BB25" s="1" t="str">
        <f t="shared" si="0"/>
        <v>구주계</v>
      </c>
    </row>
    <row r="26" spans="1:54" ht="17.5" thickBot="1" x14ac:dyDescent="0.4">
      <c r="A26" s="6">
        <f t="shared" si="1"/>
        <v>2022</v>
      </c>
      <c r="B26" s="6">
        <f t="shared" si="2"/>
        <v>1</v>
      </c>
      <c r="C26" s="7">
        <v>44588</v>
      </c>
      <c r="D26" s="6">
        <f t="shared" si="3"/>
        <v>4</v>
      </c>
      <c r="E26" s="6">
        <f t="shared" si="4"/>
        <v>5</v>
      </c>
      <c r="F26" s="6">
        <f t="shared" si="5"/>
        <v>4</v>
      </c>
      <c r="G26" s="6" t="str">
        <f t="shared" si="6"/>
        <v>01</v>
      </c>
      <c r="H26" s="6" t="str">
        <f t="shared" si="7"/>
        <v>01월 4주차</v>
      </c>
      <c r="I26" s="6" t="str">
        <f>H26&amp;" ("&amp;TEXT(C23,"m/dd")&amp;"~"&amp;TEXT(C29,"m/dd")&amp;")"</f>
        <v>01월 4주차 (1/24~1/30)</v>
      </c>
      <c r="J26" s="6" t="str">
        <f>A23&amp;"년 "&amp;WEEKNUM(C23,2)&amp;"주차"&amp;" ("&amp;TEXT(C23,"m/dd")&amp;"~"&amp;TEXT(C29,"m/dd")&amp;")"</f>
        <v>2022년 5주차 (1/24~1/30)</v>
      </c>
      <c r="K26" s="6">
        <f>YEAR(C23)</f>
        <v>2022</v>
      </c>
      <c r="L26" s="6">
        <f>WEEKNUM(C23,2)</f>
        <v>5</v>
      </c>
      <c r="O26" s="1" t="str">
        <f t="shared" si="9"/>
        <v>OZJ</v>
      </c>
      <c r="P26" s="1" t="s">
        <v>224</v>
      </c>
      <c r="Q26" s="1" t="s">
        <v>60</v>
      </c>
      <c r="R26" s="1" t="s">
        <v>61</v>
      </c>
      <c r="S26" s="1">
        <v>21</v>
      </c>
      <c r="Z26" s="2"/>
      <c r="AA26" s="18" t="s">
        <v>225</v>
      </c>
      <c r="AB26" s="9" t="s">
        <v>165</v>
      </c>
      <c r="AH26" s="9" t="s">
        <v>226</v>
      </c>
      <c r="AI26" s="1" t="s">
        <v>36</v>
      </c>
      <c r="AJ26" s="6"/>
      <c r="AP26" s="10" t="s">
        <v>227</v>
      </c>
      <c r="AQ26" s="11" t="s">
        <v>39</v>
      </c>
      <c r="AS26" s="15" t="s">
        <v>228</v>
      </c>
      <c r="AT26" s="16" t="s">
        <v>229</v>
      </c>
      <c r="AX26" s="14" t="s">
        <v>230</v>
      </c>
      <c r="AY26" s="9" t="s">
        <v>153</v>
      </c>
      <c r="AZ26" s="9" t="s">
        <v>231</v>
      </c>
      <c r="BA26" s="1" t="str">
        <f t="shared" si="8"/>
        <v>HA</v>
      </c>
      <c r="BB26" s="1" t="str">
        <f t="shared" si="0"/>
        <v>미주계</v>
      </c>
    </row>
    <row r="27" spans="1:54" ht="17.5" thickBot="1" x14ac:dyDescent="0.4">
      <c r="A27" s="6">
        <f t="shared" si="1"/>
        <v>2022</v>
      </c>
      <c r="B27" s="6">
        <f t="shared" si="2"/>
        <v>1</v>
      </c>
      <c r="C27" s="7">
        <v>44589</v>
      </c>
      <c r="D27" s="6">
        <f t="shared" si="3"/>
        <v>5</v>
      </c>
      <c r="E27" s="6">
        <f t="shared" si="4"/>
        <v>5</v>
      </c>
      <c r="F27" s="6">
        <f t="shared" si="5"/>
        <v>4</v>
      </c>
      <c r="G27" s="6" t="str">
        <f t="shared" si="6"/>
        <v>01</v>
      </c>
      <c r="H27" s="6" t="str">
        <f t="shared" si="7"/>
        <v>01월 4주차</v>
      </c>
      <c r="I27" s="6" t="str">
        <f>H27&amp;" ("&amp;TEXT(C23,"m/dd")&amp;"~"&amp;TEXT(C29,"m/dd")&amp;")"</f>
        <v>01월 4주차 (1/24~1/30)</v>
      </c>
      <c r="J27" s="6" t="str">
        <f>A23&amp;"년 "&amp;WEEKNUM(C23,2)&amp;"주차"&amp;" ("&amp;TEXT(C23,"m/dd")&amp;"~"&amp;TEXT(C29,"m/dd")&amp;")"</f>
        <v>2022년 5주차 (1/24~1/30)</v>
      </c>
      <c r="K27" s="6">
        <f>YEAR(C23)</f>
        <v>2022</v>
      </c>
      <c r="L27" s="6">
        <f>WEEKNUM(C23,2)</f>
        <v>5</v>
      </c>
      <c r="O27" s="1" t="str">
        <f t="shared" si="9"/>
        <v>OZC</v>
      </c>
      <c r="P27" s="1" t="s">
        <v>224</v>
      </c>
      <c r="Q27" s="1" t="s">
        <v>60</v>
      </c>
      <c r="R27" s="1" t="s">
        <v>70</v>
      </c>
      <c r="S27" s="1">
        <v>22</v>
      </c>
      <c r="Z27" s="2"/>
      <c r="AA27" s="18" t="s">
        <v>232</v>
      </c>
      <c r="AB27" s="9" t="s">
        <v>165</v>
      </c>
      <c r="AH27" s="1" t="s">
        <v>233</v>
      </c>
      <c r="AI27" s="1" t="s">
        <v>36</v>
      </c>
      <c r="AJ27" s="6"/>
      <c r="AP27" s="10" t="s">
        <v>234</v>
      </c>
      <c r="AQ27" s="11" t="s">
        <v>39</v>
      </c>
      <c r="AS27" s="15" t="s">
        <v>235</v>
      </c>
      <c r="AT27" s="16" t="s">
        <v>236</v>
      </c>
      <c r="AX27" s="14" t="s">
        <v>237</v>
      </c>
      <c r="AY27" s="9" t="s">
        <v>43</v>
      </c>
      <c r="BA27" s="1" t="str">
        <f t="shared" si="8"/>
        <v>MF</v>
      </c>
      <c r="BB27" s="1" t="str">
        <f t="shared" si="0"/>
        <v>중국계</v>
      </c>
    </row>
    <row r="28" spans="1:54" ht="17.5" thickBot="1" x14ac:dyDescent="0.4">
      <c r="A28" s="6">
        <f t="shared" si="1"/>
        <v>2022</v>
      </c>
      <c r="B28" s="6">
        <f t="shared" si="2"/>
        <v>1</v>
      </c>
      <c r="C28" s="7">
        <v>44590</v>
      </c>
      <c r="D28" s="6">
        <f t="shared" si="3"/>
        <v>6</v>
      </c>
      <c r="E28" s="6">
        <f t="shared" si="4"/>
        <v>5</v>
      </c>
      <c r="F28" s="6">
        <f t="shared" si="5"/>
        <v>4</v>
      </c>
      <c r="G28" s="6" t="str">
        <f t="shared" si="6"/>
        <v>01</v>
      </c>
      <c r="H28" s="6" t="str">
        <f t="shared" si="7"/>
        <v>01월 4주차</v>
      </c>
      <c r="I28" s="6" t="str">
        <f>H28&amp;" ("&amp;TEXT(C23,"m/dd")&amp;"~"&amp;TEXT(C29,"m/dd")&amp;")"</f>
        <v>01월 4주차 (1/24~1/30)</v>
      </c>
      <c r="J28" s="6" t="str">
        <f>A23&amp;"년 "&amp;WEEKNUM(C23,2)&amp;"주차"&amp;" ("&amp;TEXT(C23,"m/dd")&amp;"~"&amp;TEXT(C29,"m/dd")&amp;")"</f>
        <v>2022년 5주차 (1/24~1/30)</v>
      </c>
      <c r="K28" s="6">
        <f>YEAR(C23)</f>
        <v>2022</v>
      </c>
      <c r="L28" s="6">
        <f>WEEKNUM(C23,2)</f>
        <v>5</v>
      </c>
      <c r="O28" s="1" t="str">
        <f t="shared" si="9"/>
        <v>OZD</v>
      </c>
      <c r="P28" s="1" t="s">
        <v>224</v>
      </c>
      <c r="Q28" s="1" t="s">
        <v>60</v>
      </c>
      <c r="R28" s="1" t="s">
        <v>78</v>
      </c>
      <c r="S28" s="1">
        <v>23</v>
      </c>
      <c r="Z28" s="2"/>
      <c r="AA28" s="18" t="s">
        <v>57</v>
      </c>
      <c r="AB28" s="9" t="s">
        <v>165</v>
      </c>
      <c r="AH28" s="1" t="s">
        <v>238</v>
      </c>
      <c r="AI28" s="1" t="s">
        <v>239</v>
      </c>
      <c r="AJ28" s="6"/>
      <c r="AP28" s="10" t="s">
        <v>240</v>
      </c>
      <c r="AQ28" s="11" t="s">
        <v>39</v>
      </c>
      <c r="AS28" s="15" t="s">
        <v>241</v>
      </c>
      <c r="AT28" s="16" t="s">
        <v>242</v>
      </c>
      <c r="AX28" s="14" t="s">
        <v>243</v>
      </c>
      <c r="AY28" s="9" t="s">
        <v>43</v>
      </c>
      <c r="AZ28" s="9" t="s">
        <v>244</v>
      </c>
      <c r="BA28" s="1" t="str">
        <f t="shared" si="8"/>
        <v>BR</v>
      </c>
      <c r="BB28" s="1" t="str">
        <f t="shared" si="0"/>
        <v>중국계</v>
      </c>
    </row>
    <row r="29" spans="1:54" ht="17.5" thickBot="1" x14ac:dyDescent="0.4">
      <c r="A29" s="6">
        <f t="shared" si="1"/>
        <v>2022</v>
      </c>
      <c r="B29" s="6">
        <f t="shared" si="2"/>
        <v>1</v>
      </c>
      <c r="C29" s="7">
        <v>44591</v>
      </c>
      <c r="D29" s="6">
        <f t="shared" si="3"/>
        <v>7</v>
      </c>
      <c r="E29" s="6">
        <f t="shared" si="4"/>
        <v>5</v>
      </c>
      <c r="F29" s="6">
        <f t="shared" si="5"/>
        <v>4</v>
      </c>
      <c r="G29" s="6" t="str">
        <f t="shared" si="6"/>
        <v>01</v>
      </c>
      <c r="H29" s="6" t="str">
        <f t="shared" si="7"/>
        <v>01월 4주차</v>
      </c>
      <c r="I29" s="6" t="str">
        <f>H29&amp;" ("&amp;TEXT(C23,"m/dd")&amp;"~"&amp;TEXT(C29,"m/dd")&amp;")"</f>
        <v>01월 4주차 (1/24~1/30)</v>
      </c>
      <c r="J29" s="6" t="str">
        <f>A23&amp;"년 "&amp;WEEKNUM(C23,2)&amp;"주차"&amp;" ("&amp;TEXT(C23,"m/dd")&amp;"~"&amp;TEXT(C29,"m/dd")&amp;")"</f>
        <v>2022년 5주차 (1/24~1/30)</v>
      </c>
      <c r="K29" s="6">
        <f>YEAR(C23)</f>
        <v>2022</v>
      </c>
      <c r="L29" s="6">
        <f>WEEKNUM(C23,2)</f>
        <v>5</v>
      </c>
      <c r="O29" s="1" t="str">
        <f t="shared" si="9"/>
        <v>OZZ</v>
      </c>
      <c r="P29" s="1" t="s">
        <v>224</v>
      </c>
      <c r="Q29" s="1" t="s">
        <v>60</v>
      </c>
      <c r="R29" s="1" t="s">
        <v>104</v>
      </c>
      <c r="S29" s="1">
        <v>24</v>
      </c>
      <c r="Z29" s="2"/>
      <c r="AA29" s="18" t="s">
        <v>217</v>
      </c>
      <c r="AB29" s="9" t="s">
        <v>165</v>
      </c>
      <c r="AH29" s="1" t="s">
        <v>245</v>
      </c>
      <c r="AI29" s="1" t="s">
        <v>239</v>
      </c>
      <c r="AJ29" s="6"/>
      <c r="AP29" s="10" t="s">
        <v>246</v>
      </c>
      <c r="AQ29" s="11" t="s">
        <v>39</v>
      </c>
      <c r="AS29" s="15" t="s">
        <v>247</v>
      </c>
      <c r="AT29" s="16" t="s">
        <v>248</v>
      </c>
      <c r="AX29" s="14" t="s">
        <v>249</v>
      </c>
      <c r="AY29" s="9" t="s">
        <v>144</v>
      </c>
      <c r="AZ29" s="9" t="s">
        <v>250</v>
      </c>
      <c r="BA29" s="1" t="str">
        <f t="shared" si="8"/>
        <v>UL</v>
      </c>
      <c r="BB29" s="1" t="str">
        <f t="shared" si="0"/>
        <v>동남아계</v>
      </c>
    </row>
    <row r="30" spans="1:54" ht="17.5" thickBot="1" x14ac:dyDescent="0.4">
      <c r="A30" s="6">
        <f t="shared" si="1"/>
        <v>2022</v>
      </c>
      <c r="B30" s="6">
        <f t="shared" si="2"/>
        <v>1</v>
      </c>
      <c r="C30" s="7">
        <v>44592</v>
      </c>
      <c r="D30" s="6">
        <f t="shared" si="3"/>
        <v>1</v>
      </c>
      <c r="E30" s="6">
        <f t="shared" si="4"/>
        <v>6</v>
      </c>
      <c r="F30" s="6">
        <f t="shared" si="5"/>
        <v>5</v>
      </c>
      <c r="G30" s="6" t="str">
        <f t="shared" si="6"/>
        <v>01</v>
      </c>
      <c r="H30" s="6" t="str">
        <f t="shared" si="7"/>
        <v>01월 5주차</v>
      </c>
      <c r="I30" s="6" t="str">
        <f>H30&amp;" ("&amp;TEXT(C30,"m/dd")&amp;"~"&amp;TEXT(C36,"m/dd")&amp;")"</f>
        <v>01월 5주차 (1/31~2/06)</v>
      </c>
      <c r="J30" s="6" t="str">
        <f>A30&amp;"년 "&amp;WEEKNUM(C30,2)&amp;"주차"&amp;" ("&amp;TEXT(C30,"m/dd")&amp;"~"&amp;TEXT(C36,"m/dd")&amp;")"</f>
        <v>2022년 6주차 (1/31~2/06)</v>
      </c>
      <c r="K30" s="6">
        <f>YEAR(C30)</f>
        <v>2022</v>
      </c>
      <c r="L30" s="6">
        <f>WEEKNUM(C30,2)</f>
        <v>6</v>
      </c>
      <c r="O30" s="1" t="str">
        <f t="shared" si="9"/>
        <v>OZU</v>
      </c>
      <c r="P30" s="1" t="s">
        <v>224</v>
      </c>
      <c r="Q30" s="1" t="s">
        <v>60</v>
      </c>
      <c r="R30" s="1" t="s">
        <v>185</v>
      </c>
      <c r="S30" s="1">
        <v>25</v>
      </c>
      <c r="Z30" s="2"/>
      <c r="AA30" s="18" t="s">
        <v>251</v>
      </c>
      <c r="AB30" s="9" t="s">
        <v>165</v>
      </c>
      <c r="AH30" s="1" t="s">
        <v>252</v>
      </c>
      <c r="AI30" s="1" t="s">
        <v>239</v>
      </c>
      <c r="AJ30" s="6"/>
      <c r="AP30" s="10" t="s">
        <v>253</v>
      </c>
      <c r="AQ30" s="11" t="s">
        <v>39</v>
      </c>
      <c r="AS30" s="15" t="s">
        <v>254</v>
      </c>
      <c r="AT30" s="16" t="s">
        <v>255</v>
      </c>
      <c r="AX30" s="14" t="s">
        <v>256</v>
      </c>
      <c r="AY30" s="9" t="s">
        <v>120</v>
      </c>
      <c r="BA30" s="1" t="str">
        <f t="shared" si="8"/>
        <v>LX</v>
      </c>
      <c r="BB30" s="1" t="str">
        <f t="shared" si="0"/>
        <v>구주계</v>
      </c>
    </row>
    <row r="31" spans="1:54" ht="17.5" thickBot="1" x14ac:dyDescent="0.4">
      <c r="A31" s="6">
        <f t="shared" si="1"/>
        <v>2022</v>
      </c>
      <c r="B31" s="6">
        <f t="shared" si="2"/>
        <v>2</v>
      </c>
      <c r="C31" s="7">
        <v>44593</v>
      </c>
      <c r="D31" s="6">
        <f t="shared" si="3"/>
        <v>2</v>
      </c>
      <c r="E31" s="6">
        <f t="shared" si="4"/>
        <v>6</v>
      </c>
      <c r="F31" s="6">
        <f t="shared" si="5"/>
        <v>5</v>
      </c>
      <c r="G31" s="6" t="str">
        <f t="shared" si="6"/>
        <v>02</v>
      </c>
      <c r="H31" s="6" t="str">
        <f t="shared" si="7"/>
        <v>02월 5주차</v>
      </c>
      <c r="I31" s="6" t="str">
        <f>H31&amp;" ("&amp;TEXT(C30,"m/dd")&amp;"~"&amp;TEXT(C36,"m/dd")&amp;")"</f>
        <v>02월 5주차 (1/31~2/06)</v>
      </c>
      <c r="J31" s="6" t="str">
        <f>A30&amp;"년 "&amp;WEEKNUM(C30,2)&amp;"주차"&amp;" ("&amp;TEXT(C30,"m/dd")&amp;"~"&amp;TEXT(C36,"m/dd")&amp;")"</f>
        <v>2022년 6주차 (1/31~2/06)</v>
      </c>
      <c r="K31" s="6">
        <f>YEAR(C30)</f>
        <v>2022</v>
      </c>
      <c r="L31" s="6">
        <f>WEEKNUM(C30,2)</f>
        <v>6</v>
      </c>
      <c r="O31" s="1" t="str">
        <f t="shared" si="9"/>
        <v>OZP</v>
      </c>
      <c r="P31" s="1" t="s">
        <v>224</v>
      </c>
      <c r="Q31" s="1" t="s">
        <v>60</v>
      </c>
      <c r="R31" s="1" t="s">
        <v>31</v>
      </c>
      <c r="S31" s="1">
        <v>26</v>
      </c>
      <c r="T31" s="1" t="s">
        <v>257</v>
      </c>
      <c r="Z31" s="2"/>
      <c r="AA31" s="18" t="s">
        <v>258</v>
      </c>
      <c r="AB31" s="9" t="s">
        <v>165</v>
      </c>
      <c r="AH31" s="1" t="s">
        <v>259</v>
      </c>
      <c r="AI31" s="1" t="s">
        <v>239</v>
      </c>
      <c r="AJ31" s="6"/>
      <c r="AP31" s="10" t="s">
        <v>260</v>
      </c>
      <c r="AQ31" s="11" t="s">
        <v>39</v>
      </c>
      <c r="AS31" s="15" t="s">
        <v>261</v>
      </c>
      <c r="AT31" s="16" t="s">
        <v>262</v>
      </c>
      <c r="AX31" s="14" t="s">
        <v>263</v>
      </c>
      <c r="AY31" s="9" t="s">
        <v>153</v>
      </c>
      <c r="BA31" s="1" t="str">
        <f t="shared" si="8"/>
        <v>AA</v>
      </c>
      <c r="BB31" s="1" t="str">
        <f t="shared" si="0"/>
        <v>미주계</v>
      </c>
    </row>
    <row r="32" spans="1:54" ht="17.5" thickBot="1" x14ac:dyDescent="0.4">
      <c r="A32" s="6">
        <f t="shared" si="1"/>
        <v>2022</v>
      </c>
      <c r="B32" s="6">
        <f t="shared" si="2"/>
        <v>2</v>
      </c>
      <c r="C32" s="7">
        <v>44594</v>
      </c>
      <c r="D32" s="6">
        <f t="shared" si="3"/>
        <v>3</v>
      </c>
      <c r="E32" s="6">
        <f t="shared" si="4"/>
        <v>6</v>
      </c>
      <c r="F32" s="6">
        <f t="shared" si="5"/>
        <v>5</v>
      </c>
      <c r="G32" s="6" t="str">
        <f t="shared" si="6"/>
        <v>02</v>
      </c>
      <c r="H32" s="6" t="str">
        <f t="shared" si="7"/>
        <v>02월 5주차</v>
      </c>
      <c r="I32" s="6" t="str">
        <f>H32&amp;" ("&amp;TEXT(C30,"m/dd")&amp;"~"&amp;TEXT(C36,"m/dd")&amp;")"</f>
        <v>02월 5주차 (1/31~2/06)</v>
      </c>
      <c r="J32" s="6" t="str">
        <f>A30&amp;"년 "&amp;WEEKNUM(C30,2)&amp;"주차"&amp;" ("&amp;TEXT(C30,"m/dd")&amp;"~"&amp;TEXT(C36,"m/dd")&amp;")"</f>
        <v>2022년 6주차 (1/31~2/06)</v>
      </c>
      <c r="K32" s="6">
        <f>YEAR(C30)</f>
        <v>2022</v>
      </c>
      <c r="L32" s="6">
        <f>WEEKNUM(C30,2)</f>
        <v>6</v>
      </c>
      <c r="O32" s="1" t="str">
        <f t="shared" si="9"/>
        <v>OZI</v>
      </c>
      <c r="P32" s="1" t="s">
        <v>224</v>
      </c>
      <c r="Q32" s="1" t="s">
        <v>60</v>
      </c>
      <c r="R32" s="1" t="s">
        <v>86</v>
      </c>
      <c r="S32" s="1">
        <v>27</v>
      </c>
      <c r="Z32" s="2"/>
      <c r="AA32" s="18" t="s">
        <v>251</v>
      </c>
      <c r="AB32" s="9" t="s">
        <v>165</v>
      </c>
      <c r="AH32" s="1" t="s">
        <v>264</v>
      </c>
      <c r="AI32" s="1" t="s">
        <v>239</v>
      </c>
      <c r="AJ32" s="6"/>
      <c r="AP32" s="10" t="s">
        <v>265</v>
      </c>
      <c r="AQ32" s="11" t="s">
        <v>39</v>
      </c>
      <c r="AS32" s="15" t="s">
        <v>266</v>
      </c>
      <c r="AT32" s="16" t="s">
        <v>267</v>
      </c>
      <c r="AX32" s="14" t="s">
        <v>268</v>
      </c>
      <c r="AY32" s="9" t="s">
        <v>144</v>
      </c>
      <c r="BA32" s="1" t="str">
        <f t="shared" si="8"/>
        <v>MH</v>
      </c>
      <c r="BB32" s="1" t="str">
        <f t="shared" si="0"/>
        <v>동남아계</v>
      </c>
    </row>
    <row r="33" spans="1:54" ht="17.5" thickBot="1" x14ac:dyDescent="0.4">
      <c r="A33" s="6">
        <f t="shared" si="1"/>
        <v>2022</v>
      </c>
      <c r="B33" s="6">
        <f t="shared" si="2"/>
        <v>2</v>
      </c>
      <c r="C33" s="7">
        <v>44595</v>
      </c>
      <c r="D33" s="6">
        <f t="shared" si="3"/>
        <v>4</v>
      </c>
      <c r="E33" s="6">
        <f t="shared" si="4"/>
        <v>6</v>
      </c>
      <c r="F33" s="6">
        <f t="shared" si="5"/>
        <v>5</v>
      </c>
      <c r="G33" s="6" t="str">
        <f t="shared" si="6"/>
        <v>02</v>
      </c>
      <c r="H33" s="6" t="str">
        <f t="shared" si="7"/>
        <v>02월 5주차</v>
      </c>
      <c r="I33" s="6" t="str">
        <f>H33&amp;" ("&amp;TEXT(C30,"m/dd")&amp;"~"&amp;TEXT(C36,"m/dd")&amp;")"</f>
        <v>02월 5주차 (1/31~2/06)</v>
      </c>
      <c r="J33" s="6" t="str">
        <f>A30&amp;"년 "&amp;WEEKNUM(C30,2)&amp;"주차"&amp;" ("&amp;TEXT(C30,"m/dd")&amp;"~"&amp;TEXT(C36,"m/dd")&amp;")"</f>
        <v>2022년 6주차 (1/31~2/06)</v>
      </c>
      <c r="K33" s="6">
        <f>YEAR(C30)</f>
        <v>2022</v>
      </c>
      <c r="L33" s="6">
        <f>WEEKNUM(C30,2)</f>
        <v>6</v>
      </c>
      <c r="O33" s="1" t="str">
        <f t="shared" si="9"/>
        <v>OZR</v>
      </c>
      <c r="P33" s="1" t="s">
        <v>224</v>
      </c>
      <c r="Q33" s="1" t="s">
        <v>60</v>
      </c>
      <c r="R33" s="1" t="s">
        <v>95</v>
      </c>
      <c r="S33" s="1">
        <v>28</v>
      </c>
      <c r="Z33" s="2"/>
      <c r="AA33" s="18" t="s">
        <v>269</v>
      </c>
      <c r="AB33" s="9" t="s">
        <v>165</v>
      </c>
      <c r="AH33" s="1" t="s">
        <v>270</v>
      </c>
      <c r="AI33" s="1" t="s">
        <v>239</v>
      </c>
      <c r="AJ33" s="6"/>
      <c r="AP33" s="10" t="s">
        <v>271</v>
      </c>
      <c r="AQ33" s="11" t="s">
        <v>39</v>
      </c>
      <c r="AS33" s="15" t="s">
        <v>272</v>
      </c>
      <c r="AT33" s="16" t="s">
        <v>273</v>
      </c>
      <c r="AX33" s="14" t="s">
        <v>274</v>
      </c>
      <c r="AY33" s="9" t="s">
        <v>275</v>
      </c>
      <c r="AZ33" s="9" t="s">
        <v>276</v>
      </c>
      <c r="BA33" s="1" t="str">
        <f t="shared" si="8"/>
        <v>TW</v>
      </c>
      <c r="BB33" s="1" t="str">
        <f t="shared" si="0"/>
        <v>국내계</v>
      </c>
    </row>
    <row r="34" spans="1:54" ht="17.5" thickBot="1" x14ac:dyDescent="0.4">
      <c r="A34" s="6">
        <f t="shared" si="1"/>
        <v>2022</v>
      </c>
      <c r="B34" s="6">
        <f t="shared" si="2"/>
        <v>2</v>
      </c>
      <c r="C34" s="7">
        <v>44596</v>
      </c>
      <c r="D34" s="6">
        <f t="shared" si="3"/>
        <v>5</v>
      </c>
      <c r="E34" s="6">
        <f t="shared" si="4"/>
        <v>6</v>
      </c>
      <c r="F34" s="6">
        <f t="shared" si="5"/>
        <v>5</v>
      </c>
      <c r="G34" s="6" t="str">
        <f t="shared" si="6"/>
        <v>02</v>
      </c>
      <c r="H34" s="6" t="str">
        <f t="shared" si="7"/>
        <v>02월 5주차</v>
      </c>
      <c r="I34" s="6" t="str">
        <f>H34&amp;" ("&amp;TEXT(C30,"m/dd")&amp;"~"&amp;TEXT(C36,"m/dd")&amp;")"</f>
        <v>02월 5주차 (1/31~2/06)</v>
      </c>
      <c r="J34" s="6" t="str">
        <f>A30&amp;"년 "&amp;WEEKNUM(C30,2)&amp;"주차"&amp;" ("&amp;TEXT(C30,"m/dd")&amp;"~"&amp;TEXT(C36,"m/dd")&amp;")"</f>
        <v>2022년 6주차 (1/31~2/06)</v>
      </c>
      <c r="K34" s="6">
        <f>YEAR(C30)</f>
        <v>2022</v>
      </c>
      <c r="L34" s="6">
        <f>WEEKNUM(C30,2)</f>
        <v>6</v>
      </c>
      <c r="O34" s="1" t="str">
        <f t="shared" si="9"/>
        <v>OZY</v>
      </c>
      <c r="P34" s="1" t="s">
        <v>224</v>
      </c>
      <c r="Q34" s="1" t="s">
        <v>121</v>
      </c>
      <c r="R34" s="1" t="s">
        <v>122</v>
      </c>
      <c r="S34" s="1">
        <v>31</v>
      </c>
      <c r="Z34" s="2"/>
      <c r="AA34" s="18" t="s">
        <v>277</v>
      </c>
      <c r="AB34" s="9" t="s">
        <v>165</v>
      </c>
      <c r="AH34" s="1" t="s">
        <v>278</v>
      </c>
      <c r="AI34" s="1" t="s">
        <v>239</v>
      </c>
      <c r="AJ34" s="6"/>
      <c r="AP34" s="10" t="s">
        <v>279</v>
      </c>
      <c r="AQ34" s="11" t="s">
        <v>39</v>
      </c>
      <c r="AS34" s="15" t="s">
        <v>280</v>
      </c>
      <c r="AT34" s="16" t="s">
        <v>281</v>
      </c>
      <c r="AX34" s="14" t="s">
        <v>282</v>
      </c>
      <c r="AY34" s="9" t="s">
        <v>43</v>
      </c>
      <c r="BA34" s="1" t="str">
        <f t="shared" si="8"/>
        <v>JX</v>
      </c>
      <c r="BB34" s="1" t="str">
        <f t="shared" si="0"/>
        <v>중국계</v>
      </c>
    </row>
    <row r="35" spans="1:54" ht="17.5" thickBot="1" x14ac:dyDescent="0.4">
      <c r="A35" s="6">
        <f t="shared" si="1"/>
        <v>2022</v>
      </c>
      <c r="B35" s="6">
        <f t="shared" si="2"/>
        <v>2</v>
      </c>
      <c r="C35" s="7">
        <v>44597</v>
      </c>
      <c r="D35" s="6">
        <f t="shared" si="3"/>
        <v>6</v>
      </c>
      <c r="E35" s="6">
        <f t="shared" si="4"/>
        <v>6</v>
      </c>
      <c r="F35" s="6">
        <f t="shared" si="5"/>
        <v>5</v>
      </c>
      <c r="G35" s="6" t="str">
        <f t="shared" si="6"/>
        <v>02</v>
      </c>
      <c r="H35" s="6" t="str">
        <f t="shared" si="7"/>
        <v>02월 5주차</v>
      </c>
      <c r="I35" s="6" t="str">
        <f>H35&amp;" ("&amp;TEXT(C30,"m/dd")&amp;"~"&amp;TEXT(C36,"m/dd")&amp;")"</f>
        <v>02월 5주차 (1/31~2/06)</v>
      </c>
      <c r="J35" s="6" t="str">
        <f>A30&amp;"년 "&amp;WEEKNUM(C30,2)&amp;"주차"&amp;" ("&amp;TEXT(C30,"m/dd")&amp;"~"&amp;TEXT(C36,"m/dd")&amp;")"</f>
        <v>2022년 6주차 (1/31~2/06)</v>
      </c>
      <c r="K35" s="6">
        <f>YEAR(C30)</f>
        <v>2022</v>
      </c>
      <c r="L35" s="6">
        <f>WEEKNUM(C30,2)</f>
        <v>6</v>
      </c>
      <c r="O35" s="1" t="str">
        <f t="shared" si="9"/>
        <v>OZB</v>
      </c>
      <c r="P35" s="1" t="s">
        <v>224</v>
      </c>
      <c r="Q35" s="1" t="s">
        <v>121</v>
      </c>
      <c r="R35" s="1" t="s">
        <v>129</v>
      </c>
      <c r="S35" s="1">
        <v>32</v>
      </c>
      <c r="Z35" s="2"/>
      <c r="AA35" s="18" t="s">
        <v>283</v>
      </c>
      <c r="AB35" s="9" t="s">
        <v>165</v>
      </c>
      <c r="AH35" s="1" t="s">
        <v>284</v>
      </c>
      <c r="AI35" s="1" t="s">
        <v>239</v>
      </c>
      <c r="AJ35" s="6"/>
      <c r="AP35" s="10" t="s">
        <v>285</v>
      </c>
      <c r="AQ35" s="11" t="s">
        <v>39</v>
      </c>
      <c r="AS35" s="15" t="s">
        <v>286</v>
      </c>
      <c r="AT35" s="16" t="s">
        <v>287</v>
      </c>
      <c r="AX35" s="14" t="s">
        <v>288</v>
      </c>
      <c r="AY35" s="9" t="s">
        <v>144</v>
      </c>
      <c r="BA35" s="1" t="str">
        <f t="shared" si="8"/>
        <v>RA</v>
      </c>
      <c r="BB35" s="1" t="str">
        <f t="shared" si="0"/>
        <v>동남아계</v>
      </c>
    </row>
    <row r="36" spans="1:54" ht="17.5" thickBot="1" x14ac:dyDescent="0.4">
      <c r="A36" s="6">
        <f t="shared" si="1"/>
        <v>2022</v>
      </c>
      <c r="B36" s="6">
        <f t="shared" si="2"/>
        <v>2</v>
      </c>
      <c r="C36" s="7">
        <v>44598</v>
      </c>
      <c r="D36" s="6">
        <f t="shared" si="3"/>
        <v>7</v>
      </c>
      <c r="E36" s="6">
        <f t="shared" si="4"/>
        <v>6</v>
      </c>
      <c r="F36" s="6">
        <f t="shared" si="5"/>
        <v>5</v>
      </c>
      <c r="G36" s="6" t="str">
        <f t="shared" si="6"/>
        <v>02</v>
      </c>
      <c r="H36" s="6" t="str">
        <f t="shared" si="7"/>
        <v>02월 5주차</v>
      </c>
      <c r="I36" s="6" t="str">
        <f>H36&amp;" ("&amp;TEXT(C30,"m/dd")&amp;"~"&amp;TEXT(C36,"m/dd")&amp;")"</f>
        <v>02월 5주차 (1/31~2/06)</v>
      </c>
      <c r="J36" s="6" t="str">
        <f>A30&amp;"년 "&amp;WEEKNUM(C30,2)&amp;"주차"&amp;" ("&amp;TEXT(C30,"m/dd")&amp;"~"&amp;TEXT(C36,"m/dd")&amp;")"</f>
        <v>2022년 6주차 (1/31~2/06)</v>
      </c>
      <c r="K36" s="6">
        <f>YEAR(C30)</f>
        <v>2022</v>
      </c>
      <c r="L36" s="6">
        <f>WEEKNUM(C30,2)</f>
        <v>6</v>
      </c>
      <c r="O36" s="1" t="str">
        <f t="shared" si="9"/>
        <v>OZM</v>
      </c>
      <c r="P36" s="1" t="s">
        <v>224</v>
      </c>
      <c r="Q36" s="1" t="s">
        <v>121</v>
      </c>
      <c r="R36" s="1" t="s">
        <v>137</v>
      </c>
      <c r="S36" s="1">
        <v>33</v>
      </c>
      <c r="Z36" s="2"/>
      <c r="AA36" s="18" t="s">
        <v>289</v>
      </c>
      <c r="AB36" s="9" t="s">
        <v>165</v>
      </c>
      <c r="AH36" s="1" t="s">
        <v>290</v>
      </c>
      <c r="AI36" s="1" t="s">
        <v>239</v>
      </c>
      <c r="AJ36" s="6"/>
      <c r="AP36" s="10" t="s">
        <v>291</v>
      </c>
      <c r="AQ36" s="9" t="s">
        <v>292</v>
      </c>
      <c r="AS36" s="15" t="s">
        <v>293</v>
      </c>
      <c r="AT36" s="16" t="s">
        <v>294</v>
      </c>
      <c r="AX36" s="14" t="s">
        <v>295</v>
      </c>
      <c r="AY36" s="9" t="s">
        <v>120</v>
      </c>
      <c r="AZ36" s="9" t="s">
        <v>296</v>
      </c>
      <c r="BA36" s="1" t="str">
        <f t="shared" si="8"/>
        <v>AZ</v>
      </c>
      <c r="BB36" s="1" t="str">
        <f t="shared" si="0"/>
        <v>구주계</v>
      </c>
    </row>
    <row r="37" spans="1:54" ht="17.5" thickBot="1" x14ac:dyDescent="0.4">
      <c r="A37" s="6">
        <f t="shared" si="1"/>
        <v>2022</v>
      </c>
      <c r="B37" s="6">
        <f t="shared" si="2"/>
        <v>2</v>
      </c>
      <c r="C37" s="7">
        <v>44599</v>
      </c>
      <c r="D37" s="6">
        <f t="shared" si="3"/>
        <v>1</v>
      </c>
      <c r="E37" s="6">
        <f t="shared" si="4"/>
        <v>7</v>
      </c>
      <c r="F37" s="6">
        <f t="shared" si="5"/>
        <v>1</v>
      </c>
      <c r="G37" s="6" t="str">
        <f t="shared" si="6"/>
        <v>02</v>
      </c>
      <c r="H37" s="6" t="str">
        <f t="shared" si="7"/>
        <v>02월 1주차</v>
      </c>
      <c r="I37" s="6" t="str">
        <f>H37&amp;" ("&amp;TEXT(C37,"m/dd")&amp;"~"&amp;TEXT(C43,"m/dd")&amp;")"</f>
        <v>02월 1주차 (2/07~2/13)</v>
      </c>
      <c r="J37" s="6" t="str">
        <f>A37&amp;"년 "&amp;WEEKNUM(C37,2)&amp;"주차"&amp;" ("&amp;TEXT(C37,"m/dd")&amp;"~"&amp;TEXT(C43,"m/dd")&amp;")"</f>
        <v>2022년 7주차 (2/07~2/13)</v>
      </c>
      <c r="K37" s="6">
        <f>YEAR(C37)</f>
        <v>2022</v>
      </c>
      <c r="L37" s="6">
        <f>WEEKNUM(C37,2)</f>
        <v>7</v>
      </c>
      <c r="O37" s="1" t="str">
        <f t="shared" si="9"/>
        <v>OZH</v>
      </c>
      <c r="P37" s="1" t="s">
        <v>224</v>
      </c>
      <c r="Q37" s="1" t="s">
        <v>121</v>
      </c>
      <c r="R37" s="1" t="s">
        <v>154</v>
      </c>
      <c r="S37" s="1">
        <v>34</v>
      </c>
      <c r="Z37" s="2"/>
      <c r="AA37" t="s">
        <v>297</v>
      </c>
      <c r="AB37" s="9" t="s">
        <v>165</v>
      </c>
      <c r="AH37" s="1" t="s">
        <v>298</v>
      </c>
      <c r="AI37" s="1" t="s">
        <v>239</v>
      </c>
      <c r="AJ37" s="6"/>
      <c r="AP37" s="10" t="s">
        <v>299</v>
      </c>
      <c r="AQ37" s="9" t="s">
        <v>292</v>
      </c>
      <c r="AS37" s="15" t="s">
        <v>300</v>
      </c>
      <c r="AT37" s="16" t="s">
        <v>301</v>
      </c>
      <c r="AX37" s="14" t="s">
        <v>302</v>
      </c>
      <c r="AY37" s="9" t="s">
        <v>43</v>
      </c>
      <c r="BA37" s="1" t="str">
        <f t="shared" si="8"/>
        <v>FM</v>
      </c>
      <c r="BB37" s="1" t="str">
        <f t="shared" si="0"/>
        <v>중국계</v>
      </c>
    </row>
    <row r="38" spans="1:54" ht="17.5" thickBot="1" x14ac:dyDescent="0.4">
      <c r="A38" s="6">
        <f t="shared" si="1"/>
        <v>2022</v>
      </c>
      <c r="B38" s="6">
        <f t="shared" si="2"/>
        <v>2</v>
      </c>
      <c r="C38" s="7">
        <v>44600</v>
      </c>
      <c r="D38" s="6">
        <f t="shared" si="3"/>
        <v>2</v>
      </c>
      <c r="E38" s="6">
        <f t="shared" si="4"/>
        <v>7</v>
      </c>
      <c r="F38" s="6">
        <f t="shared" si="5"/>
        <v>1</v>
      </c>
      <c r="G38" s="6" t="str">
        <f t="shared" si="6"/>
        <v>02</v>
      </c>
      <c r="H38" s="6" t="str">
        <f t="shared" si="7"/>
        <v>02월 1주차</v>
      </c>
      <c r="I38" s="6" t="str">
        <f>H38&amp;" ("&amp;TEXT(C37,"m/dd")&amp;"~"&amp;TEXT(C43,"m/dd")&amp;")"</f>
        <v>02월 1주차 (2/07~2/13)</v>
      </c>
      <c r="J38" s="6" t="str">
        <f>A37&amp;"년 "&amp;WEEKNUM(C37,2)&amp;"주차"&amp;" ("&amp;TEXT(C37,"m/dd")&amp;"~"&amp;TEXT(C43,"m/dd")&amp;")"</f>
        <v>2022년 7주차 (2/07~2/13)</v>
      </c>
      <c r="K38" s="6">
        <f>YEAR(C37)</f>
        <v>2022</v>
      </c>
      <c r="L38" s="6">
        <f>WEEKNUM(C37,2)</f>
        <v>7</v>
      </c>
      <c r="O38" s="1" t="str">
        <f t="shared" si="9"/>
        <v>OZE</v>
      </c>
      <c r="P38" s="1" t="s">
        <v>224</v>
      </c>
      <c r="Q38" s="1" t="s">
        <v>121</v>
      </c>
      <c r="R38" s="1" t="s">
        <v>163</v>
      </c>
      <c r="S38" s="1">
        <v>35</v>
      </c>
      <c r="Z38" s="2"/>
      <c r="AA38" s="18" t="s">
        <v>142</v>
      </c>
      <c r="AB38" s="9" t="s">
        <v>165</v>
      </c>
      <c r="AH38" s="1" t="s">
        <v>303</v>
      </c>
      <c r="AI38" s="1" t="s">
        <v>239</v>
      </c>
      <c r="AJ38" s="6"/>
      <c r="AP38" s="10" t="s">
        <v>304</v>
      </c>
      <c r="AQ38" s="9" t="s">
        <v>292</v>
      </c>
      <c r="AS38" s="15" t="s">
        <v>305</v>
      </c>
      <c r="AT38" s="16" t="s">
        <v>306</v>
      </c>
      <c r="AX38" s="14" t="s">
        <v>221</v>
      </c>
      <c r="AY38" s="9" t="s">
        <v>197</v>
      </c>
      <c r="BA38" s="1" t="str">
        <f t="shared" si="8"/>
        <v>NZ</v>
      </c>
      <c r="BB38" s="1" t="str">
        <f t="shared" si="0"/>
        <v>대양주계</v>
      </c>
    </row>
    <row r="39" spans="1:54" ht="17.5" thickBot="1" x14ac:dyDescent="0.4">
      <c r="A39" s="6">
        <f t="shared" si="1"/>
        <v>2022</v>
      </c>
      <c r="B39" s="6">
        <f t="shared" si="2"/>
        <v>2</v>
      </c>
      <c r="C39" s="7">
        <v>44601</v>
      </c>
      <c r="D39" s="6">
        <f t="shared" si="3"/>
        <v>3</v>
      </c>
      <c r="E39" s="6">
        <f t="shared" si="4"/>
        <v>7</v>
      </c>
      <c r="F39" s="6">
        <f t="shared" si="5"/>
        <v>1</v>
      </c>
      <c r="G39" s="6" t="str">
        <f t="shared" si="6"/>
        <v>02</v>
      </c>
      <c r="H39" s="6" t="str">
        <f t="shared" si="7"/>
        <v>02월 1주차</v>
      </c>
      <c r="I39" s="6" t="str">
        <f>H39&amp;" ("&amp;TEXT(C37,"m/dd")&amp;"~"&amp;TEXT(C43,"m/dd")&amp;")"</f>
        <v>02월 1주차 (2/07~2/13)</v>
      </c>
      <c r="J39" s="6" t="str">
        <f>A37&amp;"년 "&amp;WEEKNUM(C37,2)&amp;"주차"&amp;" ("&amp;TEXT(C37,"m/dd")&amp;"~"&amp;TEXT(C43,"m/dd")&amp;")"</f>
        <v>2022년 7주차 (2/07~2/13)</v>
      </c>
      <c r="K39" s="6">
        <f>YEAR(C37)</f>
        <v>2022</v>
      </c>
      <c r="L39" s="6">
        <f>WEEKNUM(C37,2)</f>
        <v>7</v>
      </c>
      <c r="O39" s="1" t="str">
        <f t="shared" si="9"/>
        <v>OZQ</v>
      </c>
      <c r="P39" s="1" t="s">
        <v>224</v>
      </c>
      <c r="Q39" s="1" t="s">
        <v>121</v>
      </c>
      <c r="R39" s="1" t="s">
        <v>191</v>
      </c>
      <c r="S39" s="1">
        <v>36</v>
      </c>
      <c r="Z39" s="2"/>
      <c r="AA39" s="18" t="s">
        <v>307</v>
      </c>
      <c r="AB39" s="9" t="s">
        <v>165</v>
      </c>
      <c r="AH39" s="1" t="s">
        <v>308</v>
      </c>
      <c r="AI39" s="1" t="s">
        <v>239</v>
      </c>
      <c r="AJ39" s="6"/>
      <c r="AP39" s="10" t="s">
        <v>309</v>
      </c>
      <c r="AQ39" s="9" t="s">
        <v>292</v>
      </c>
      <c r="AS39" s="15" t="s">
        <v>310</v>
      </c>
      <c r="AT39" s="16" t="s">
        <v>311</v>
      </c>
      <c r="AX39" s="14" t="s">
        <v>312</v>
      </c>
      <c r="AY39" s="9" t="s">
        <v>43</v>
      </c>
      <c r="AZ39" s="9" t="s">
        <v>313</v>
      </c>
      <c r="BA39" s="1" t="str">
        <f t="shared" si="8"/>
        <v>JD</v>
      </c>
      <c r="BB39" s="1" t="str">
        <f t="shared" si="0"/>
        <v>중국계</v>
      </c>
    </row>
    <row r="40" spans="1:54" ht="17.5" thickBot="1" x14ac:dyDescent="0.4">
      <c r="A40" s="6">
        <f t="shared" si="1"/>
        <v>2022</v>
      </c>
      <c r="B40" s="6">
        <f t="shared" si="2"/>
        <v>2</v>
      </c>
      <c r="C40" s="7">
        <v>44602</v>
      </c>
      <c r="D40" s="6">
        <f t="shared" si="3"/>
        <v>4</v>
      </c>
      <c r="E40" s="6">
        <f t="shared" si="4"/>
        <v>7</v>
      </c>
      <c r="F40" s="6">
        <f t="shared" si="5"/>
        <v>1</v>
      </c>
      <c r="G40" s="6" t="str">
        <f t="shared" si="6"/>
        <v>02</v>
      </c>
      <c r="H40" s="6" t="str">
        <f t="shared" si="7"/>
        <v>02월 1주차</v>
      </c>
      <c r="I40" s="6" t="str">
        <f>H40&amp;" ("&amp;TEXT(C37,"m/dd")&amp;"~"&amp;TEXT(C43,"m/dd")&amp;")"</f>
        <v>02월 1주차 (2/07~2/13)</v>
      </c>
      <c r="J40" s="6" t="str">
        <f>A37&amp;"년 "&amp;WEEKNUM(C37,2)&amp;"주차"&amp;" ("&amp;TEXT(C37,"m/dd")&amp;"~"&amp;TEXT(C43,"m/dd")&amp;")"</f>
        <v>2022년 7주차 (2/07~2/13)</v>
      </c>
      <c r="K40" s="6">
        <f>YEAR(C37)</f>
        <v>2022</v>
      </c>
      <c r="L40" s="6">
        <f>WEEKNUM(C37,2)</f>
        <v>7</v>
      </c>
      <c r="O40" s="1" t="str">
        <f t="shared" si="9"/>
        <v>OZK</v>
      </c>
      <c r="P40" s="1" t="s">
        <v>224</v>
      </c>
      <c r="Q40" s="1" t="s">
        <v>121</v>
      </c>
      <c r="R40" s="1" t="s">
        <v>171</v>
      </c>
      <c r="S40" s="1">
        <v>37</v>
      </c>
      <c r="Z40" s="2"/>
      <c r="AA40" t="s">
        <v>314</v>
      </c>
      <c r="AB40" s="9" t="s">
        <v>165</v>
      </c>
      <c r="AH40" s="1" t="s">
        <v>315</v>
      </c>
      <c r="AI40" s="1" t="s">
        <v>239</v>
      </c>
      <c r="AJ40" s="6"/>
      <c r="AP40" s="10" t="s">
        <v>316</v>
      </c>
      <c r="AQ40" s="9" t="s">
        <v>292</v>
      </c>
      <c r="AS40" s="15" t="s">
        <v>317</v>
      </c>
      <c r="AT40" s="16" t="s">
        <v>318</v>
      </c>
      <c r="AX40" s="14" t="s">
        <v>319</v>
      </c>
      <c r="AY40" s="9" t="s">
        <v>320</v>
      </c>
      <c r="BA40" s="1" t="str">
        <f t="shared" si="8"/>
        <v>LY</v>
      </c>
      <c r="BB40" s="1" t="str">
        <f t="shared" si="0"/>
        <v>중동계</v>
      </c>
    </row>
    <row r="41" spans="1:54" ht="17.5" thickBot="1" x14ac:dyDescent="0.4">
      <c r="A41" s="6">
        <f t="shared" si="1"/>
        <v>2022</v>
      </c>
      <c r="B41" s="6">
        <f t="shared" si="2"/>
        <v>2</v>
      </c>
      <c r="C41" s="7">
        <v>44603</v>
      </c>
      <c r="D41" s="6">
        <f t="shared" si="3"/>
        <v>5</v>
      </c>
      <c r="E41" s="6">
        <f t="shared" si="4"/>
        <v>7</v>
      </c>
      <c r="F41" s="6">
        <f t="shared" si="5"/>
        <v>1</v>
      </c>
      <c r="G41" s="6" t="str">
        <f t="shared" si="6"/>
        <v>02</v>
      </c>
      <c r="H41" s="6" t="str">
        <f t="shared" si="7"/>
        <v>02월 1주차</v>
      </c>
      <c r="I41" s="6" t="str">
        <f>H41&amp;" ("&amp;TEXT(C37,"m/dd")&amp;"~"&amp;TEXT(C43,"m/dd")&amp;")"</f>
        <v>02월 1주차 (2/07~2/13)</v>
      </c>
      <c r="J41" s="6" t="str">
        <f>A37&amp;"년 "&amp;WEEKNUM(C37,2)&amp;"주차"&amp;" ("&amp;TEXT(C37,"m/dd")&amp;"~"&amp;TEXT(C43,"m/dd")&amp;")"</f>
        <v>2022년 7주차 (2/07~2/13)</v>
      </c>
      <c r="K41" s="6">
        <f>YEAR(C37)</f>
        <v>2022</v>
      </c>
      <c r="L41" s="6">
        <f>WEEKNUM(C37,2)</f>
        <v>7</v>
      </c>
      <c r="O41" s="1" t="str">
        <f t="shared" si="9"/>
        <v>OZS</v>
      </c>
      <c r="P41" s="1" t="s">
        <v>224</v>
      </c>
      <c r="Q41" s="1" t="s">
        <v>121</v>
      </c>
      <c r="R41" s="1" t="s">
        <v>145</v>
      </c>
      <c r="S41" s="1">
        <v>38</v>
      </c>
      <c r="Z41" s="2"/>
      <c r="AA41" t="s">
        <v>175</v>
      </c>
      <c r="AB41" s="9" t="s">
        <v>165</v>
      </c>
      <c r="AH41" s="1" t="s">
        <v>321</v>
      </c>
      <c r="AI41" s="1" t="s">
        <v>322</v>
      </c>
      <c r="AJ41" s="6"/>
      <c r="AP41" s="10" t="s">
        <v>323</v>
      </c>
      <c r="AQ41" s="9" t="s">
        <v>292</v>
      </c>
      <c r="AS41" s="15" t="s">
        <v>324</v>
      </c>
      <c r="AT41" s="16" t="s">
        <v>325</v>
      </c>
      <c r="AX41" s="14" t="s">
        <v>326</v>
      </c>
      <c r="AY41" s="9" t="s">
        <v>120</v>
      </c>
      <c r="AZ41" s="9" t="s">
        <v>327</v>
      </c>
      <c r="BA41" s="1" t="str">
        <f t="shared" si="8"/>
        <v>TK</v>
      </c>
      <c r="BB41" s="1" t="str">
        <f t="shared" si="0"/>
        <v>구주계</v>
      </c>
    </row>
    <row r="42" spans="1:54" ht="17.5" thickBot="1" x14ac:dyDescent="0.4">
      <c r="A42" s="6">
        <f t="shared" si="1"/>
        <v>2022</v>
      </c>
      <c r="B42" s="6">
        <f t="shared" si="2"/>
        <v>2</v>
      </c>
      <c r="C42" s="7">
        <v>44604</v>
      </c>
      <c r="D42" s="6">
        <f t="shared" si="3"/>
        <v>6</v>
      </c>
      <c r="E42" s="6">
        <f t="shared" si="4"/>
        <v>7</v>
      </c>
      <c r="F42" s="6">
        <f t="shared" si="5"/>
        <v>1</v>
      </c>
      <c r="G42" s="6" t="str">
        <f t="shared" si="6"/>
        <v>02</v>
      </c>
      <c r="H42" s="6" t="str">
        <f t="shared" si="7"/>
        <v>02월 1주차</v>
      </c>
      <c r="I42" s="6" t="str">
        <f>H42&amp;" ("&amp;TEXT(C37,"m/dd")&amp;"~"&amp;TEXT(C43,"m/dd")&amp;")"</f>
        <v>02월 1주차 (2/07~2/13)</v>
      </c>
      <c r="J42" s="6" t="str">
        <f>A37&amp;"년 "&amp;WEEKNUM(C37,2)&amp;"주차"&amp;" ("&amp;TEXT(C37,"m/dd")&amp;"~"&amp;TEXT(C43,"m/dd")&amp;")"</f>
        <v>2022년 7주차 (2/07~2/13)</v>
      </c>
      <c r="K42" s="6">
        <f>YEAR(C37)</f>
        <v>2022</v>
      </c>
      <c r="L42" s="6">
        <f>WEEKNUM(C37,2)</f>
        <v>7</v>
      </c>
      <c r="O42" s="1" t="str">
        <f t="shared" si="9"/>
        <v>OZV</v>
      </c>
      <c r="P42" s="1" t="s">
        <v>224</v>
      </c>
      <c r="Q42" s="1" t="s">
        <v>121</v>
      </c>
      <c r="R42" s="1" t="s">
        <v>328</v>
      </c>
      <c r="S42" s="1">
        <v>39</v>
      </c>
      <c r="Z42" s="2"/>
      <c r="AA42" t="s">
        <v>329</v>
      </c>
      <c r="AB42" s="9" t="s">
        <v>165</v>
      </c>
      <c r="AH42" s="1" t="s">
        <v>330</v>
      </c>
      <c r="AI42" s="1" t="s">
        <v>322</v>
      </c>
      <c r="AJ42" s="6"/>
      <c r="AP42" s="10" t="s">
        <v>331</v>
      </c>
      <c r="AQ42" s="9" t="s">
        <v>292</v>
      </c>
      <c r="AS42" s="15" t="s">
        <v>332</v>
      </c>
      <c r="AT42" s="16" t="s">
        <v>333</v>
      </c>
      <c r="AX42" s="14" t="s">
        <v>334</v>
      </c>
      <c r="AY42" s="9" t="s">
        <v>153</v>
      </c>
      <c r="BA42" s="1" t="str">
        <f t="shared" si="8"/>
        <v>AC</v>
      </c>
      <c r="BB42" s="1" t="str">
        <f t="shared" si="0"/>
        <v>미주계</v>
      </c>
    </row>
    <row r="43" spans="1:54" ht="17.5" thickBot="1" x14ac:dyDescent="0.4">
      <c r="A43" s="6">
        <f t="shared" si="1"/>
        <v>2022</v>
      </c>
      <c r="B43" s="6">
        <f t="shared" si="2"/>
        <v>2</v>
      </c>
      <c r="C43" s="7">
        <v>44605</v>
      </c>
      <c r="D43" s="6">
        <f t="shared" si="3"/>
        <v>7</v>
      </c>
      <c r="E43" s="6">
        <f t="shared" si="4"/>
        <v>7</v>
      </c>
      <c r="F43" s="6">
        <f t="shared" si="5"/>
        <v>1</v>
      </c>
      <c r="G43" s="6" t="str">
        <f t="shared" si="6"/>
        <v>02</v>
      </c>
      <c r="H43" s="6" t="str">
        <f t="shared" si="7"/>
        <v>02월 1주차</v>
      </c>
      <c r="I43" s="6" t="str">
        <f>H43&amp;" ("&amp;TEXT(C37,"m/dd")&amp;"~"&amp;TEXT(C43,"m/dd")&amp;")"</f>
        <v>02월 1주차 (2/07~2/13)</v>
      </c>
      <c r="J43" s="6" t="str">
        <f>A37&amp;"년 "&amp;WEEKNUM(C37,2)&amp;"주차"&amp;" ("&amp;TEXT(C37,"m/dd")&amp;"~"&amp;TEXT(C43,"m/dd")&amp;")"</f>
        <v>2022년 7주차 (2/07~2/13)</v>
      </c>
      <c r="K43" s="6">
        <f>YEAR(C37)</f>
        <v>2022</v>
      </c>
      <c r="L43" s="6">
        <f>WEEKNUM(C37,2)</f>
        <v>7</v>
      </c>
      <c r="O43" s="1" t="str">
        <f t="shared" si="9"/>
        <v>OZW</v>
      </c>
      <c r="P43" s="1" t="s">
        <v>224</v>
      </c>
      <c r="Q43" s="1" t="s">
        <v>121</v>
      </c>
      <c r="R43" s="1" t="s">
        <v>335</v>
      </c>
      <c r="S43" s="1">
        <v>40</v>
      </c>
      <c r="Z43" s="2"/>
      <c r="AA43" t="s">
        <v>336</v>
      </c>
      <c r="AB43" s="9" t="s">
        <v>165</v>
      </c>
      <c r="AH43" s="1" t="s">
        <v>337</v>
      </c>
      <c r="AI43" s="1" t="s">
        <v>322</v>
      </c>
      <c r="AJ43" s="6"/>
      <c r="AP43" s="10" t="s">
        <v>338</v>
      </c>
      <c r="AQ43" s="9" t="s">
        <v>292</v>
      </c>
      <c r="AS43" s="15" t="s">
        <v>339</v>
      </c>
      <c r="AT43" s="16" t="s">
        <v>340</v>
      </c>
      <c r="AX43" s="14" t="s">
        <v>341</v>
      </c>
      <c r="AY43" s="9" t="s">
        <v>153</v>
      </c>
      <c r="AZ43" s="9" t="s">
        <v>342</v>
      </c>
      <c r="BA43" s="1" t="str">
        <f t="shared" si="8"/>
        <v>DL</v>
      </c>
      <c r="BB43" s="1" t="str">
        <f t="shared" si="0"/>
        <v>미주계</v>
      </c>
    </row>
    <row r="44" spans="1:54" ht="17.5" thickBot="1" x14ac:dyDescent="0.4">
      <c r="A44" s="6">
        <f t="shared" si="1"/>
        <v>2022</v>
      </c>
      <c r="B44" s="6">
        <f t="shared" si="2"/>
        <v>2</v>
      </c>
      <c r="C44" s="7">
        <v>44606</v>
      </c>
      <c r="D44" s="6">
        <f t="shared" si="3"/>
        <v>1</v>
      </c>
      <c r="E44" s="6">
        <f t="shared" si="4"/>
        <v>8</v>
      </c>
      <c r="F44" s="6">
        <f t="shared" si="5"/>
        <v>2</v>
      </c>
      <c r="G44" s="6" t="str">
        <f t="shared" si="6"/>
        <v>02</v>
      </c>
      <c r="H44" s="6" t="str">
        <f t="shared" si="7"/>
        <v>02월 2주차</v>
      </c>
      <c r="I44" s="6" t="str">
        <f>H44&amp;" ("&amp;TEXT(C44,"m/dd")&amp;"~"&amp;TEXT(C50,"m/dd")&amp;")"</f>
        <v>02월 2주차 (2/14~2/20)</v>
      </c>
      <c r="J44" s="6" t="str">
        <f>A44&amp;"년 "&amp;WEEKNUM(C44,2)&amp;"주차"&amp;" ("&amp;TEXT(C44,"m/dd")&amp;"~"&amp;TEXT(C50,"m/dd")&amp;")"</f>
        <v>2022년 8주차 (2/14~2/20)</v>
      </c>
      <c r="K44" s="6">
        <f>YEAR(C44)</f>
        <v>2022</v>
      </c>
      <c r="L44" s="6">
        <f>WEEKNUM(C44,2)</f>
        <v>8</v>
      </c>
      <c r="O44" s="1" t="str">
        <f t="shared" si="9"/>
        <v>OZT</v>
      </c>
      <c r="P44" s="1" t="s">
        <v>224</v>
      </c>
      <c r="Q44" s="1" t="s">
        <v>121</v>
      </c>
      <c r="R44" s="1" t="s">
        <v>204</v>
      </c>
      <c r="S44" s="1">
        <v>41</v>
      </c>
      <c r="Z44" s="2"/>
      <c r="AA44" t="s">
        <v>343</v>
      </c>
      <c r="AB44" s="9" t="s">
        <v>165</v>
      </c>
      <c r="AH44" s="1" t="s">
        <v>344</v>
      </c>
      <c r="AI44" s="1" t="s">
        <v>322</v>
      </c>
      <c r="AJ44" s="6"/>
      <c r="AP44" s="10" t="s">
        <v>345</v>
      </c>
      <c r="AQ44" s="9" t="s">
        <v>292</v>
      </c>
      <c r="AS44" s="15" t="s">
        <v>146</v>
      </c>
      <c r="AT44" s="16" t="s">
        <v>346</v>
      </c>
      <c r="AX44" s="14" t="s">
        <v>347</v>
      </c>
      <c r="AY44" s="9" t="s">
        <v>120</v>
      </c>
      <c r="BA44" s="1" t="str">
        <f t="shared" si="8"/>
        <v>KL</v>
      </c>
      <c r="BB44" s="1" t="str">
        <f t="shared" si="0"/>
        <v>구주계</v>
      </c>
    </row>
    <row r="45" spans="1:54" ht="17.5" thickBot="1" x14ac:dyDescent="0.4">
      <c r="A45" s="6">
        <f t="shared" si="1"/>
        <v>2022</v>
      </c>
      <c r="B45" s="6">
        <f t="shared" si="2"/>
        <v>2</v>
      </c>
      <c r="C45" s="7">
        <v>44607</v>
      </c>
      <c r="D45" s="6">
        <f t="shared" si="3"/>
        <v>2</v>
      </c>
      <c r="E45" s="6">
        <f t="shared" si="4"/>
        <v>8</v>
      </c>
      <c r="F45" s="6">
        <f t="shared" si="5"/>
        <v>2</v>
      </c>
      <c r="G45" s="6" t="str">
        <f t="shared" si="6"/>
        <v>02</v>
      </c>
      <c r="H45" s="6" t="str">
        <f t="shared" si="7"/>
        <v>02월 2주차</v>
      </c>
      <c r="I45" s="6" t="str">
        <f>H45&amp;" ("&amp;TEXT(C44,"m/dd")&amp;"~"&amp;TEXT(C50,"m/dd")&amp;")"</f>
        <v>02월 2주차 (2/14~2/20)</v>
      </c>
      <c r="J45" s="6" t="str">
        <f>A44&amp;"년 "&amp;WEEKNUM(C44,2)&amp;"주차"&amp;" ("&amp;TEXT(C44,"m/dd")&amp;"~"&amp;TEXT(C50,"m/dd")&amp;")"</f>
        <v>2022년 8주차 (2/14~2/20)</v>
      </c>
      <c r="K45" s="6">
        <f>YEAR(C44)</f>
        <v>2022</v>
      </c>
      <c r="L45" s="6">
        <f>WEEKNUM(C44,2)</f>
        <v>8</v>
      </c>
      <c r="O45" s="1" t="str">
        <f t="shared" si="9"/>
        <v>OZG</v>
      </c>
      <c r="P45" s="1" t="s">
        <v>224</v>
      </c>
      <c r="Q45" s="1" t="s">
        <v>121</v>
      </c>
      <c r="R45" s="1" t="s">
        <v>211</v>
      </c>
      <c r="S45" s="1">
        <v>42</v>
      </c>
      <c r="Z45" s="2"/>
      <c r="AA45" t="s">
        <v>348</v>
      </c>
      <c r="AB45" s="9" t="s">
        <v>165</v>
      </c>
      <c r="AH45" s="1" t="s">
        <v>349</v>
      </c>
      <c r="AI45" s="1" t="s">
        <v>322</v>
      </c>
      <c r="AJ45" s="6"/>
      <c r="AP45" s="10" t="s">
        <v>350</v>
      </c>
      <c r="AQ45" s="9" t="s">
        <v>292</v>
      </c>
      <c r="AS45" s="15" t="s">
        <v>351</v>
      </c>
      <c r="AT45" s="16" t="s">
        <v>319</v>
      </c>
      <c r="AX45" s="14" t="s">
        <v>352</v>
      </c>
      <c r="AY45" s="9" t="s">
        <v>120</v>
      </c>
      <c r="AZ45" s="9" t="s">
        <v>353</v>
      </c>
      <c r="BA45" s="1" t="str">
        <f t="shared" si="8"/>
        <v>OS</v>
      </c>
      <c r="BB45" s="1" t="str">
        <f t="shared" si="0"/>
        <v>구주계</v>
      </c>
    </row>
    <row r="46" spans="1:54" ht="17.5" thickBot="1" x14ac:dyDescent="0.4">
      <c r="A46" s="6">
        <f t="shared" si="1"/>
        <v>2022</v>
      </c>
      <c r="B46" s="6">
        <f t="shared" si="2"/>
        <v>2</v>
      </c>
      <c r="C46" s="7">
        <v>44608</v>
      </c>
      <c r="D46" s="6">
        <f t="shared" si="3"/>
        <v>3</v>
      </c>
      <c r="E46" s="6">
        <f t="shared" si="4"/>
        <v>8</v>
      </c>
      <c r="F46" s="6">
        <f t="shared" si="5"/>
        <v>2</v>
      </c>
      <c r="G46" s="6" t="str">
        <f t="shared" si="6"/>
        <v>02</v>
      </c>
      <c r="H46" s="6" t="str">
        <f t="shared" si="7"/>
        <v>02월 2주차</v>
      </c>
      <c r="I46" s="6" t="str">
        <f>H46&amp;" ("&amp;TEXT(C44,"m/dd")&amp;"~"&amp;TEXT(C50,"m/dd")&amp;")"</f>
        <v>02월 2주차 (2/14~2/20)</v>
      </c>
      <c r="J46" s="6" t="str">
        <f>A44&amp;"년 "&amp;WEEKNUM(C44,2)&amp;"주차"&amp;" ("&amp;TEXT(C44,"m/dd")&amp;"~"&amp;TEXT(C50,"m/dd")&amp;")"</f>
        <v>2022년 8주차 (2/14~2/20)</v>
      </c>
      <c r="K46" s="6">
        <f>YEAR(C44)</f>
        <v>2022</v>
      </c>
      <c r="L46" s="6">
        <f>WEEKNUM(C44,2)</f>
        <v>8</v>
      </c>
      <c r="O46" s="1" t="str">
        <f t="shared" si="9"/>
        <v>OZL</v>
      </c>
      <c r="P46" s="1" t="s">
        <v>224</v>
      </c>
      <c r="Q46" s="1" t="s">
        <v>121</v>
      </c>
      <c r="R46" s="1" t="s">
        <v>178</v>
      </c>
      <c r="S46" s="1">
        <v>43</v>
      </c>
      <c r="Z46" s="2"/>
      <c r="AA46" t="s">
        <v>126</v>
      </c>
      <c r="AB46" s="9" t="s">
        <v>165</v>
      </c>
      <c r="AH46" s="1" t="s">
        <v>354</v>
      </c>
      <c r="AI46" s="1" t="s">
        <v>322</v>
      </c>
      <c r="AJ46" s="6"/>
      <c r="AP46" s="10" t="s">
        <v>355</v>
      </c>
      <c r="AQ46" s="9" t="s">
        <v>292</v>
      </c>
      <c r="AS46" s="15" t="s">
        <v>356</v>
      </c>
      <c r="AT46" s="16" t="s">
        <v>357</v>
      </c>
      <c r="AX46" s="14" t="s">
        <v>358</v>
      </c>
      <c r="AY46" s="9" t="s">
        <v>144</v>
      </c>
      <c r="AZ46" s="9" t="s">
        <v>359</v>
      </c>
      <c r="BA46" s="1" t="str">
        <f t="shared" si="8"/>
        <v>AI</v>
      </c>
      <c r="BB46" s="1" t="str">
        <f t="shared" si="0"/>
        <v>동남아계</v>
      </c>
    </row>
    <row r="47" spans="1:54" ht="17.5" thickBot="1" x14ac:dyDescent="0.4">
      <c r="A47" s="6">
        <f t="shared" si="1"/>
        <v>2022</v>
      </c>
      <c r="B47" s="6">
        <f t="shared" si="2"/>
        <v>2</v>
      </c>
      <c r="C47" s="7">
        <v>44609</v>
      </c>
      <c r="D47" s="6">
        <f t="shared" si="3"/>
        <v>4</v>
      </c>
      <c r="E47" s="6">
        <f t="shared" si="4"/>
        <v>8</v>
      </c>
      <c r="F47" s="6">
        <f t="shared" si="5"/>
        <v>2</v>
      </c>
      <c r="G47" s="6" t="str">
        <f t="shared" si="6"/>
        <v>02</v>
      </c>
      <c r="H47" s="6" t="str">
        <f t="shared" si="7"/>
        <v>02월 2주차</v>
      </c>
      <c r="I47" s="6" t="str">
        <f>H47&amp;" ("&amp;TEXT(C44,"m/dd")&amp;"~"&amp;TEXT(C50,"m/dd")&amp;")"</f>
        <v>02월 2주차 (2/14~2/20)</v>
      </c>
      <c r="J47" s="6" t="str">
        <f>A44&amp;"년 "&amp;WEEKNUM(C44,2)&amp;"주차"&amp;" ("&amp;TEXT(C44,"m/dd")&amp;"~"&amp;TEXT(C50,"m/dd")&amp;")"</f>
        <v>2022년 8주차 (2/14~2/20)</v>
      </c>
      <c r="K47" s="6">
        <f>YEAR(C44)</f>
        <v>2022</v>
      </c>
      <c r="L47" s="6">
        <f>WEEKNUM(C44,2)</f>
        <v>8</v>
      </c>
      <c r="O47" s="1" t="str">
        <f t="shared" si="9"/>
        <v>OZX</v>
      </c>
      <c r="P47" s="1" t="s">
        <v>224</v>
      </c>
      <c r="Q47" s="1" t="s">
        <v>121</v>
      </c>
      <c r="R47" s="1" t="s">
        <v>216</v>
      </c>
      <c r="S47" s="1">
        <v>44</v>
      </c>
      <c r="Z47" s="2"/>
      <c r="AA47" s="17" t="s">
        <v>360</v>
      </c>
      <c r="AB47" s="9" t="s">
        <v>165</v>
      </c>
      <c r="AH47" s="1" t="s">
        <v>361</v>
      </c>
      <c r="AI47" s="1" t="s">
        <v>322</v>
      </c>
      <c r="AJ47" s="6"/>
      <c r="AP47" s="10" t="s">
        <v>362</v>
      </c>
      <c r="AQ47" s="9" t="s">
        <v>292</v>
      </c>
      <c r="AS47" s="15" t="s">
        <v>363</v>
      </c>
      <c r="AT47" s="16" t="s">
        <v>364</v>
      </c>
      <c r="AX47" s="14" t="s">
        <v>365</v>
      </c>
      <c r="AY47" s="9" t="s">
        <v>120</v>
      </c>
      <c r="BA47" s="1" t="str">
        <f t="shared" si="8"/>
        <v>IB</v>
      </c>
      <c r="BB47" s="1" t="str">
        <f t="shared" si="0"/>
        <v>구주계</v>
      </c>
    </row>
    <row r="48" spans="1:54" ht="17.5" thickBot="1" x14ac:dyDescent="0.4">
      <c r="A48" s="6">
        <f t="shared" si="1"/>
        <v>2022</v>
      </c>
      <c r="B48" s="6">
        <f t="shared" si="2"/>
        <v>2</v>
      </c>
      <c r="C48" s="7">
        <v>44610</v>
      </c>
      <c r="D48" s="6">
        <f t="shared" si="3"/>
        <v>5</v>
      </c>
      <c r="E48" s="6">
        <f t="shared" si="4"/>
        <v>8</v>
      </c>
      <c r="F48" s="6">
        <f t="shared" si="5"/>
        <v>2</v>
      </c>
      <c r="G48" s="6" t="str">
        <f t="shared" si="6"/>
        <v>02</v>
      </c>
      <c r="H48" s="6" t="str">
        <f t="shared" si="7"/>
        <v>02월 2주차</v>
      </c>
      <c r="I48" s="6" t="str">
        <f>H48&amp;" ("&amp;TEXT(C44,"m/dd")&amp;"~"&amp;TEXT(C50,"m/dd")&amp;")"</f>
        <v>02월 2주차 (2/14~2/20)</v>
      </c>
      <c r="J48" s="6" t="str">
        <f>A44&amp;"년 "&amp;WEEKNUM(C44,2)&amp;"주차"&amp;" ("&amp;TEXT(C44,"m/dd")&amp;"~"&amp;TEXT(C50,"m/dd")&amp;")"</f>
        <v>2022년 8주차 (2/14~2/20)</v>
      </c>
      <c r="K48" s="6">
        <f>YEAR(C44)</f>
        <v>2022</v>
      </c>
      <c r="L48" s="6">
        <f>WEEKNUM(C44,2)</f>
        <v>8</v>
      </c>
      <c r="O48" s="1" t="str">
        <f t="shared" si="9"/>
        <v>OZN</v>
      </c>
      <c r="P48" s="1" t="s">
        <v>224</v>
      </c>
      <c r="Q48" s="1" t="s">
        <v>121</v>
      </c>
      <c r="R48" s="1" t="s">
        <v>198</v>
      </c>
      <c r="S48" s="1">
        <v>45</v>
      </c>
      <c r="Z48" s="2"/>
      <c r="AA48" t="s">
        <v>366</v>
      </c>
      <c r="AB48" s="9" t="s">
        <v>165</v>
      </c>
      <c r="AH48" s="1" t="s">
        <v>367</v>
      </c>
      <c r="AI48" s="1" t="s">
        <v>322</v>
      </c>
      <c r="AJ48" s="6"/>
      <c r="AP48" s="20"/>
      <c r="AS48" s="15" t="s">
        <v>71</v>
      </c>
      <c r="AT48" s="16" t="s">
        <v>368</v>
      </c>
      <c r="AX48" s="14" t="s">
        <v>369</v>
      </c>
      <c r="AY48" s="9" t="s">
        <v>43</v>
      </c>
      <c r="BA48" s="1" t="str">
        <f t="shared" si="8"/>
        <v>OM</v>
      </c>
      <c r="BB48" s="1" t="str">
        <f t="shared" si="0"/>
        <v>중국계</v>
      </c>
    </row>
    <row r="49" spans="1:54" ht="17.5" thickBot="1" x14ac:dyDescent="0.4">
      <c r="A49" s="6">
        <f t="shared" si="1"/>
        <v>2022</v>
      </c>
      <c r="B49" s="6">
        <f t="shared" si="2"/>
        <v>2</v>
      </c>
      <c r="C49" s="7">
        <v>44611</v>
      </c>
      <c r="D49" s="6">
        <f t="shared" si="3"/>
        <v>6</v>
      </c>
      <c r="E49" s="6">
        <f t="shared" si="4"/>
        <v>8</v>
      </c>
      <c r="F49" s="6">
        <f t="shared" si="5"/>
        <v>2</v>
      </c>
      <c r="G49" s="6" t="str">
        <f t="shared" si="6"/>
        <v>02</v>
      </c>
      <c r="H49" s="6" t="str">
        <f t="shared" si="7"/>
        <v>02월 2주차</v>
      </c>
      <c r="I49" s="6" t="str">
        <f>H49&amp;" ("&amp;TEXT(C44,"m/dd")&amp;"~"&amp;TEXT(C50,"m/dd")&amp;")"</f>
        <v>02월 2주차 (2/14~2/20)</v>
      </c>
      <c r="J49" s="6" t="str">
        <f>A44&amp;"년 "&amp;WEEKNUM(C44,2)&amp;"주차"&amp;" ("&amp;TEXT(C44,"m/dd")&amp;"~"&amp;TEXT(C50,"m/dd")&amp;")"</f>
        <v>2022년 8주차 (2/14~2/20)</v>
      </c>
      <c r="K49" s="6">
        <f>YEAR(C44)</f>
        <v>2022</v>
      </c>
      <c r="L49" s="6">
        <f>WEEKNUM(C44,2)</f>
        <v>8</v>
      </c>
      <c r="O49" s="1" t="str">
        <f t="shared" si="9"/>
        <v>JLF</v>
      </c>
      <c r="P49" s="1" t="s">
        <v>102</v>
      </c>
      <c r="Q49" s="1" t="s">
        <v>30</v>
      </c>
      <c r="R49" s="1" t="s">
        <v>44</v>
      </c>
      <c r="S49" s="1">
        <v>11</v>
      </c>
      <c r="Z49" s="2"/>
      <c r="AA49" t="s">
        <v>370</v>
      </c>
      <c r="AB49" s="9" t="s">
        <v>165</v>
      </c>
      <c r="AH49" s="1" t="s">
        <v>371</v>
      </c>
      <c r="AI49" s="1" t="s">
        <v>322</v>
      </c>
      <c r="AJ49" s="6"/>
      <c r="AS49" s="15" t="s">
        <v>372</v>
      </c>
      <c r="AT49" s="16" t="s">
        <v>373</v>
      </c>
      <c r="AX49" s="14" t="s">
        <v>374</v>
      </c>
      <c r="AY49" s="9" t="s">
        <v>197</v>
      </c>
      <c r="BA49" s="1" t="str">
        <f t="shared" si="8"/>
        <v>JQ</v>
      </c>
      <c r="BB49" s="1" t="str">
        <f t="shared" si="0"/>
        <v>대양주계</v>
      </c>
    </row>
    <row r="50" spans="1:54" ht="17.5" thickBot="1" x14ac:dyDescent="0.4">
      <c r="A50" s="6">
        <f t="shared" si="1"/>
        <v>2022</v>
      </c>
      <c r="B50" s="6">
        <f t="shared" si="2"/>
        <v>2</v>
      </c>
      <c r="C50" s="7">
        <v>44612</v>
      </c>
      <c r="D50" s="6">
        <f t="shared" si="3"/>
        <v>7</v>
      </c>
      <c r="E50" s="6">
        <f t="shared" si="4"/>
        <v>8</v>
      </c>
      <c r="F50" s="6">
        <f t="shared" si="5"/>
        <v>2</v>
      </c>
      <c r="G50" s="6" t="str">
        <f t="shared" si="6"/>
        <v>02</v>
      </c>
      <c r="H50" s="6" t="str">
        <f t="shared" si="7"/>
        <v>02월 2주차</v>
      </c>
      <c r="I50" s="6" t="str">
        <f>H50&amp;" ("&amp;TEXT(C44,"m/dd")&amp;"~"&amp;TEXT(C50,"m/dd")&amp;")"</f>
        <v>02월 2주차 (2/14~2/20)</v>
      </c>
      <c r="J50" s="6" t="str">
        <f>A44&amp;"년 "&amp;WEEKNUM(C44,2)&amp;"주차"&amp;" ("&amp;TEXT(C44,"m/dd")&amp;"~"&amp;TEXT(C50,"m/dd")&amp;")"</f>
        <v>2022년 8주차 (2/14~2/20)</v>
      </c>
      <c r="K50" s="6">
        <f>YEAR(C44)</f>
        <v>2022</v>
      </c>
      <c r="L50" s="6">
        <f>WEEKNUM(C44,2)</f>
        <v>8</v>
      </c>
      <c r="O50" s="1" t="str">
        <f t="shared" si="9"/>
        <v>JLA</v>
      </c>
      <c r="P50" s="1" t="s">
        <v>102</v>
      </c>
      <c r="Q50" s="1" t="s">
        <v>30</v>
      </c>
      <c r="R50" s="1" t="s">
        <v>52</v>
      </c>
      <c r="S50" s="1">
        <v>12</v>
      </c>
      <c r="Z50" s="2"/>
      <c r="AA50" t="s">
        <v>235</v>
      </c>
      <c r="AB50" s="9" t="s">
        <v>165</v>
      </c>
      <c r="AH50" s="1" t="s">
        <v>375</v>
      </c>
      <c r="AI50" s="1" t="s">
        <v>322</v>
      </c>
      <c r="AJ50" s="6"/>
      <c r="AS50" s="15" t="s">
        <v>376</v>
      </c>
      <c r="AT50" s="16" t="s">
        <v>268</v>
      </c>
      <c r="AX50" s="14" t="s">
        <v>377</v>
      </c>
      <c r="AY50" s="9" t="s">
        <v>120</v>
      </c>
      <c r="BA50" s="1" t="str">
        <f t="shared" si="8"/>
        <v>LH</v>
      </c>
      <c r="BB50" s="1" t="str">
        <f t="shared" si="0"/>
        <v>구주계</v>
      </c>
    </row>
    <row r="51" spans="1:54" ht="17.5" thickBot="1" x14ac:dyDescent="0.4">
      <c r="A51" s="6">
        <f t="shared" si="1"/>
        <v>2022</v>
      </c>
      <c r="B51" s="6">
        <f t="shared" si="2"/>
        <v>2</v>
      </c>
      <c r="C51" s="7">
        <v>44613</v>
      </c>
      <c r="D51" s="6">
        <f t="shared" si="3"/>
        <v>1</v>
      </c>
      <c r="E51" s="6">
        <f t="shared" si="4"/>
        <v>9</v>
      </c>
      <c r="F51" s="6">
        <f t="shared" si="5"/>
        <v>3</v>
      </c>
      <c r="G51" s="6" t="str">
        <f t="shared" si="6"/>
        <v>02</v>
      </c>
      <c r="H51" s="6" t="str">
        <f t="shared" si="7"/>
        <v>02월 3주차</v>
      </c>
      <c r="I51" s="6" t="str">
        <f>H51&amp;" ("&amp;TEXT(C51,"m/dd")&amp;"~"&amp;TEXT(C57,"m/dd")&amp;")"</f>
        <v>02월 3주차 (2/21~2/27)</v>
      </c>
      <c r="J51" s="6" t="str">
        <f>A51&amp;"년 "&amp;WEEKNUM(C51,2)&amp;"주차"&amp;" ("&amp;TEXT(C51,"m/dd")&amp;"~"&amp;TEXT(C57,"m/dd")&amp;")"</f>
        <v>2022년 9주차 (2/21~2/27)</v>
      </c>
      <c r="K51" s="6">
        <f>YEAR(C51)</f>
        <v>2022</v>
      </c>
      <c r="L51" s="6">
        <f>WEEKNUM(C51,2)</f>
        <v>9</v>
      </c>
      <c r="O51" s="1" t="str">
        <f t="shared" si="9"/>
        <v>JLJ</v>
      </c>
      <c r="P51" s="1" t="s">
        <v>102</v>
      </c>
      <c r="Q51" s="1" t="s">
        <v>60</v>
      </c>
      <c r="R51" s="1" t="s">
        <v>61</v>
      </c>
      <c r="S51" s="1">
        <v>21</v>
      </c>
      <c r="Z51" s="2"/>
      <c r="AA51" t="s">
        <v>378</v>
      </c>
      <c r="AB51" s="9" t="s">
        <v>165</v>
      </c>
      <c r="AH51" s="1" t="s">
        <v>379</v>
      </c>
      <c r="AI51" s="1" t="s">
        <v>322</v>
      </c>
      <c r="AJ51" s="6"/>
      <c r="AS51" s="15" t="s">
        <v>380</v>
      </c>
      <c r="AT51" s="16" t="s">
        <v>381</v>
      </c>
      <c r="AX51" s="14" t="s">
        <v>382</v>
      </c>
      <c r="AY51" s="9" t="s">
        <v>153</v>
      </c>
      <c r="BA51" s="1" t="str">
        <f t="shared" si="8"/>
        <v>AS</v>
      </c>
      <c r="BB51" s="1" t="str">
        <f t="shared" si="0"/>
        <v>미주계</v>
      </c>
    </row>
    <row r="52" spans="1:54" ht="17.5" thickBot="1" x14ac:dyDescent="0.4">
      <c r="A52" s="6">
        <f t="shared" si="1"/>
        <v>2022</v>
      </c>
      <c r="B52" s="6">
        <f t="shared" si="2"/>
        <v>2</v>
      </c>
      <c r="C52" s="7">
        <v>44614</v>
      </c>
      <c r="D52" s="6">
        <f t="shared" si="3"/>
        <v>2</v>
      </c>
      <c r="E52" s="6">
        <f t="shared" si="4"/>
        <v>9</v>
      </c>
      <c r="F52" s="6">
        <f t="shared" si="5"/>
        <v>3</v>
      </c>
      <c r="G52" s="6" t="str">
        <f t="shared" si="6"/>
        <v>02</v>
      </c>
      <c r="H52" s="6" t="str">
        <f t="shared" si="7"/>
        <v>02월 3주차</v>
      </c>
      <c r="I52" s="6" t="str">
        <f>H52&amp;" ("&amp;TEXT(C51,"m/dd")&amp;"~"&amp;TEXT(C57,"m/dd")&amp;")"</f>
        <v>02월 3주차 (2/21~2/27)</v>
      </c>
      <c r="J52" s="6" t="str">
        <f>A51&amp;"년 "&amp;WEEKNUM(C51,2)&amp;"주차"&amp;" ("&amp;TEXT(C51,"m/dd")&amp;"~"&amp;TEXT(C57,"m/dd")&amp;")"</f>
        <v>2022년 9주차 (2/21~2/27)</v>
      </c>
      <c r="K52" s="6">
        <f>YEAR(C51)</f>
        <v>2022</v>
      </c>
      <c r="L52" s="6">
        <f>WEEKNUM(C51,2)</f>
        <v>9</v>
      </c>
      <c r="O52" s="1" t="str">
        <f t="shared" si="9"/>
        <v>JLC</v>
      </c>
      <c r="P52" s="1" t="s">
        <v>102</v>
      </c>
      <c r="Q52" s="1" t="s">
        <v>60</v>
      </c>
      <c r="R52" s="1" t="s">
        <v>70</v>
      </c>
      <c r="S52" s="1">
        <v>22</v>
      </c>
      <c r="Z52" s="2"/>
      <c r="AA52" t="s">
        <v>293</v>
      </c>
      <c r="AB52" s="9" t="s">
        <v>165</v>
      </c>
      <c r="AH52" s="1" t="s">
        <v>383</v>
      </c>
      <c r="AI52" s="1" t="s">
        <v>322</v>
      </c>
      <c r="AJ52" s="6"/>
      <c r="AS52" s="15" t="s">
        <v>384</v>
      </c>
      <c r="AT52" s="16" t="s">
        <v>385</v>
      </c>
      <c r="AX52" s="14" t="s">
        <v>386</v>
      </c>
      <c r="AY52" s="9" t="s">
        <v>43</v>
      </c>
      <c r="BA52" s="1" t="str">
        <f t="shared" si="8"/>
        <v>HB</v>
      </c>
      <c r="BB52" s="1" t="str">
        <f t="shared" si="0"/>
        <v>중국계</v>
      </c>
    </row>
    <row r="53" spans="1:54" ht="17.5" thickBot="1" x14ac:dyDescent="0.4">
      <c r="A53" s="6">
        <f t="shared" si="1"/>
        <v>2022</v>
      </c>
      <c r="B53" s="6">
        <f t="shared" si="2"/>
        <v>2</v>
      </c>
      <c r="C53" s="7">
        <v>44615</v>
      </c>
      <c r="D53" s="6">
        <f t="shared" si="3"/>
        <v>3</v>
      </c>
      <c r="E53" s="6">
        <f t="shared" si="4"/>
        <v>9</v>
      </c>
      <c r="F53" s="6">
        <f t="shared" si="5"/>
        <v>3</v>
      </c>
      <c r="G53" s="6" t="str">
        <f t="shared" si="6"/>
        <v>02</v>
      </c>
      <c r="H53" s="6" t="str">
        <f t="shared" si="7"/>
        <v>02월 3주차</v>
      </c>
      <c r="I53" s="6" t="str">
        <f>H53&amp;" ("&amp;TEXT(C51,"m/dd")&amp;"~"&amp;TEXT(C57,"m/dd")&amp;")"</f>
        <v>02월 3주차 (2/21~2/27)</v>
      </c>
      <c r="J53" s="6" t="str">
        <f>A51&amp;"년 "&amp;WEEKNUM(C51,2)&amp;"주차"&amp;" ("&amp;TEXT(C51,"m/dd")&amp;"~"&amp;TEXT(C57,"m/dd")&amp;")"</f>
        <v>2022년 9주차 (2/21~2/27)</v>
      </c>
      <c r="K53" s="6">
        <f>YEAR(C51)</f>
        <v>2022</v>
      </c>
      <c r="L53" s="6">
        <f>WEEKNUM(C51,2)</f>
        <v>9</v>
      </c>
      <c r="O53" s="1" t="str">
        <f t="shared" si="9"/>
        <v>JLD</v>
      </c>
      <c r="P53" s="1" t="s">
        <v>102</v>
      </c>
      <c r="Q53" s="1" t="s">
        <v>60</v>
      </c>
      <c r="R53" s="1" t="s">
        <v>78</v>
      </c>
      <c r="S53" s="1">
        <v>23</v>
      </c>
      <c r="Z53" s="2"/>
      <c r="AA53" t="s">
        <v>351</v>
      </c>
      <c r="AB53" s="9" t="s">
        <v>165</v>
      </c>
      <c r="AH53" s="1" t="s">
        <v>387</v>
      </c>
      <c r="AI53" s="1" t="s">
        <v>322</v>
      </c>
      <c r="AJ53" s="6"/>
      <c r="AS53" s="15" t="s">
        <v>251</v>
      </c>
      <c r="AT53" s="16" t="s">
        <v>388</v>
      </c>
      <c r="AX53" s="14" t="s">
        <v>389</v>
      </c>
      <c r="AY53" s="9" t="s">
        <v>320</v>
      </c>
      <c r="BA53" s="1" t="str">
        <f t="shared" si="8"/>
        <v>EK</v>
      </c>
      <c r="BB53" s="1" t="str">
        <f t="shared" si="0"/>
        <v>중동계</v>
      </c>
    </row>
    <row r="54" spans="1:54" ht="17.5" thickBot="1" x14ac:dyDescent="0.4">
      <c r="A54" s="6">
        <f t="shared" si="1"/>
        <v>2022</v>
      </c>
      <c r="B54" s="6">
        <f t="shared" si="2"/>
        <v>2</v>
      </c>
      <c r="C54" s="7">
        <v>44616</v>
      </c>
      <c r="D54" s="6">
        <f t="shared" si="3"/>
        <v>4</v>
      </c>
      <c r="E54" s="6">
        <f t="shared" si="4"/>
        <v>9</v>
      </c>
      <c r="F54" s="6">
        <f t="shared" si="5"/>
        <v>3</v>
      </c>
      <c r="G54" s="6" t="str">
        <f t="shared" si="6"/>
        <v>02</v>
      </c>
      <c r="H54" s="6" t="str">
        <f t="shared" si="7"/>
        <v>02월 3주차</v>
      </c>
      <c r="I54" s="6" t="str">
        <f>H54&amp;" ("&amp;TEXT(C51,"m/dd")&amp;"~"&amp;TEXT(C57,"m/dd")&amp;")"</f>
        <v>02월 3주차 (2/21~2/27)</v>
      </c>
      <c r="J54" s="6" t="str">
        <f>A51&amp;"년 "&amp;WEEKNUM(C51,2)&amp;"주차"&amp;" ("&amp;TEXT(C51,"m/dd")&amp;"~"&amp;TEXT(C57,"m/dd")&amp;")"</f>
        <v>2022년 9주차 (2/21~2/27)</v>
      </c>
      <c r="K54" s="6">
        <f>YEAR(C51)</f>
        <v>2022</v>
      </c>
      <c r="L54" s="6">
        <f>WEEKNUM(C51,2)</f>
        <v>9</v>
      </c>
      <c r="O54" s="1" t="str">
        <f t="shared" si="9"/>
        <v>JLI</v>
      </c>
      <c r="P54" s="1" t="s">
        <v>102</v>
      </c>
      <c r="Q54" s="1" t="s">
        <v>60</v>
      </c>
      <c r="R54" s="1" t="s">
        <v>86</v>
      </c>
      <c r="S54" s="1">
        <v>24</v>
      </c>
      <c r="Z54" s="2"/>
      <c r="AA54" t="s">
        <v>390</v>
      </c>
      <c r="AB54" s="9" t="s">
        <v>165</v>
      </c>
      <c r="AH54" s="1" t="s">
        <v>391</v>
      </c>
      <c r="AI54" s="1" t="s">
        <v>322</v>
      </c>
      <c r="AJ54" s="6"/>
      <c r="AS54" s="15" t="s">
        <v>392</v>
      </c>
      <c r="AT54" s="16" t="s">
        <v>393</v>
      </c>
      <c r="AX54" s="14" t="s">
        <v>394</v>
      </c>
      <c r="AY54" s="9" t="s">
        <v>320</v>
      </c>
      <c r="BA54" s="1" t="str">
        <f t="shared" si="8"/>
        <v>QR</v>
      </c>
      <c r="BB54" s="1" t="str">
        <f t="shared" si="0"/>
        <v>중동계</v>
      </c>
    </row>
    <row r="55" spans="1:54" ht="17.5" thickBot="1" x14ac:dyDescent="0.4">
      <c r="A55" s="6">
        <f t="shared" si="1"/>
        <v>2022</v>
      </c>
      <c r="B55" s="6">
        <f t="shared" si="2"/>
        <v>2</v>
      </c>
      <c r="C55" s="7">
        <v>44617</v>
      </c>
      <c r="D55" s="6">
        <f t="shared" si="3"/>
        <v>5</v>
      </c>
      <c r="E55" s="6">
        <f t="shared" si="4"/>
        <v>9</v>
      </c>
      <c r="F55" s="6">
        <f t="shared" si="5"/>
        <v>3</v>
      </c>
      <c r="G55" s="6" t="str">
        <f t="shared" si="6"/>
        <v>02</v>
      </c>
      <c r="H55" s="6" t="str">
        <f t="shared" si="7"/>
        <v>02월 3주차</v>
      </c>
      <c r="I55" s="6" t="str">
        <f>H55&amp;" ("&amp;TEXT(C51,"m/dd")&amp;"~"&amp;TEXT(C57,"m/dd")&amp;")"</f>
        <v>02월 3주차 (2/21~2/27)</v>
      </c>
      <c r="J55" s="6" t="str">
        <f>A51&amp;"년 "&amp;WEEKNUM(C51,2)&amp;"주차"&amp;" ("&amp;TEXT(C51,"m/dd")&amp;"~"&amp;TEXT(C57,"m/dd")&amp;")"</f>
        <v>2022년 9주차 (2/21~2/27)</v>
      </c>
      <c r="K55" s="6">
        <f>YEAR(C51)</f>
        <v>2022</v>
      </c>
      <c r="L55" s="6">
        <f>WEEKNUM(C51,2)</f>
        <v>9</v>
      </c>
      <c r="O55" s="1" t="str">
        <f t="shared" si="9"/>
        <v>JLX</v>
      </c>
      <c r="P55" s="1" t="s">
        <v>102</v>
      </c>
      <c r="Q55" s="1" t="s">
        <v>60</v>
      </c>
      <c r="R55" s="1" t="s">
        <v>216</v>
      </c>
      <c r="S55" s="1">
        <v>25</v>
      </c>
      <c r="Z55" s="2"/>
      <c r="AA55" t="s">
        <v>395</v>
      </c>
      <c r="AB55" s="9" t="s">
        <v>165</v>
      </c>
      <c r="AH55" s="1" t="s">
        <v>396</v>
      </c>
      <c r="AI55" s="1" t="s">
        <v>322</v>
      </c>
      <c r="AJ55" s="6"/>
      <c r="AS55" s="15" t="s">
        <v>336</v>
      </c>
      <c r="AT55" s="16" t="s">
        <v>397</v>
      </c>
      <c r="AX55" s="14" t="s">
        <v>398</v>
      </c>
      <c r="AY55" s="9" t="s">
        <v>120</v>
      </c>
      <c r="BA55" s="1" t="str">
        <f t="shared" si="8"/>
        <v>AY</v>
      </c>
      <c r="BB55" s="1" t="str">
        <f t="shared" si="0"/>
        <v>구주계</v>
      </c>
    </row>
    <row r="56" spans="1:54" ht="17.5" thickBot="1" x14ac:dyDescent="0.4">
      <c r="A56" s="6">
        <f t="shared" si="1"/>
        <v>2022</v>
      </c>
      <c r="B56" s="6">
        <f t="shared" si="2"/>
        <v>2</v>
      </c>
      <c r="C56" s="7">
        <v>44618</v>
      </c>
      <c r="D56" s="6">
        <f t="shared" si="3"/>
        <v>6</v>
      </c>
      <c r="E56" s="6">
        <f t="shared" si="4"/>
        <v>9</v>
      </c>
      <c r="F56" s="6">
        <f t="shared" si="5"/>
        <v>3</v>
      </c>
      <c r="G56" s="6" t="str">
        <f t="shared" si="6"/>
        <v>02</v>
      </c>
      <c r="H56" s="6" t="str">
        <f t="shared" si="7"/>
        <v>02월 3주차</v>
      </c>
      <c r="I56" s="6" t="str">
        <f>H56&amp;" ("&amp;TEXT(C51,"m/dd")&amp;"~"&amp;TEXT(C57,"m/dd")&amp;")"</f>
        <v>02월 3주차 (2/21~2/27)</v>
      </c>
      <c r="J56" s="6" t="str">
        <f>A51&amp;"년 "&amp;WEEKNUM(C51,2)&amp;"주차"&amp;" ("&amp;TEXT(C51,"m/dd")&amp;"~"&amp;TEXT(C57,"m/dd")&amp;")"</f>
        <v>2022년 9주차 (2/21~2/27)</v>
      </c>
      <c r="K56" s="6">
        <f>YEAR(C51)</f>
        <v>2022</v>
      </c>
      <c r="L56" s="6">
        <f>WEEKNUM(C51,2)</f>
        <v>9</v>
      </c>
      <c r="O56" s="1" t="str">
        <f t="shared" si="9"/>
        <v>JLW</v>
      </c>
      <c r="P56" s="1" t="s">
        <v>102</v>
      </c>
      <c r="Q56" s="1" t="s">
        <v>399</v>
      </c>
      <c r="R56" s="1" t="s">
        <v>335</v>
      </c>
      <c r="S56" s="1">
        <v>31</v>
      </c>
      <c r="Z56" s="2"/>
      <c r="AA56" t="s">
        <v>400</v>
      </c>
      <c r="AB56" s="9" t="s">
        <v>165</v>
      </c>
      <c r="AH56" s="1" t="s">
        <v>401</v>
      </c>
      <c r="AI56" s="1" t="s">
        <v>322</v>
      </c>
      <c r="AJ56" s="6"/>
      <c r="AS56" s="15" t="s">
        <v>402</v>
      </c>
      <c r="AT56" s="16" t="s">
        <v>403</v>
      </c>
      <c r="AX56" s="14" t="s">
        <v>29</v>
      </c>
      <c r="AY56" s="9" t="s">
        <v>275</v>
      </c>
      <c r="BA56" s="1" t="str">
        <f t="shared" si="8"/>
        <v>KE</v>
      </c>
      <c r="BB56" s="1" t="str">
        <f t="shared" si="0"/>
        <v>국내계</v>
      </c>
    </row>
    <row r="57" spans="1:54" ht="17.5" thickBot="1" x14ac:dyDescent="0.4">
      <c r="A57" s="6">
        <f t="shared" si="1"/>
        <v>2022</v>
      </c>
      <c r="B57" s="6">
        <f t="shared" si="2"/>
        <v>2</v>
      </c>
      <c r="C57" s="7">
        <v>44619</v>
      </c>
      <c r="D57" s="6">
        <f t="shared" si="3"/>
        <v>7</v>
      </c>
      <c r="E57" s="6">
        <f t="shared" si="4"/>
        <v>9</v>
      </c>
      <c r="F57" s="6">
        <f t="shared" si="5"/>
        <v>3</v>
      </c>
      <c r="G57" s="6" t="str">
        <f t="shared" si="6"/>
        <v>02</v>
      </c>
      <c r="H57" s="6" t="str">
        <f t="shared" si="7"/>
        <v>02월 3주차</v>
      </c>
      <c r="I57" s="6" t="str">
        <f>H57&amp;" ("&amp;TEXT(C51,"m/dd")&amp;"~"&amp;TEXT(C57,"m/dd")&amp;")"</f>
        <v>02월 3주차 (2/21~2/27)</v>
      </c>
      <c r="J57" s="6" t="str">
        <f>A51&amp;"년 "&amp;WEEKNUM(C51,2)&amp;"주차"&amp;" ("&amp;TEXT(C51,"m/dd")&amp;"~"&amp;TEXT(C57,"m/dd")&amp;")"</f>
        <v>2022년 9주차 (2/21~2/27)</v>
      </c>
      <c r="K57" s="6">
        <f>YEAR(C51)</f>
        <v>2022</v>
      </c>
      <c r="L57" s="6">
        <f>WEEKNUM(C51,2)</f>
        <v>9</v>
      </c>
      <c r="O57" s="1" t="str">
        <f t="shared" si="9"/>
        <v>JLR</v>
      </c>
      <c r="P57" s="1" t="s">
        <v>102</v>
      </c>
      <c r="Q57" s="1" t="s">
        <v>399</v>
      </c>
      <c r="R57" s="1" t="s">
        <v>95</v>
      </c>
      <c r="S57" s="1">
        <v>32</v>
      </c>
      <c r="Z57" s="2"/>
      <c r="AA57" t="s">
        <v>404</v>
      </c>
      <c r="AB57" s="9" t="s">
        <v>165</v>
      </c>
      <c r="AH57" s="1" t="s">
        <v>405</v>
      </c>
      <c r="AI57" s="1" t="s">
        <v>406</v>
      </c>
      <c r="AJ57" s="6"/>
      <c r="AS57" s="15" t="s">
        <v>407</v>
      </c>
      <c r="AT57" s="16" t="s">
        <v>408</v>
      </c>
      <c r="AX57" s="14" t="s">
        <v>409</v>
      </c>
      <c r="AY57" s="9" t="s">
        <v>144</v>
      </c>
      <c r="BA57" s="1" t="str">
        <f t="shared" si="8"/>
        <v>5J</v>
      </c>
      <c r="BB57" s="1" t="str">
        <f t="shared" si="0"/>
        <v>동남아계</v>
      </c>
    </row>
    <row r="58" spans="1:54" ht="17.5" thickBot="1" x14ac:dyDescent="0.4">
      <c r="A58" s="6">
        <f t="shared" si="1"/>
        <v>2022</v>
      </c>
      <c r="B58" s="6">
        <f t="shared" si="2"/>
        <v>2</v>
      </c>
      <c r="C58" s="7">
        <v>44620</v>
      </c>
      <c r="D58" s="6">
        <f t="shared" si="3"/>
        <v>1</v>
      </c>
      <c r="E58" s="6">
        <f t="shared" si="4"/>
        <v>10</v>
      </c>
      <c r="F58" s="6">
        <f t="shared" si="5"/>
        <v>4</v>
      </c>
      <c r="G58" s="6" t="str">
        <f t="shared" si="6"/>
        <v>02</v>
      </c>
      <c r="H58" s="6" t="str">
        <f t="shared" si="7"/>
        <v>02월 4주차</v>
      </c>
      <c r="I58" s="6" t="str">
        <f>H58&amp;" ("&amp;TEXT(C58,"m/dd")&amp;"~"&amp;TEXT(C64,"m/dd")&amp;")"</f>
        <v>02월 4주차 (2/28~3/06)</v>
      </c>
      <c r="J58" s="6" t="str">
        <f>A58&amp;"년 "&amp;WEEKNUM(C58,2)&amp;"주차"&amp;" ("&amp;TEXT(C58,"m/dd")&amp;"~"&amp;TEXT(C64,"m/dd")&amp;")"</f>
        <v>2022년 10주차 (2/28~3/06)</v>
      </c>
      <c r="K58" s="6">
        <f>YEAR(C58)</f>
        <v>2022</v>
      </c>
      <c r="L58" s="6">
        <f>WEEKNUM(C58,2)</f>
        <v>10</v>
      </c>
      <c r="O58" s="1" t="str">
        <f t="shared" si="9"/>
        <v>JLE</v>
      </c>
      <c r="P58" s="1" t="s">
        <v>102</v>
      </c>
      <c r="Q58" s="1" t="s">
        <v>399</v>
      </c>
      <c r="R58" s="1" t="s">
        <v>163</v>
      </c>
      <c r="S58" s="1">
        <v>33</v>
      </c>
      <c r="Z58" s="2"/>
      <c r="AA58" t="s">
        <v>134</v>
      </c>
      <c r="AB58" s="9" t="s">
        <v>165</v>
      </c>
      <c r="AH58" s="1" t="s">
        <v>410</v>
      </c>
      <c r="AI58" s="1" t="s">
        <v>406</v>
      </c>
      <c r="AJ58" s="6"/>
      <c r="AS58" s="15" t="s">
        <v>411</v>
      </c>
      <c r="AT58" s="16" t="s">
        <v>412</v>
      </c>
      <c r="AX58" s="14" t="s">
        <v>224</v>
      </c>
      <c r="AY58" s="9" t="s">
        <v>275</v>
      </c>
      <c r="BA58" s="1" t="str">
        <f t="shared" si="8"/>
        <v>OZ</v>
      </c>
      <c r="BB58" s="1" t="str">
        <f t="shared" si="0"/>
        <v>국내계</v>
      </c>
    </row>
    <row r="59" spans="1:54" ht="17.5" thickBot="1" x14ac:dyDescent="0.4">
      <c r="A59" s="6">
        <f t="shared" si="1"/>
        <v>2022</v>
      </c>
      <c r="B59" s="6">
        <f t="shared" si="2"/>
        <v>3</v>
      </c>
      <c r="C59" s="7">
        <v>44621</v>
      </c>
      <c r="D59" s="6">
        <f t="shared" si="3"/>
        <v>2</v>
      </c>
      <c r="E59" s="6">
        <f t="shared" si="4"/>
        <v>10</v>
      </c>
      <c r="F59" s="6">
        <f t="shared" si="5"/>
        <v>4</v>
      </c>
      <c r="G59" s="6" t="str">
        <f t="shared" si="6"/>
        <v>03</v>
      </c>
      <c r="H59" s="6" t="str">
        <f t="shared" si="7"/>
        <v>03월 4주차</v>
      </c>
      <c r="I59" s="6" t="str">
        <f>H59&amp;" ("&amp;TEXT(C58,"m/dd")&amp;"~"&amp;TEXT(C64,"m/dd")&amp;")"</f>
        <v>03월 4주차 (2/28~3/06)</v>
      </c>
      <c r="J59" s="6" t="str">
        <f>A58&amp;"년 "&amp;WEEKNUM(C58,2)&amp;"주차"&amp;" ("&amp;TEXT(C58,"m/dd")&amp;"~"&amp;TEXT(C64,"m/dd")&amp;")"</f>
        <v>2022년 10주차 (2/28~3/06)</v>
      </c>
      <c r="K59" s="6">
        <f>YEAR(C58)</f>
        <v>2022</v>
      </c>
      <c r="L59" s="6">
        <f>WEEKNUM(C58,2)</f>
        <v>10</v>
      </c>
      <c r="O59" s="1" t="str">
        <f t="shared" si="9"/>
        <v>JLY</v>
      </c>
      <c r="P59" s="1" t="s">
        <v>102</v>
      </c>
      <c r="Q59" s="1" t="s">
        <v>121</v>
      </c>
      <c r="R59" s="1" t="s">
        <v>122</v>
      </c>
      <c r="S59" s="1">
        <v>34</v>
      </c>
      <c r="Z59" s="2"/>
      <c r="AA59" t="s">
        <v>413</v>
      </c>
      <c r="AB59" s="9" t="s">
        <v>165</v>
      </c>
      <c r="AH59" s="1" t="s">
        <v>414</v>
      </c>
      <c r="AI59" s="1" t="s">
        <v>406</v>
      </c>
      <c r="AJ59" s="6"/>
      <c r="AS59" s="15" t="s">
        <v>105</v>
      </c>
      <c r="AT59" s="16" t="s">
        <v>415</v>
      </c>
      <c r="AX59" s="14" t="s">
        <v>416</v>
      </c>
      <c r="AY59" s="9" t="s">
        <v>144</v>
      </c>
      <c r="BA59" s="1" t="str">
        <f t="shared" si="8"/>
        <v>VJ</v>
      </c>
      <c r="BB59" s="1" t="str">
        <f t="shared" si="0"/>
        <v>동남아계</v>
      </c>
    </row>
    <row r="60" spans="1:54" ht="17.5" thickBot="1" x14ac:dyDescent="0.4">
      <c r="A60" s="6">
        <f t="shared" si="1"/>
        <v>2022</v>
      </c>
      <c r="B60" s="6">
        <f t="shared" si="2"/>
        <v>3</v>
      </c>
      <c r="C60" s="7">
        <v>44622</v>
      </c>
      <c r="D60" s="6">
        <f t="shared" si="3"/>
        <v>3</v>
      </c>
      <c r="E60" s="6">
        <f t="shared" si="4"/>
        <v>10</v>
      </c>
      <c r="F60" s="6">
        <f t="shared" si="5"/>
        <v>4</v>
      </c>
      <c r="G60" s="6" t="str">
        <f t="shared" si="6"/>
        <v>03</v>
      </c>
      <c r="H60" s="6" t="str">
        <f t="shared" si="7"/>
        <v>03월 4주차</v>
      </c>
      <c r="I60" s="6" t="str">
        <f>H60&amp;" ("&amp;TEXT(C58,"m/dd")&amp;"~"&amp;TEXT(C64,"m/dd")&amp;")"</f>
        <v>03월 4주차 (2/28~3/06)</v>
      </c>
      <c r="J60" s="6" t="str">
        <f>A58&amp;"년 "&amp;WEEKNUM(C58,2)&amp;"주차"&amp;" ("&amp;TEXT(C58,"m/dd")&amp;"~"&amp;TEXT(C64,"m/dd")&amp;")"</f>
        <v>2022년 10주차 (2/28~3/06)</v>
      </c>
      <c r="K60" s="6">
        <f>YEAR(C58)</f>
        <v>2022</v>
      </c>
      <c r="L60" s="6">
        <f>WEEKNUM(C58,2)</f>
        <v>10</v>
      </c>
      <c r="O60" s="1" t="str">
        <f t="shared" si="9"/>
        <v>JLB</v>
      </c>
      <c r="P60" s="1" t="s">
        <v>102</v>
      </c>
      <c r="Q60" s="1" t="s">
        <v>121</v>
      </c>
      <c r="R60" s="1" t="s">
        <v>129</v>
      </c>
      <c r="S60" s="1">
        <v>35</v>
      </c>
      <c r="Z60" s="2"/>
      <c r="AA60" t="s">
        <v>417</v>
      </c>
      <c r="AB60" s="9" t="s">
        <v>165</v>
      </c>
      <c r="AH60" s="1" t="s">
        <v>418</v>
      </c>
      <c r="AI60" s="1" t="s">
        <v>406</v>
      </c>
      <c r="AJ60" s="6"/>
      <c r="AS60" s="15" t="s">
        <v>269</v>
      </c>
      <c r="AT60" s="16" t="s">
        <v>85</v>
      </c>
      <c r="AX60" s="14" t="s">
        <v>419</v>
      </c>
      <c r="AY60" s="9" t="s">
        <v>153</v>
      </c>
      <c r="BA60" s="1" t="str">
        <f t="shared" si="8"/>
        <v>WS</v>
      </c>
      <c r="BB60" s="1" t="str">
        <f t="shared" si="0"/>
        <v>미주계</v>
      </c>
    </row>
    <row r="61" spans="1:54" ht="17.5" thickBot="1" x14ac:dyDescent="0.4">
      <c r="A61" s="6">
        <f t="shared" si="1"/>
        <v>2022</v>
      </c>
      <c r="B61" s="6">
        <f t="shared" si="2"/>
        <v>3</v>
      </c>
      <c r="C61" s="7">
        <v>44623</v>
      </c>
      <c r="D61" s="6">
        <f t="shared" si="3"/>
        <v>4</v>
      </c>
      <c r="E61" s="6">
        <f t="shared" si="4"/>
        <v>10</v>
      </c>
      <c r="F61" s="6">
        <f t="shared" si="5"/>
        <v>4</v>
      </c>
      <c r="G61" s="6" t="str">
        <f t="shared" si="6"/>
        <v>03</v>
      </c>
      <c r="H61" s="6" t="str">
        <f t="shared" si="7"/>
        <v>03월 4주차</v>
      </c>
      <c r="I61" s="6" t="str">
        <f>H61&amp;" ("&amp;TEXT(C58,"m/dd")&amp;"~"&amp;TEXT(C64,"m/dd")&amp;")"</f>
        <v>03월 4주차 (2/28~3/06)</v>
      </c>
      <c r="J61" s="6" t="str">
        <f>A58&amp;"년 "&amp;WEEKNUM(C58,2)&amp;"주차"&amp;" ("&amp;TEXT(C58,"m/dd")&amp;"~"&amp;TEXT(C64,"m/dd")&amp;")"</f>
        <v>2022년 10주차 (2/28~3/06)</v>
      </c>
      <c r="K61" s="6">
        <f>YEAR(C58)</f>
        <v>2022</v>
      </c>
      <c r="L61" s="6">
        <f>WEEKNUM(C58,2)</f>
        <v>10</v>
      </c>
      <c r="O61" s="1" t="str">
        <f t="shared" si="9"/>
        <v>JLH</v>
      </c>
      <c r="P61" s="1" t="s">
        <v>102</v>
      </c>
      <c r="Q61" s="1" t="s">
        <v>121</v>
      </c>
      <c r="R61" s="1" t="s">
        <v>154</v>
      </c>
      <c r="S61" s="1">
        <v>36</v>
      </c>
      <c r="Z61" s="2"/>
      <c r="AA61" t="s">
        <v>317</v>
      </c>
      <c r="AB61" s="9" t="s">
        <v>165</v>
      </c>
      <c r="AH61" s="1" t="s">
        <v>420</v>
      </c>
      <c r="AI61" s="1" t="s">
        <v>406</v>
      </c>
      <c r="AJ61" s="6"/>
      <c r="AS61" s="15" t="s">
        <v>404</v>
      </c>
      <c r="AT61" s="16" t="s">
        <v>421</v>
      </c>
      <c r="AX61" s="14" t="s">
        <v>121</v>
      </c>
      <c r="AY61" s="9" t="s">
        <v>320</v>
      </c>
      <c r="BA61" s="1" t="str">
        <f t="shared" si="8"/>
        <v>EY</v>
      </c>
      <c r="BB61" s="1" t="str">
        <f t="shared" si="0"/>
        <v>중동계</v>
      </c>
    </row>
    <row r="62" spans="1:54" ht="17.5" thickBot="1" x14ac:dyDescent="0.4">
      <c r="A62" s="6">
        <f t="shared" si="1"/>
        <v>2022</v>
      </c>
      <c r="B62" s="6">
        <f t="shared" si="2"/>
        <v>3</v>
      </c>
      <c r="C62" s="7">
        <v>44624</v>
      </c>
      <c r="D62" s="6">
        <f t="shared" si="3"/>
        <v>5</v>
      </c>
      <c r="E62" s="6">
        <f t="shared" si="4"/>
        <v>10</v>
      </c>
      <c r="F62" s="6">
        <f t="shared" si="5"/>
        <v>4</v>
      </c>
      <c r="G62" s="6" t="str">
        <f t="shared" si="6"/>
        <v>03</v>
      </c>
      <c r="H62" s="6" t="str">
        <f t="shared" si="7"/>
        <v>03월 4주차</v>
      </c>
      <c r="I62" s="6" t="str">
        <f>H62&amp;" ("&amp;TEXT(C58,"m/dd")&amp;"~"&amp;TEXT(C64,"m/dd")&amp;")"</f>
        <v>03월 4주차 (2/28~3/06)</v>
      </c>
      <c r="J62" s="6" t="str">
        <f>A58&amp;"년 "&amp;WEEKNUM(C58,2)&amp;"주차"&amp;" ("&amp;TEXT(C58,"m/dd")&amp;"~"&amp;TEXT(C64,"m/dd")&amp;")"</f>
        <v>2022년 10주차 (2/28~3/06)</v>
      </c>
      <c r="K62" s="6">
        <f>YEAR(C58)</f>
        <v>2022</v>
      </c>
      <c r="L62" s="6">
        <f>WEEKNUM(C58,2)</f>
        <v>10</v>
      </c>
      <c r="O62" s="1" t="str">
        <f t="shared" si="9"/>
        <v>JLK</v>
      </c>
      <c r="P62" s="1" t="s">
        <v>102</v>
      </c>
      <c r="Q62" s="1" t="s">
        <v>121</v>
      </c>
      <c r="R62" s="1" t="s">
        <v>171</v>
      </c>
      <c r="S62" s="1">
        <v>37</v>
      </c>
      <c r="Z62" s="2"/>
      <c r="AA62" t="s">
        <v>134</v>
      </c>
      <c r="AB62" s="9" t="s">
        <v>165</v>
      </c>
      <c r="AH62" s="1" t="s">
        <v>422</v>
      </c>
      <c r="AI62" s="1" t="s">
        <v>423</v>
      </c>
      <c r="AJ62" s="6"/>
      <c r="AS62" s="15" t="s">
        <v>258</v>
      </c>
      <c r="AT62" s="16" t="s">
        <v>424</v>
      </c>
      <c r="AX62" s="14" t="s">
        <v>425</v>
      </c>
      <c r="AY62" s="9" t="s">
        <v>120</v>
      </c>
      <c r="BA62" s="1" t="str">
        <f t="shared" si="8"/>
        <v>LO</v>
      </c>
      <c r="BB62" s="1" t="str">
        <f t="shared" si="0"/>
        <v>구주계</v>
      </c>
    </row>
    <row r="63" spans="1:54" ht="17.5" thickBot="1" x14ac:dyDescent="0.4">
      <c r="A63" s="6">
        <f t="shared" si="1"/>
        <v>2022</v>
      </c>
      <c r="B63" s="6">
        <f t="shared" si="2"/>
        <v>3</v>
      </c>
      <c r="C63" s="7">
        <v>44625</v>
      </c>
      <c r="D63" s="6">
        <f t="shared" si="3"/>
        <v>6</v>
      </c>
      <c r="E63" s="6">
        <f t="shared" si="4"/>
        <v>10</v>
      </c>
      <c r="F63" s="6">
        <f t="shared" si="5"/>
        <v>4</v>
      </c>
      <c r="G63" s="6" t="str">
        <f t="shared" si="6"/>
        <v>03</v>
      </c>
      <c r="H63" s="6" t="str">
        <f t="shared" si="7"/>
        <v>03월 4주차</v>
      </c>
      <c r="I63" s="6" t="str">
        <f>H63&amp;" ("&amp;TEXT(C58,"m/dd")&amp;"~"&amp;TEXT(C64,"m/dd")&amp;")"</f>
        <v>03월 4주차 (2/28~3/06)</v>
      </c>
      <c r="J63" s="6" t="str">
        <f>A58&amp;"년 "&amp;WEEKNUM(C58,2)&amp;"주차"&amp;" ("&amp;TEXT(C58,"m/dd")&amp;"~"&amp;TEXT(C64,"m/dd")&amp;")"</f>
        <v>2022년 10주차 (2/28~3/06)</v>
      </c>
      <c r="K63" s="6">
        <f>YEAR(C58)</f>
        <v>2022</v>
      </c>
      <c r="L63" s="6">
        <f>WEEKNUM(C58,2)</f>
        <v>10</v>
      </c>
      <c r="O63" s="1" t="str">
        <f t="shared" si="9"/>
        <v>JLM</v>
      </c>
      <c r="P63" s="1" t="s">
        <v>102</v>
      </c>
      <c r="Q63" s="1" t="s">
        <v>121</v>
      </c>
      <c r="R63" s="1" t="s">
        <v>137</v>
      </c>
      <c r="S63" s="1">
        <v>38</v>
      </c>
      <c r="Z63" s="2"/>
      <c r="AA63" t="s">
        <v>317</v>
      </c>
      <c r="AB63" s="9" t="s">
        <v>165</v>
      </c>
      <c r="AH63" s="1" t="s">
        <v>426</v>
      </c>
      <c r="AI63" s="1" t="s">
        <v>423</v>
      </c>
      <c r="AJ63" s="6"/>
      <c r="AS63" s="15" t="s">
        <v>427</v>
      </c>
      <c r="AT63" s="16" t="s">
        <v>428</v>
      </c>
      <c r="AX63" s="14" t="s">
        <v>429</v>
      </c>
      <c r="AY63" s="9" t="s">
        <v>120</v>
      </c>
      <c r="BA63" s="1" t="str">
        <f t="shared" si="8"/>
        <v>SK</v>
      </c>
      <c r="BB63" s="1" t="str">
        <f t="shared" si="0"/>
        <v>구주계</v>
      </c>
    </row>
    <row r="64" spans="1:54" ht="17.5" thickBot="1" x14ac:dyDescent="0.4">
      <c r="A64" s="6">
        <f t="shared" si="1"/>
        <v>2022</v>
      </c>
      <c r="B64" s="6">
        <f t="shared" si="2"/>
        <v>3</v>
      </c>
      <c r="C64" s="7">
        <v>44626</v>
      </c>
      <c r="D64" s="6">
        <f t="shared" si="3"/>
        <v>7</v>
      </c>
      <c r="E64" s="6">
        <f t="shared" si="4"/>
        <v>10</v>
      </c>
      <c r="F64" s="6">
        <f t="shared" si="5"/>
        <v>4</v>
      </c>
      <c r="G64" s="6" t="str">
        <f t="shared" si="6"/>
        <v>03</v>
      </c>
      <c r="H64" s="6" t="str">
        <f t="shared" si="7"/>
        <v>03월 4주차</v>
      </c>
      <c r="I64" s="6" t="str">
        <f>H64&amp;" ("&amp;TEXT(C58,"m/dd")&amp;"~"&amp;TEXT(C64,"m/dd")&amp;")"</f>
        <v>03월 4주차 (2/28~3/06)</v>
      </c>
      <c r="J64" s="6" t="str">
        <f>A58&amp;"년 "&amp;WEEKNUM(C58,2)&amp;"주차"&amp;" ("&amp;TEXT(C58,"m/dd")&amp;"~"&amp;TEXT(C64,"m/dd")&amp;")"</f>
        <v>2022년 10주차 (2/28~3/06)</v>
      </c>
      <c r="K64" s="6">
        <f>YEAR(C58)</f>
        <v>2022</v>
      </c>
      <c r="L64" s="6">
        <f>WEEKNUM(C58,2)</f>
        <v>10</v>
      </c>
      <c r="O64" s="1" t="str">
        <f t="shared" si="9"/>
        <v>JLL</v>
      </c>
      <c r="P64" s="1" t="s">
        <v>102</v>
      </c>
      <c r="Q64" s="1" t="s">
        <v>121</v>
      </c>
      <c r="R64" s="1" t="s">
        <v>178</v>
      </c>
      <c r="S64" s="1">
        <v>39</v>
      </c>
      <c r="Z64" s="2"/>
      <c r="AA64" t="s">
        <v>430</v>
      </c>
      <c r="AB64" s="9" t="s">
        <v>165</v>
      </c>
      <c r="AH64" s="1" t="s">
        <v>431</v>
      </c>
      <c r="AI64" s="1" t="s">
        <v>423</v>
      </c>
      <c r="AJ64" s="6"/>
      <c r="AS64" s="15" t="s">
        <v>432</v>
      </c>
      <c r="AT64" s="16" t="s">
        <v>433</v>
      </c>
      <c r="AX64" s="14" t="s">
        <v>434</v>
      </c>
      <c r="AY64" s="9" t="s">
        <v>320</v>
      </c>
      <c r="BA64" s="1" t="str">
        <f t="shared" si="8"/>
        <v>HY</v>
      </c>
      <c r="BB64" s="1" t="str">
        <f t="shared" si="0"/>
        <v>중동계</v>
      </c>
    </row>
    <row r="65" spans="1:54" ht="17.5" thickBot="1" x14ac:dyDescent="0.4">
      <c r="A65" s="6">
        <f t="shared" si="1"/>
        <v>2022</v>
      </c>
      <c r="B65" s="6">
        <f t="shared" si="2"/>
        <v>3</v>
      </c>
      <c r="C65" s="7">
        <v>44627</v>
      </c>
      <c r="D65" s="6">
        <f t="shared" si="3"/>
        <v>1</v>
      </c>
      <c r="E65" s="6">
        <f t="shared" si="4"/>
        <v>11</v>
      </c>
      <c r="F65" s="6">
        <f t="shared" si="5"/>
        <v>1</v>
      </c>
      <c r="G65" s="6" t="str">
        <f t="shared" si="6"/>
        <v>03</v>
      </c>
      <c r="H65" s="6" t="str">
        <f t="shared" si="7"/>
        <v>03월 1주차</v>
      </c>
      <c r="I65" s="6" t="str">
        <f>H65&amp;" ("&amp;TEXT(C65,"m/dd")&amp;"~"&amp;TEXT(C71,"m/dd")&amp;")"</f>
        <v>03월 1주차 (3/07~3/13)</v>
      </c>
      <c r="J65" s="6" t="str">
        <f>A65&amp;"년 "&amp;WEEKNUM(C65,2)&amp;"주차"&amp;" ("&amp;TEXT(C65,"m/dd")&amp;"~"&amp;TEXT(C71,"m/dd")&amp;")"</f>
        <v>2022년 11주차 (3/07~3/13)</v>
      </c>
      <c r="K65" s="6">
        <f>YEAR(C65)</f>
        <v>2022</v>
      </c>
      <c r="L65" s="6">
        <f>WEEKNUM(C65,2)</f>
        <v>11</v>
      </c>
      <c r="O65" s="1" t="str">
        <f t="shared" si="9"/>
        <v>JLV</v>
      </c>
      <c r="P65" s="1" t="s">
        <v>102</v>
      </c>
      <c r="Q65" s="1" t="s">
        <v>121</v>
      </c>
      <c r="R65" s="1" t="s">
        <v>328</v>
      </c>
      <c r="S65" s="1">
        <v>40</v>
      </c>
      <c r="Z65" s="2"/>
      <c r="AA65" t="s">
        <v>430</v>
      </c>
      <c r="AB65" s="9" t="s">
        <v>165</v>
      </c>
      <c r="AH65" s="1" t="s">
        <v>435</v>
      </c>
      <c r="AI65" s="1" t="s">
        <v>264</v>
      </c>
      <c r="AJ65" s="6"/>
      <c r="AS65" s="15" t="s">
        <v>436</v>
      </c>
      <c r="AT65" s="16" t="s">
        <v>437</v>
      </c>
      <c r="AX65" s="14" t="s">
        <v>438</v>
      </c>
      <c r="AY65" s="9" t="s">
        <v>43</v>
      </c>
      <c r="AZ65" s="9" t="s">
        <v>439</v>
      </c>
      <c r="BA65" s="1" t="str">
        <f t="shared" si="8"/>
        <v>M0</v>
      </c>
      <c r="BB65" s="1" t="str">
        <f t="shared" si="8"/>
        <v>중국계</v>
      </c>
    </row>
    <row r="66" spans="1:54" ht="17.5" thickBot="1" x14ac:dyDescent="0.4">
      <c r="A66" s="6">
        <f t="shared" ref="A66:A129" si="10">YEAR(C66)</f>
        <v>2022</v>
      </c>
      <c r="B66" s="6">
        <f t="shared" ref="B66:B129" si="11">MONTH(C66)</f>
        <v>3</v>
      </c>
      <c r="C66" s="7">
        <v>44628</v>
      </c>
      <c r="D66" s="6">
        <f t="shared" ref="D66:D129" si="12">WEEKDAY(C66,2)</f>
        <v>2</v>
      </c>
      <c r="E66" s="6">
        <f t="shared" ref="E66:E129" si="13">WEEKNUM(C66,2)</f>
        <v>11</v>
      </c>
      <c r="F66" s="6">
        <f t="shared" ref="F66:F129" si="14">WEEKNUM(DATE(YEAR(C66),1,DAY(C66-WEEKDAY(C66,2)+1)),WEEKDAY(DATE(YEAR(C66),1,1),11)+10)</f>
        <v>1</v>
      </c>
      <c r="G66" s="6" t="str">
        <f t="shared" ref="G66:G129" si="15">IF(LEN(B66)=1,_xlfn.CONCAT(0,B66),B66)</f>
        <v>03</v>
      </c>
      <c r="H66" s="6" t="str">
        <f t="shared" ref="H66:H129" si="16">G66&amp;"월 "&amp;F66&amp;"주차"</f>
        <v>03월 1주차</v>
      </c>
      <c r="I66" s="6" t="str">
        <f>H66&amp;" ("&amp;TEXT(C65,"m/dd")&amp;"~"&amp;TEXT(C71,"m/dd")&amp;")"</f>
        <v>03월 1주차 (3/07~3/13)</v>
      </c>
      <c r="J66" s="6" t="str">
        <f>A65&amp;"년 "&amp;WEEKNUM(C65,2)&amp;"주차"&amp;" ("&amp;TEXT(C65,"m/dd")&amp;"~"&amp;TEXT(C71,"m/dd")&amp;")"</f>
        <v>2022년 11주차 (3/07~3/13)</v>
      </c>
      <c r="K66" s="6">
        <f>YEAR(C65)</f>
        <v>2022</v>
      </c>
      <c r="L66" s="6">
        <f>WEEKNUM(C65,2)</f>
        <v>11</v>
      </c>
      <c r="O66" s="1" t="str">
        <f t="shared" si="9"/>
        <v>JLS</v>
      </c>
      <c r="P66" s="1" t="s">
        <v>102</v>
      </c>
      <c r="Q66" s="1" t="s">
        <v>121</v>
      </c>
      <c r="R66" s="1" t="s">
        <v>145</v>
      </c>
      <c r="S66" s="1">
        <v>41</v>
      </c>
      <c r="Z66" s="2"/>
      <c r="AA66"/>
      <c r="AB66" s="9"/>
      <c r="AH66" s="1" t="s">
        <v>440</v>
      </c>
      <c r="AI66" s="1" t="s">
        <v>264</v>
      </c>
      <c r="AJ66" s="6"/>
      <c r="AS66" s="15" t="s">
        <v>441</v>
      </c>
      <c r="AT66" s="16" t="s">
        <v>442</v>
      </c>
      <c r="AX66" s="14" t="s">
        <v>443</v>
      </c>
      <c r="AY66" s="9" t="s">
        <v>43</v>
      </c>
      <c r="BA66" s="1" t="str">
        <f t="shared" ref="BA66:BB101" si="17">TEXT(AX66,"0")</f>
        <v>3U</v>
      </c>
      <c r="BB66" s="1" t="str">
        <f t="shared" si="17"/>
        <v>중국계</v>
      </c>
    </row>
    <row r="67" spans="1:54" ht="17.5" thickBot="1" x14ac:dyDescent="0.4">
      <c r="A67" s="6">
        <f t="shared" si="10"/>
        <v>2022</v>
      </c>
      <c r="B67" s="6">
        <f t="shared" si="11"/>
        <v>3</v>
      </c>
      <c r="C67" s="7">
        <v>44629</v>
      </c>
      <c r="D67" s="6">
        <f t="shared" si="12"/>
        <v>3</v>
      </c>
      <c r="E67" s="6">
        <f t="shared" si="13"/>
        <v>11</v>
      </c>
      <c r="F67" s="6">
        <f t="shared" si="14"/>
        <v>1</v>
      </c>
      <c r="G67" s="6" t="str">
        <f t="shared" si="15"/>
        <v>03</v>
      </c>
      <c r="H67" s="6" t="str">
        <f t="shared" si="16"/>
        <v>03월 1주차</v>
      </c>
      <c r="I67" s="6" t="str">
        <f>H67&amp;" ("&amp;TEXT(C65,"m/dd")&amp;"~"&amp;TEXT(C71,"m/dd")&amp;")"</f>
        <v>03월 1주차 (3/07~3/13)</v>
      </c>
      <c r="J67" s="6" t="str">
        <f>A65&amp;"년 "&amp;WEEKNUM(C65,2)&amp;"주차"&amp;" ("&amp;TEXT(C65,"m/dd")&amp;"~"&amp;TEXT(C71,"m/dd")&amp;")"</f>
        <v>2022년 11주차 (3/07~3/13)</v>
      </c>
      <c r="K67" s="6">
        <f>YEAR(C65)</f>
        <v>2022</v>
      </c>
      <c r="L67" s="6">
        <f>WEEKNUM(C65,2)</f>
        <v>11</v>
      </c>
      <c r="O67" s="1" t="str">
        <f t="shared" ref="O67:O130" si="18">P67&amp;R67</f>
        <v>JLO</v>
      </c>
      <c r="P67" s="1" t="s">
        <v>102</v>
      </c>
      <c r="Q67" s="1" t="s">
        <v>121</v>
      </c>
      <c r="R67" s="1" t="s">
        <v>112</v>
      </c>
      <c r="S67" s="1">
        <v>42</v>
      </c>
      <c r="Z67" s="2"/>
      <c r="AA67"/>
      <c r="AB67" s="9"/>
      <c r="AH67" s="1" t="s">
        <v>444</v>
      </c>
      <c r="AI67" s="1" t="s">
        <v>264</v>
      </c>
      <c r="AJ67" s="6"/>
      <c r="AS67" s="15" t="s">
        <v>445</v>
      </c>
      <c r="AT67" s="16" t="s">
        <v>446</v>
      </c>
      <c r="AX67" s="14" t="s">
        <v>447</v>
      </c>
      <c r="AY67" s="9" t="s">
        <v>197</v>
      </c>
      <c r="BA67" s="1" t="str">
        <f t="shared" si="17"/>
        <v>FJ</v>
      </c>
      <c r="BB67" s="1" t="str">
        <f t="shared" si="17"/>
        <v>대양주계</v>
      </c>
    </row>
    <row r="68" spans="1:54" ht="17.5" thickBot="1" x14ac:dyDescent="0.4">
      <c r="A68" s="6">
        <f t="shared" si="10"/>
        <v>2022</v>
      </c>
      <c r="B68" s="6">
        <f t="shared" si="11"/>
        <v>3</v>
      </c>
      <c r="C68" s="7">
        <v>44630</v>
      </c>
      <c r="D68" s="6">
        <f t="shared" si="12"/>
        <v>4</v>
      </c>
      <c r="E68" s="6">
        <f t="shared" si="13"/>
        <v>11</v>
      </c>
      <c r="F68" s="6">
        <f t="shared" si="14"/>
        <v>1</v>
      </c>
      <c r="G68" s="6" t="str">
        <f t="shared" si="15"/>
        <v>03</v>
      </c>
      <c r="H68" s="6" t="str">
        <f t="shared" si="16"/>
        <v>03월 1주차</v>
      </c>
      <c r="I68" s="6" t="str">
        <f>H68&amp;" ("&amp;TEXT(C65,"m/dd")&amp;"~"&amp;TEXT(C71,"m/dd")&amp;")"</f>
        <v>03월 1주차 (3/07~3/13)</v>
      </c>
      <c r="J68" s="6" t="str">
        <f>A65&amp;"년 "&amp;WEEKNUM(C65,2)&amp;"주차"&amp;" ("&amp;TEXT(C65,"m/dd")&amp;"~"&amp;TEXT(C71,"m/dd")&amp;")"</f>
        <v>2022년 11주차 (3/07~3/13)</v>
      </c>
      <c r="K68" s="6">
        <f>YEAR(C65)</f>
        <v>2022</v>
      </c>
      <c r="L68" s="6">
        <f>WEEKNUM(C65,2)</f>
        <v>11</v>
      </c>
      <c r="O68" s="1" t="str">
        <f t="shared" si="18"/>
        <v>JLG</v>
      </c>
      <c r="P68" s="1" t="s">
        <v>102</v>
      </c>
      <c r="Q68" s="1" t="s">
        <v>121</v>
      </c>
      <c r="R68" s="1" t="s">
        <v>211</v>
      </c>
      <c r="S68" s="1">
        <v>43</v>
      </c>
      <c r="Z68" s="2"/>
      <c r="AA68"/>
      <c r="AB68" s="9"/>
      <c r="AH68" s="1" t="s">
        <v>448</v>
      </c>
      <c r="AI68" s="1" t="s">
        <v>264</v>
      </c>
      <c r="AJ68" s="6"/>
      <c r="AS68" s="15" t="s">
        <v>449</v>
      </c>
      <c r="AT68" s="16" t="s">
        <v>450</v>
      </c>
      <c r="AX68" s="14" t="s">
        <v>451</v>
      </c>
      <c r="AY68" s="9" t="s">
        <v>275</v>
      </c>
      <c r="BA68" s="1" t="str">
        <f t="shared" si="17"/>
        <v>YP</v>
      </c>
      <c r="BB68" s="1" t="str">
        <f t="shared" si="17"/>
        <v>국내계</v>
      </c>
    </row>
    <row r="69" spans="1:54" ht="17.5" thickBot="1" x14ac:dyDescent="0.4">
      <c r="A69" s="6">
        <f t="shared" si="10"/>
        <v>2022</v>
      </c>
      <c r="B69" s="6">
        <f t="shared" si="11"/>
        <v>3</v>
      </c>
      <c r="C69" s="7">
        <v>44631</v>
      </c>
      <c r="D69" s="6">
        <f t="shared" si="12"/>
        <v>5</v>
      </c>
      <c r="E69" s="6">
        <f t="shared" si="13"/>
        <v>11</v>
      </c>
      <c r="F69" s="6">
        <f t="shared" si="14"/>
        <v>1</v>
      </c>
      <c r="G69" s="6" t="str">
        <f t="shared" si="15"/>
        <v>03</v>
      </c>
      <c r="H69" s="6" t="str">
        <f t="shared" si="16"/>
        <v>03월 1주차</v>
      </c>
      <c r="I69" s="6" t="str">
        <f>H69&amp;" ("&amp;TEXT(C65,"m/dd")&amp;"~"&amp;TEXT(C71,"m/dd")&amp;")"</f>
        <v>03월 1주차 (3/07~3/13)</v>
      </c>
      <c r="J69" s="6" t="str">
        <f>A65&amp;"년 "&amp;WEEKNUM(C65,2)&amp;"주차"&amp;" ("&amp;TEXT(C65,"m/dd")&amp;"~"&amp;TEXT(C71,"m/dd")&amp;")"</f>
        <v>2022년 11주차 (3/07~3/13)</v>
      </c>
      <c r="K69" s="6">
        <f>YEAR(C65)</f>
        <v>2022</v>
      </c>
      <c r="L69" s="6">
        <f>WEEKNUM(C65,2)</f>
        <v>11</v>
      </c>
      <c r="O69" s="1" t="str">
        <f t="shared" si="18"/>
        <v>JLQ</v>
      </c>
      <c r="P69" s="1" t="s">
        <v>102</v>
      </c>
      <c r="Q69" s="1" t="s">
        <v>121</v>
      </c>
      <c r="R69" s="1" t="s">
        <v>191</v>
      </c>
      <c r="S69" s="1">
        <v>44</v>
      </c>
      <c r="Z69" s="2"/>
      <c r="AA69"/>
      <c r="AB69" s="9"/>
      <c r="AH69" s="1" t="s">
        <v>452</v>
      </c>
      <c r="AI69" s="1" t="s">
        <v>264</v>
      </c>
      <c r="AJ69" s="6"/>
      <c r="AS69" s="15" t="s">
        <v>453</v>
      </c>
      <c r="AT69" s="16" t="s">
        <v>454</v>
      </c>
      <c r="AX69" s="14" t="s">
        <v>455</v>
      </c>
      <c r="AY69" s="9" t="s">
        <v>320</v>
      </c>
      <c r="BA69" s="1" t="str">
        <f t="shared" si="17"/>
        <v>ET</v>
      </c>
      <c r="BB69" s="1" t="str">
        <f t="shared" si="17"/>
        <v>중동계</v>
      </c>
    </row>
    <row r="70" spans="1:54" ht="31.5" thickBot="1" x14ac:dyDescent="0.4">
      <c r="A70" s="6">
        <f t="shared" si="10"/>
        <v>2022</v>
      </c>
      <c r="B70" s="6">
        <f t="shared" si="11"/>
        <v>3</v>
      </c>
      <c r="C70" s="7">
        <v>44632</v>
      </c>
      <c r="D70" s="6">
        <f t="shared" si="12"/>
        <v>6</v>
      </c>
      <c r="E70" s="6">
        <f t="shared" si="13"/>
        <v>11</v>
      </c>
      <c r="F70" s="6">
        <f t="shared" si="14"/>
        <v>1</v>
      </c>
      <c r="G70" s="6" t="str">
        <f t="shared" si="15"/>
        <v>03</v>
      </c>
      <c r="H70" s="6" t="str">
        <f t="shared" si="16"/>
        <v>03월 1주차</v>
      </c>
      <c r="I70" s="6" t="str">
        <f>H70&amp;" ("&amp;TEXT(C65,"m/dd")&amp;"~"&amp;TEXT(C71,"m/dd")&amp;")"</f>
        <v>03월 1주차 (3/07~3/13)</v>
      </c>
      <c r="J70" s="6" t="str">
        <f>A65&amp;"년 "&amp;WEEKNUM(C65,2)&amp;"주차"&amp;" ("&amp;TEXT(C65,"m/dd")&amp;"~"&amp;TEXT(C71,"m/dd")&amp;")"</f>
        <v>2022년 11주차 (3/07~3/13)</v>
      </c>
      <c r="K70" s="6">
        <f>YEAR(C65)</f>
        <v>2022</v>
      </c>
      <c r="L70" s="6">
        <f>WEEKNUM(C65,2)</f>
        <v>11</v>
      </c>
      <c r="O70" s="1" t="str">
        <f t="shared" si="18"/>
        <v>JLN</v>
      </c>
      <c r="P70" s="1" t="s">
        <v>102</v>
      </c>
      <c r="Q70" s="1" t="s">
        <v>121</v>
      </c>
      <c r="R70" s="1" t="s">
        <v>198</v>
      </c>
      <c r="S70" s="1">
        <v>45</v>
      </c>
      <c r="Z70" s="2"/>
      <c r="AA70"/>
      <c r="AB70" s="9"/>
      <c r="AH70" s="1" t="s">
        <v>456</v>
      </c>
      <c r="AI70" s="1" t="s">
        <v>264</v>
      </c>
      <c r="AJ70" s="6"/>
      <c r="AS70" s="15" t="s">
        <v>457</v>
      </c>
      <c r="AT70" s="16" t="s">
        <v>458</v>
      </c>
      <c r="AX70" s="14" t="s">
        <v>459</v>
      </c>
      <c r="AY70" s="9" t="s">
        <v>43</v>
      </c>
      <c r="BA70" s="1" t="str">
        <f t="shared" si="17"/>
        <v>UO</v>
      </c>
      <c r="BB70" s="1" t="str">
        <f t="shared" si="17"/>
        <v>중국계</v>
      </c>
    </row>
    <row r="71" spans="1:54" ht="17.5" thickBot="1" x14ac:dyDescent="0.4">
      <c r="A71" s="6">
        <f t="shared" si="10"/>
        <v>2022</v>
      </c>
      <c r="B71" s="6">
        <f t="shared" si="11"/>
        <v>3</v>
      </c>
      <c r="C71" s="7">
        <v>44633</v>
      </c>
      <c r="D71" s="6">
        <f t="shared" si="12"/>
        <v>7</v>
      </c>
      <c r="E71" s="6">
        <f t="shared" si="13"/>
        <v>11</v>
      </c>
      <c r="F71" s="6">
        <f t="shared" si="14"/>
        <v>1</v>
      </c>
      <c r="G71" s="6" t="str">
        <f t="shared" si="15"/>
        <v>03</v>
      </c>
      <c r="H71" s="6" t="str">
        <f t="shared" si="16"/>
        <v>03월 1주차</v>
      </c>
      <c r="I71" s="6" t="str">
        <f>H71&amp;" ("&amp;TEXT(C65,"m/dd")&amp;"~"&amp;TEXT(C71,"m/dd")&amp;")"</f>
        <v>03월 1주차 (3/07~3/13)</v>
      </c>
      <c r="J71" s="6" t="str">
        <f>A65&amp;"년 "&amp;WEEKNUM(C65,2)&amp;"주차"&amp;" ("&amp;TEXT(C65,"m/dd")&amp;"~"&amp;TEXT(C71,"m/dd")&amp;")"</f>
        <v>2022년 11주차 (3/07~3/13)</v>
      </c>
      <c r="K71" s="6">
        <f>YEAR(C65)</f>
        <v>2022</v>
      </c>
      <c r="L71" s="6">
        <f>WEEKNUM(C65,2)</f>
        <v>11</v>
      </c>
      <c r="O71" s="1" t="str">
        <f t="shared" si="18"/>
        <v>NHF</v>
      </c>
      <c r="P71" s="1" t="s">
        <v>68</v>
      </c>
      <c r="Q71" s="1" t="s">
        <v>30</v>
      </c>
      <c r="R71" s="1" t="s">
        <v>44</v>
      </c>
      <c r="S71" s="1">
        <v>11</v>
      </c>
      <c r="Z71" s="2"/>
      <c r="AA71"/>
      <c r="AB71" s="9"/>
      <c r="AH71" s="1" t="s">
        <v>460</v>
      </c>
      <c r="AI71" s="1" t="s">
        <v>264</v>
      </c>
      <c r="AJ71" s="6"/>
      <c r="AS71" s="15" t="s">
        <v>461</v>
      </c>
      <c r="AT71" s="16" t="s">
        <v>462</v>
      </c>
      <c r="AX71" s="14" t="s">
        <v>463</v>
      </c>
      <c r="AY71" s="9" t="s">
        <v>275</v>
      </c>
      <c r="BA71" s="1" t="str">
        <f t="shared" si="17"/>
        <v>7C</v>
      </c>
      <c r="BB71" s="1" t="str">
        <f t="shared" si="17"/>
        <v>국내계</v>
      </c>
    </row>
    <row r="72" spans="1:54" ht="17.5" thickBot="1" x14ac:dyDescent="0.4">
      <c r="A72" s="6">
        <f t="shared" si="10"/>
        <v>2022</v>
      </c>
      <c r="B72" s="6">
        <f t="shared" si="11"/>
        <v>3</v>
      </c>
      <c r="C72" s="7">
        <v>44634</v>
      </c>
      <c r="D72" s="6">
        <f t="shared" si="12"/>
        <v>1</v>
      </c>
      <c r="E72" s="6">
        <f t="shared" si="13"/>
        <v>12</v>
      </c>
      <c r="F72" s="6">
        <f t="shared" si="14"/>
        <v>2</v>
      </c>
      <c r="G72" s="6" t="str">
        <f t="shared" si="15"/>
        <v>03</v>
      </c>
      <c r="H72" s="6" t="str">
        <f t="shared" si="16"/>
        <v>03월 2주차</v>
      </c>
      <c r="I72" s="6" t="str">
        <f>H72&amp;" ("&amp;TEXT(C72,"m/dd")&amp;"~"&amp;TEXT(C78,"m/dd")&amp;")"</f>
        <v>03월 2주차 (3/14~3/20)</v>
      </c>
      <c r="J72" s="6" t="str">
        <f>A72&amp;"년 "&amp;WEEKNUM(C72,2)&amp;"주차"&amp;" ("&amp;TEXT(C72,"m/dd")&amp;"~"&amp;TEXT(C78,"m/dd")&amp;")"</f>
        <v>2022년 12주차 (3/14~3/20)</v>
      </c>
      <c r="K72" s="6">
        <f>YEAR(C72)</f>
        <v>2022</v>
      </c>
      <c r="L72" s="6">
        <f>WEEKNUM(C72,2)</f>
        <v>12</v>
      </c>
      <c r="O72" s="1" t="str">
        <f t="shared" si="18"/>
        <v>NHA</v>
      </c>
      <c r="P72" s="1" t="s">
        <v>68</v>
      </c>
      <c r="Q72" s="1" t="s">
        <v>30</v>
      </c>
      <c r="R72" s="1" t="s">
        <v>52</v>
      </c>
      <c r="S72" s="1">
        <v>12</v>
      </c>
      <c r="Z72" s="2"/>
      <c r="AA72"/>
      <c r="AB72" s="9"/>
      <c r="AH72" s="1" t="s">
        <v>464</v>
      </c>
      <c r="AI72" s="1" t="s">
        <v>264</v>
      </c>
      <c r="AJ72" s="6"/>
      <c r="AS72" s="15" t="s">
        <v>465</v>
      </c>
      <c r="AT72" s="16" t="s">
        <v>466</v>
      </c>
      <c r="AX72" s="14" t="s">
        <v>467</v>
      </c>
      <c r="AY72" s="9" t="s">
        <v>144</v>
      </c>
      <c r="BA72" s="1" t="str">
        <f t="shared" si="17"/>
        <v>SL</v>
      </c>
      <c r="BB72" s="1" t="str">
        <f t="shared" si="17"/>
        <v>동남아계</v>
      </c>
    </row>
    <row r="73" spans="1:54" ht="31.5" thickBot="1" x14ac:dyDescent="0.4">
      <c r="A73" s="6">
        <f t="shared" si="10"/>
        <v>2022</v>
      </c>
      <c r="B73" s="6">
        <f t="shared" si="11"/>
        <v>3</v>
      </c>
      <c r="C73" s="7">
        <v>44635</v>
      </c>
      <c r="D73" s="6">
        <f t="shared" si="12"/>
        <v>2</v>
      </c>
      <c r="E73" s="6">
        <f t="shared" si="13"/>
        <v>12</v>
      </c>
      <c r="F73" s="6">
        <f t="shared" si="14"/>
        <v>2</v>
      </c>
      <c r="G73" s="6" t="str">
        <f t="shared" si="15"/>
        <v>03</v>
      </c>
      <c r="H73" s="6" t="str">
        <f t="shared" si="16"/>
        <v>03월 2주차</v>
      </c>
      <c r="I73" s="6" t="str">
        <f>H73&amp;" ("&amp;TEXT(C72,"m/dd")&amp;"~"&amp;TEXT(C78,"m/dd")&amp;")"</f>
        <v>03월 2주차 (3/14~3/20)</v>
      </c>
      <c r="J73" s="6" t="str">
        <f>A72&amp;"년 "&amp;WEEKNUM(C72,2)&amp;"주차"&amp;" ("&amp;TEXT(C72,"m/dd")&amp;"~"&amp;TEXT(C78,"m/dd")&amp;")"</f>
        <v>2022년 12주차 (3/14~3/20)</v>
      </c>
      <c r="K73" s="6">
        <f>YEAR(C72)</f>
        <v>2022</v>
      </c>
      <c r="L73" s="6">
        <f>WEEKNUM(C72,2)</f>
        <v>12</v>
      </c>
      <c r="O73" s="1" t="str">
        <f t="shared" si="18"/>
        <v>NHJ</v>
      </c>
      <c r="P73" s="1" t="s">
        <v>68</v>
      </c>
      <c r="Q73" s="1" t="s">
        <v>60</v>
      </c>
      <c r="R73" s="1" t="s">
        <v>61</v>
      </c>
      <c r="S73" s="1">
        <v>21</v>
      </c>
      <c r="Z73" s="2"/>
      <c r="AA73"/>
      <c r="AB73" s="9"/>
      <c r="AH73" s="1" t="s">
        <v>468</v>
      </c>
      <c r="AI73" s="1" t="s">
        <v>264</v>
      </c>
      <c r="AJ73" s="6"/>
      <c r="AS73" s="15" t="s">
        <v>469</v>
      </c>
      <c r="AT73" s="16" t="s">
        <v>302</v>
      </c>
      <c r="AX73" s="14" t="s">
        <v>470</v>
      </c>
      <c r="AY73" s="9" t="s">
        <v>144</v>
      </c>
      <c r="BA73" s="1" t="str">
        <f t="shared" si="17"/>
        <v>VZ</v>
      </c>
      <c r="BB73" s="1" t="str">
        <f t="shared" si="17"/>
        <v>동남아계</v>
      </c>
    </row>
    <row r="74" spans="1:54" ht="17.5" thickBot="1" x14ac:dyDescent="0.4">
      <c r="A74" s="6">
        <f t="shared" si="10"/>
        <v>2022</v>
      </c>
      <c r="B74" s="6">
        <f t="shared" si="11"/>
        <v>3</v>
      </c>
      <c r="C74" s="7">
        <v>44636</v>
      </c>
      <c r="D74" s="6">
        <f t="shared" si="12"/>
        <v>3</v>
      </c>
      <c r="E74" s="6">
        <f t="shared" si="13"/>
        <v>12</v>
      </c>
      <c r="F74" s="6">
        <f t="shared" si="14"/>
        <v>2</v>
      </c>
      <c r="G74" s="6" t="str">
        <f t="shared" si="15"/>
        <v>03</v>
      </c>
      <c r="H74" s="6" t="str">
        <f t="shared" si="16"/>
        <v>03월 2주차</v>
      </c>
      <c r="I74" s="6" t="str">
        <f>H74&amp;" ("&amp;TEXT(C72,"m/dd")&amp;"~"&amp;TEXT(C78,"m/dd")&amp;")"</f>
        <v>03월 2주차 (3/14~3/20)</v>
      </c>
      <c r="J74" s="6" t="str">
        <f>A72&amp;"년 "&amp;WEEKNUM(C72,2)&amp;"주차"&amp;" ("&amp;TEXT(C72,"m/dd")&amp;"~"&amp;TEXT(C78,"m/dd")&amp;")"</f>
        <v>2022년 12주차 (3/14~3/20)</v>
      </c>
      <c r="K74" s="6">
        <f>YEAR(C72)</f>
        <v>2022</v>
      </c>
      <c r="L74" s="6">
        <f>WEEKNUM(C72,2)</f>
        <v>12</v>
      </c>
      <c r="O74" s="1" t="str">
        <f t="shared" si="18"/>
        <v>NHC</v>
      </c>
      <c r="P74" s="1" t="s">
        <v>68</v>
      </c>
      <c r="Q74" s="1" t="s">
        <v>60</v>
      </c>
      <c r="R74" s="1" t="s">
        <v>70</v>
      </c>
      <c r="S74" s="1">
        <v>22</v>
      </c>
      <c r="Z74" s="2"/>
      <c r="AA74"/>
      <c r="AB74" s="9"/>
      <c r="AH74" s="1" t="s">
        <v>471</v>
      </c>
      <c r="AI74" s="1" t="s">
        <v>264</v>
      </c>
      <c r="AJ74" s="6"/>
      <c r="AS74" s="15" t="s">
        <v>472</v>
      </c>
      <c r="AT74" s="16" t="s">
        <v>473</v>
      </c>
      <c r="AX74" s="14" t="s">
        <v>474</v>
      </c>
      <c r="AY74" s="9" t="s">
        <v>43</v>
      </c>
      <c r="AZ74" s="9" t="s">
        <v>475</v>
      </c>
      <c r="BA74" s="1" t="str">
        <f t="shared" si="17"/>
        <v>NX</v>
      </c>
      <c r="BB74" s="1" t="str">
        <f t="shared" si="17"/>
        <v>중국계</v>
      </c>
    </row>
    <row r="75" spans="1:54" ht="17.5" thickBot="1" x14ac:dyDescent="0.4">
      <c r="A75" s="6">
        <f t="shared" si="10"/>
        <v>2022</v>
      </c>
      <c r="B75" s="6">
        <f t="shared" si="11"/>
        <v>3</v>
      </c>
      <c r="C75" s="7">
        <v>44637</v>
      </c>
      <c r="D75" s="6">
        <f t="shared" si="12"/>
        <v>4</v>
      </c>
      <c r="E75" s="6">
        <f t="shared" si="13"/>
        <v>12</v>
      </c>
      <c r="F75" s="6">
        <f t="shared" si="14"/>
        <v>2</v>
      </c>
      <c r="G75" s="6" t="str">
        <f t="shared" si="15"/>
        <v>03</v>
      </c>
      <c r="H75" s="6" t="str">
        <f t="shared" si="16"/>
        <v>03월 2주차</v>
      </c>
      <c r="I75" s="6" t="str">
        <f>H75&amp;" ("&amp;TEXT(C72,"m/dd")&amp;"~"&amp;TEXT(C78,"m/dd")&amp;")"</f>
        <v>03월 2주차 (3/14~3/20)</v>
      </c>
      <c r="J75" s="6" t="str">
        <f>A72&amp;"년 "&amp;WEEKNUM(C72,2)&amp;"주차"&amp;" ("&amp;TEXT(C72,"m/dd")&amp;"~"&amp;TEXT(C78,"m/dd")&amp;")"</f>
        <v>2022년 12주차 (3/14~3/20)</v>
      </c>
      <c r="K75" s="6">
        <f>YEAR(C72)</f>
        <v>2022</v>
      </c>
      <c r="L75" s="6">
        <f>WEEKNUM(C72,2)</f>
        <v>12</v>
      </c>
      <c r="O75" s="1" t="str">
        <f t="shared" si="18"/>
        <v>NHD</v>
      </c>
      <c r="P75" s="1" t="s">
        <v>68</v>
      </c>
      <c r="Q75" s="1" t="s">
        <v>60</v>
      </c>
      <c r="R75" s="1" t="s">
        <v>78</v>
      </c>
      <c r="S75" s="1">
        <v>23</v>
      </c>
      <c r="Z75" s="2"/>
      <c r="AA75"/>
      <c r="AB75" s="9"/>
      <c r="AH75" s="1" t="s">
        <v>476</v>
      </c>
      <c r="AI75" s="1" t="s">
        <v>264</v>
      </c>
      <c r="AJ75" s="6"/>
      <c r="AS75" s="15" t="s">
        <v>477</v>
      </c>
      <c r="AT75" s="16" t="s">
        <v>478</v>
      </c>
      <c r="AX75" s="14" t="s">
        <v>479</v>
      </c>
      <c r="AY75" s="9" t="s">
        <v>197</v>
      </c>
      <c r="BA75" s="1" t="str">
        <f t="shared" si="17"/>
        <v>VA</v>
      </c>
      <c r="BB75" s="1" t="str">
        <f t="shared" si="17"/>
        <v>대양주계</v>
      </c>
    </row>
    <row r="76" spans="1:54" ht="17.5" thickBot="1" x14ac:dyDescent="0.4">
      <c r="A76" s="6">
        <f t="shared" si="10"/>
        <v>2022</v>
      </c>
      <c r="B76" s="6">
        <f t="shared" si="11"/>
        <v>3</v>
      </c>
      <c r="C76" s="7">
        <v>44638</v>
      </c>
      <c r="D76" s="6">
        <f t="shared" si="12"/>
        <v>5</v>
      </c>
      <c r="E76" s="6">
        <f t="shared" si="13"/>
        <v>12</v>
      </c>
      <c r="F76" s="6">
        <f t="shared" si="14"/>
        <v>2</v>
      </c>
      <c r="G76" s="6" t="str">
        <f t="shared" si="15"/>
        <v>03</v>
      </c>
      <c r="H76" s="6" t="str">
        <f t="shared" si="16"/>
        <v>03월 2주차</v>
      </c>
      <c r="I76" s="6" t="str">
        <f>H76&amp;" ("&amp;TEXT(C72,"m/dd")&amp;"~"&amp;TEXT(C78,"m/dd")&amp;")"</f>
        <v>03월 2주차 (3/14~3/20)</v>
      </c>
      <c r="J76" s="6" t="str">
        <f>A72&amp;"년 "&amp;WEEKNUM(C72,2)&amp;"주차"&amp;" ("&amp;TEXT(C72,"m/dd")&amp;"~"&amp;TEXT(C78,"m/dd")&amp;")"</f>
        <v>2022년 12주차 (3/14~3/20)</v>
      </c>
      <c r="K76" s="6">
        <f>YEAR(C72)</f>
        <v>2022</v>
      </c>
      <c r="L76" s="6">
        <f>WEEKNUM(C72,2)</f>
        <v>12</v>
      </c>
      <c r="O76" s="1" t="str">
        <f t="shared" si="18"/>
        <v>NHZ</v>
      </c>
      <c r="P76" s="1" t="s">
        <v>68</v>
      </c>
      <c r="Q76" s="1" t="s">
        <v>60</v>
      </c>
      <c r="R76" s="1" t="s">
        <v>104</v>
      </c>
      <c r="S76" s="1">
        <v>24</v>
      </c>
      <c r="Z76" s="2"/>
      <c r="AA76"/>
      <c r="AB76" s="9"/>
      <c r="AH76" s="1" t="s">
        <v>480</v>
      </c>
      <c r="AI76" s="1" t="s">
        <v>264</v>
      </c>
      <c r="AJ76" s="6"/>
      <c r="AS76" s="15" t="s">
        <v>481</v>
      </c>
      <c r="AT76" s="16" t="s">
        <v>482</v>
      </c>
      <c r="AX76" s="14" t="s">
        <v>483</v>
      </c>
      <c r="AY76" s="9" t="s">
        <v>144</v>
      </c>
      <c r="BA76" s="1" t="str">
        <f t="shared" si="17"/>
        <v>OD</v>
      </c>
      <c r="BB76" s="1" t="str">
        <f t="shared" si="17"/>
        <v>동남아계</v>
      </c>
    </row>
    <row r="77" spans="1:54" ht="17.5" thickBot="1" x14ac:dyDescent="0.4">
      <c r="A77" s="6">
        <f t="shared" si="10"/>
        <v>2022</v>
      </c>
      <c r="B77" s="6">
        <f t="shared" si="11"/>
        <v>3</v>
      </c>
      <c r="C77" s="7">
        <v>44639</v>
      </c>
      <c r="D77" s="6">
        <f t="shared" si="12"/>
        <v>6</v>
      </c>
      <c r="E77" s="6">
        <f t="shared" si="13"/>
        <v>12</v>
      </c>
      <c r="F77" s="6">
        <f t="shared" si="14"/>
        <v>2</v>
      </c>
      <c r="G77" s="6" t="str">
        <f t="shared" si="15"/>
        <v>03</v>
      </c>
      <c r="H77" s="6" t="str">
        <f t="shared" si="16"/>
        <v>03월 2주차</v>
      </c>
      <c r="I77" s="6" t="str">
        <f>H77&amp;" ("&amp;TEXT(C72,"m/dd")&amp;"~"&amp;TEXT(C78,"m/dd")&amp;")"</f>
        <v>03월 2주차 (3/14~3/20)</v>
      </c>
      <c r="J77" s="6" t="str">
        <f>A72&amp;"년 "&amp;WEEKNUM(C72,2)&amp;"주차"&amp;" ("&amp;TEXT(C72,"m/dd")&amp;"~"&amp;TEXT(C78,"m/dd")&amp;")"</f>
        <v>2022년 12주차 (3/14~3/20)</v>
      </c>
      <c r="K77" s="6">
        <f>YEAR(C72)</f>
        <v>2022</v>
      </c>
      <c r="L77" s="6">
        <f>WEEKNUM(C72,2)</f>
        <v>12</v>
      </c>
      <c r="O77" s="1" t="str">
        <f t="shared" si="18"/>
        <v>NHP</v>
      </c>
      <c r="P77" s="1" t="s">
        <v>68</v>
      </c>
      <c r="Q77" s="1" t="s">
        <v>60</v>
      </c>
      <c r="R77" s="1" t="s">
        <v>31</v>
      </c>
      <c r="S77" s="1">
        <v>25</v>
      </c>
      <c r="Z77" s="2"/>
      <c r="AA77"/>
      <c r="AB77" s="9"/>
      <c r="AH77" s="1" t="s">
        <v>484</v>
      </c>
      <c r="AI77" s="1" t="s">
        <v>264</v>
      </c>
      <c r="AJ77" s="6"/>
      <c r="AS77" s="15" t="s">
        <v>485</v>
      </c>
      <c r="AT77" s="16" t="s">
        <v>479</v>
      </c>
      <c r="AX77" s="14" t="s">
        <v>433</v>
      </c>
      <c r="AY77" s="9" t="s">
        <v>320</v>
      </c>
      <c r="BA77" s="1" t="str">
        <f t="shared" si="17"/>
        <v>MS</v>
      </c>
      <c r="BB77" s="1" t="str">
        <f t="shared" si="17"/>
        <v>중동계</v>
      </c>
    </row>
    <row r="78" spans="1:54" ht="17.5" thickBot="1" x14ac:dyDescent="0.4">
      <c r="A78" s="6">
        <f t="shared" si="10"/>
        <v>2022</v>
      </c>
      <c r="B78" s="6">
        <f t="shared" si="11"/>
        <v>3</v>
      </c>
      <c r="C78" s="7">
        <v>44640</v>
      </c>
      <c r="D78" s="6">
        <f t="shared" si="12"/>
        <v>7</v>
      </c>
      <c r="E78" s="6">
        <f t="shared" si="13"/>
        <v>12</v>
      </c>
      <c r="F78" s="6">
        <f t="shared" si="14"/>
        <v>2</v>
      </c>
      <c r="G78" s="6" t="str">
        <f t="shared" si="15"/>
        <v>03</v>
      </c>
      <c r="H78" s="6" t="str">
        <f t="shared" si="16"/>
        <v>03월 2주차</v>
      </c>
      <c r="I78" s="6" t="str">
        <f>H78&amp;" ("&amp;TEXT(C72,"m/dd")&amp;"~"&amp;TEXT(C78,"m/dd")&amp;")"</f>
        <v>03월 2주차 (3/14~3/20)</v>
      </c>
      <c r="J78" s="6" t="str">
        <f>A72&amp;"년 "&amp;WEEKNUM(C72,2)&amp;"주차"&amp;" ("&amp;TEXT(C72,"m/dd")&amp;"~"&amp;TEXT(C78,"m/dd")&amp;")"</f>
        <v>2022년 12주차 (3/14~3/20)</v>
      </c>
      <c r="K78" s="6">
        <f>YEAR(C72)</f>
        <v>2022</v>
      </c>
      <c r="L78" s="6">
        <f>WEEKNUM(C72,2)</f>
        <v>12</v>
      </c>
      <c r="O78" s="1" t="str">
        <f t="shared" si="18"/>
        <v>NHG</v>
      </c>
      <c r="P78" s="1" t="s">
        <v>68</v>
      </c>
      <c r="Q78" s="1" t="s">
        <v>399</v>
      </c>
      <c r="R78" s="1" t="s">
        <v>211</v>
      </c>
      <c r="S78" s="1">
        <v>31</v>
      </c>
      <c r="Z78" s="2"/>
      <c r="AA78"/>
      <c r="AB78" s="9"/>
      <c r="AH78" s="1" t="s">
        <v>486</v>
      </c>
      <c r="AI78" s="1" t="s">
        <v>264</v>
      </c>
      <c r="AJ78" s="6"/>
      <c r="AS78" s="15" t="s">
        <v>487</v>
      </c>
      <c r="AT78" s="16" t="s">
        <v>488</v>
      </c>
      <c r="AX78" s="14" t="s">
        <v>489</v>
      </c>
      <c r="AY78" s="9" t="s">
        <v>43</v>
      </c>
      <c r="BA78" s="1" t="str">
        <f t="shared" si="17"/>
        <v>KN</v>
      </c>
      <c r="BB78" s="1" t="str">
        <f t="shared" si="17"/>
        <v>중국계</v>
      </c>
    </row>
    <row r="79" spans="1:54" ht="17.5" thickBot="1" x14ac:dyDescent="0.4">
      <c r="A79" s="6">
        <f t="shared" si="10"/>
        <v>2022</v>
      </c>
      <c r="B79" s="6">
        <f t="shared" si="11"/>
        <v>3</v>
      </c>
      <c r="C79" s="7">
        <v>44641</v>
      </c>
      <c r="D79" s="6">
        <f t="shared" si="12"/>
        <v>1</v>
      </c>
      <c r="E79" s="6">
        <f t="shared" si="13"/>
        <v>13</v>
      </c>
      <c r="F79" s="6">
        <f t="shared" si="14"/>
        <v>3</v>
      </c>
      <c r="G79" s="6" t="str">
        <f t="shared" si="15"/>
        <v>03</v>
      </c>
      <c r="H79" s="6" t="str">
        <f t="shared" si="16"/>
        <v>03월 3주차</v>
      </c>
      <c r="I79" s="6" t="str">
        <f>H79&amp;" ("&amp;TEXT(C79,"m/dd")&amp;"~"&amp;TEXT(C85,"m/dd")&amp;")"</f>
        <v>03월 3주차 (3/21~3/27)</v>
      </c>
      <c r="J79" s="6" t="str">
        <f>A79&amp;"년 "&amp;WEEKNUM(C79,2)&amp;"주차"&amp;" ("&amp;TEXT(C79,"m/dd")&amp;"~"&amp;TEXT(C85,"m/dd")&amp;")"</f>
        <v>2022년 13주차 (3/21~3/27)</v>
      </c>
      <c r="K79" s="6">
        <f>YEAR(C79)</f>
        <v>2022</v>
      </c>
      <c r="L79" s="6">
        <f>WEEKNUM(C79,2)</f>
        <v>13</v>
      </c>
      <c r="O79" s="1" t="str">
        <f t="shared" si="18"/>
        <v>NHE</v>
      </c>
      <c r="P79" s="1" t="s">
        <v>68</v>
      </c>
      <c r="Q79" s="1" t="s">
        <v>399</v>
      </c>
      <c r="R79" s="1" t="s">
        <v>163</v>
      </c>
      <c r="S79" s="1">
        <v>32</v>
      </c>
      <c r="Z79" s="2"/>
      <c r="AA79"/>
      <c r="AB79" s="9"/>
      <c r="AH79" s="1" t="s">
        <v>490</v>
      </c>
      <c r="AI79" s="1" t="s">
        <v>264</v>
      </c>
      <c r="AJ79" s="6"/>
      <c r="AS79" s="15" t="s">
        <v>491</v>
      </c>
      <c r="AT79" s="16" t="s">
        <v>492</v>
      </c>
      <c r="AX79" s="14" t="s">
        <v>493</v>
      </c>
      <c r="AY79" s="9" t="s">
        <v>144</v>
      </c>
      <c r="BA79" s="1" t="str">
        <f t="shared" si="17"/>
        <v>TR</v>
      </c>
      <c r="BB79" s="1" t="str">
        <f t="shared" si="17"/>
        <v>동남아계</v>
      </c>
    </row>
    <row r="80" spans="1:54" ht="17.5" thickBot="1" x14ac:dyDescent="0.4">
      <c r="A80" s="6">
        <f t="shared" si="10"/>
        <v>2022</v>
      </c>
      <c r="B80" s="6">
        <f t="shared" si="11"/>
        <v>3</v>
      </c>
      <c r="C80" s="7">
        <v>44642</v>
      </c>
      <c r="D80" s="6">
        <f t="shared" si="12"/>
        <v>2</v>
      </c>
      <c r="E80" s="6">
        <f t="shared" si="13"/>
        <v>13</v>
      </c>
      <c r="F80" s="6">
        <f t="shared" si="14"/>
        <v>3</v>
      </c>
      <c r="G80" s="6" t="str">
        <f t="shared" si="15"/>
        <v>03</v>
      </c>
      <c r="H80" s="6" t="str">
        <f t="shared" si="16"/>
        <v>03월 3주차</v>
      </c>
      <c r="I80" s="6" t="str">
        <f>H80&amp;" ("&amp;TEXT(C79,"m/dd")&amp;"~"&amp;TEXT(C85,"m/dd")&amp;")"</f>
        <v>03월 3주차 (3/21~3/27)</v>
      </c>
      <c r="J80" s="6" t="str">
        <f>A79&amp;"년 "&amp;WEEKNUM(C79,2)&amp;"주차"&amp;" ("&amp;TEXT(C79,"m/dd")&amp;"~"&amp;TEXT(C85,"m/dd")&amp;")"</f>
        <v>2022년 13주차 (3/21~3/27)</v>
      </c>
      <c r="K80" s="6">
        <f>YEAR(C79)</f>
        <v>2022</v>
      </c>
      <c r="L80" s="6">
        <f>WEEKNUM(C79,2)</f>
        <v>13</v>
      </c>
      <c r="O80" s="1" t="str">
        <f t="shared" si="18"/>
        <v>NHN</v>
      </c>
      <c r="P80" s="1" t="s">
        <v>68</v>
      </c>
      <c r="Q80" s="1" t="s">
        <v>399</v>
      </c>
      <c r="R80" s="1" t="s">
        <v>198</v>
      </c>
      <c r="S80" s="1">
        <v>33</v>
      </c>
      <c r="Z80" s="2"/>
      <c r="AA80"/>
      <c r="AB80" s="9"/>
      <c r="AH80" s="1" t="s">
        <v>21</v>
      </c>
      <c r="AI80" s="1" t="s">
        <v>264</v>
      </c>
      <c r="AJ80" s="6"/>
      <c r="AS80" s="15" t="s">
        <v>494</v>
      </c>
      <c r="AT80" s="16" t="s">
        <v>495</v>
      </c>
      <c r="AX80" s="14" t="s">
        <v>496</v>
      </c>
      <c r="AY80" s="9" t="s">
        <v>120</v>
      </c>
      <c r="BA80" s="1" t="str">
        <f t="shared" si="17"/>
        <v>BI</v>
      </c>
      <c r="BB80" s="1" t="str">
        <f t="shared" si="17"/>
        <v>구주계</v>
      </c>
    </row>
    <row r="81" spans="1:54" ht="17.5" thickBot="1" x14ac:dyDescent="0.4">
      <c r="A81" s="6">
        <f t="shared" si="10"/>
        <v>2022</v>
      </c>
      <c r="B81" s="6">
        <f t="shared" si="11"/>
        <v>3</v>
      </c>
      <c r="C81" s="7">
        <v>44643</v>
      </c>
      <c r="D81" s="6">
        <f t="shared" si="12"/>
        <v>3</v>
      </c>
      <c r="E81" s="6">
        <f t="shared" si="13"/>
        <v>13</v>
      </c>
      <c r="F81" s="6">
        <f t="shared" si="14"/>
        <v>3</v>
      </c>
      <c r="G81" s="6" t="str">
        <f t="shared" si="15"/>
        <v>03</v>
      </c>
      <c r="H81" s="6" t="str">
        <f t="shared" si="16"/>
        <v>03월 3주차</v>
      </c>
      <c r="I81" s="6" t="str">
        <f>H81&amp;" ("&amp;TEXT(C79,"m/dd")&amp;"~"&amp;TEXT(C85,"m/dd")&amp;")"</f>
        <v>03월 3주차 (3/21~3/27)</v>
      </c>
      <c r="J81" s="6" t="str">
        <f>A79&amp;"년 "&amp;WEEKNUM(C79,2)&amp;"주차"&amp;" ("&amp;TEXT(C79,"m/dd")&amp;"~"&amp;TEXT(C85,"m/dd")&amp;")"</f>
        <v>2022년 13주차 (3/21~3/27)</v>
      </c>
      <c r="K81" s="6">
        <f>YEAR(C79)</f>
        <v>2022</v>
      </c>
      <c r="L81" s="6">
        <f>WEEKNUM(C79,2)</f>
        <v>13</v>
      </c>
      <c r="O81" s="1" t="str">
        <f t="shared" si="18"/>
        <v>NHY</v>
      </c>
      <c r="P81" s="1" t="s">
        <v>68</v>
      </c>
      <c r="Q81" s="1" t="s">
        <v>121</v>
      </c>
      <c r="R81" s="1" t="s">
        <v>122</v>
      </c>
      <c r="S81" s="1">
        <v>34</v>
      </c>
      <c r="Z81" s="2"/>
      <c r="AA81" s="17"/>
      <c r="AB81" s="9"/>
      <c r="AH81" s="1" t="s">
        <v>497</v>
      </c>
      <c r="AI81" s="1" t="s">
        <v>264</v>
      </c>
      <c r="AJ81" s="6"/>
      <c r="AS81" s="15" t="s">
        <v>314</v>
      </c>
      <c r="AT81" s="16" t="s">
        <v>498</v>
      </c>
      <c r="AX81" s="14" t="s">
        <v>499</v>
      </c>
      <c r="AY81" s="9" t="s">
        <v>69</v>
      </c>
      <c r="BA81" s="1" t="str">
        <f t="shared" si="17"/>
        <v>GK</v>
      </c>
      <c r="BB81" s="1" t="str">
        <f t="shared" si="17"/>
        <v>일본계</v>
      </c>
    </row>
    <row r="82" spans="1:54" ht="17.5" thickBot="1" x14ac:dyDescent="0.4">
      <c r="A82" s="6">
        <f t="shared" si="10"/>
        <v>2022</v>
      </c>
      <c r="B82" s="6">
        <f t="shared" si="11"/>
        <v>3</v>
      </c>
      <c r="C82" s="7">
        <v>44644</v>
      </c>
      <c r="D82" s="6">
        <f t="shared" si="12"/>
        <v>4</v>
      </c>
      <c r="E82" s="6">
        <f t="shared" si="13"/>
        <v>13</v>
      </c>
      <c r="F82" s="6">
        <f t="shared" si="14"/>
        <v>3</v>
      </c>
      <c r="G82" s="6" t="str">
        <f t="shared" si="15"/>
        <v>03</v>
      </c>
      <c r="H82" s="6" t="str">
        <f t="shared" si="16"/>
        <v>03월 3주차</v>
      </c>
      <c r="I82" s="6" t="str">
        <f>H82&amp;" ("&amp;TEXT(C79,"m/dd")&amp;"~"&amp;TEXT(C85,"m/dd")&amp;")"</f>
        <v>03월 3주차 (3/21~3/27)</v>
      </c>
      <c r="J82" s="6" t="str">
        <f>A79&amp;"년 "&amp;WEEKNUM(C79,2)&amp;"주차"&amp;" ("&amp;TEXT(C79,"m/dd")&amp;"~"&amp;TEXT(C85,"m/dd")&amp;")"</f>
        <v>2022년 13주차 (3/21~3/27)</v>
      </c>
      <c r="K82" s="6">
        <f>YEAR(C79)</f>
        <v>2022</v>
      </c>
      <c r="L82" s="6">
        <f>WEEKNUM(C79,2)</f>
        <v>13</v>
      </c>
      <c r="O82" s="1" t="str">
        <f t="shared" si="18"/>
        <v>NHB</v>
      </c>
      <c r="P82" s="1" t="s">
        <v>68</v>
      </c>
      <c r="Q82" s="1" t="s">
        <v>121</v>
      </c>
      <c r="R82" s="1" t="s">
        <v>129</v>
      </c>
      <c r="S82" s="1">
        <v>35</v>
      </c>
      <c r="Z82" s="8" t="s">
        <v>500</v>
      </c>
      <c r="AA82" s="8" t="s">
        <v>491</v>
      </c>
      <c r="AB82" s="1" t="s">
        <v>501</v>
      </c>
      <c r="AH82" s="1" t="s">
        <v>502</v>
      </c>
      <c r="AI82" s="1" t="s">
        <v>264</v>
      </c>
      <c r="AJ82" s="6"/>
      <c r="AS82" s="15" t="s">
        <v>503</v>
      </c>
      <c r="AT82" s="16" t="s">
        <v>504</v>
      </c>
      <c r="AX82" s="14" t="s">
        <v>505</v>
      </c>
      <c r="AY82" s="9" t="s">
        <v>144</v>
      </c>
      <c r="BA82" s="1" t="str">
        <f t="shared" si="17"/>
        <v>PG</v>
      </c>
      <c r="BB82" s="1" t="str">
        <f t="shared" si="17"/>
        <v>동남아계</v>
      </c>
    </row>
    <row r="83" spans="1:54" ht="17.5" thickBot="1" x14ac:dyDescent="0.4">
      <c r="A83" s="6">
        <f t="shared" si="10"/>
        <v>2022</v>
      </c>
      <c r="B83" s="6">
        <f t="shared" si="11"/>
        <v>3</v>
      </c>
      <c r="C83" s="7">
        <v>44645</v>
      </c>
      <c r="D83" s="6">
        <f t="shared" si="12"/>
        <v>5</v>
      </c>
      <c r="E83" s="6">
        <f t="shared" si="13"/>
        <v>13</v>
      </c>
      <c r="F83" s="6">
        <f t="shared" si="14"/>
        <v>3</v>
      </c>
      <c r="G83" s="6" t="str">
        <f t="shared" si="15"/>
        <v>03</v>
      </c>
      <c r="H83" s="6" t="str">
        <f t="shared" si="16"/>
        <v>03월 3주차</v>
      </c>
      <c r="I83" s="6" t="str">
        <f>H83&amp;" ("&amp;TEXT(C79,"m/dd")&amp;"~"&amp;TEXT(C85,"m/dd")&amp;")"</f>
        <v>03월 3주차 (3/21~3/27)</v>
      </c>
      <c r="J83" s="6" t="str">
        <f>A79&amp;"년 "&amp;WEEKNUM(C79,2)&amp;"주차"&amp;" ("&amp;TEXT(C79,"m/dd")&amp;"~"&amp;TEXT(C85,"m/dd")&amp;")"</f>
        <v>2022년 13주차 (3/21~3/27)</v>
      </c>
      <c r="K83" s="6">
        <f>YEAR(C79)</f>
        <v>2022</v>
      </c>
      <c r="L83" s="6">
        <f>WEEKNUM(C79,2)</f>
        <v>13</v>
      </c>
      <c r="O83" s="1" t="str">
        <f t="shared" si="18"/>
        <v>NHM</v>
      </c>
      <c r="P83" s="1" t="s">
        <v>68</v>
      </c>
      <c r="Q83" s="1" t="s">
        <v>121</v>
      </c>
      <c r="R83" s="1" t="s">
        <v>137</v>
      </c>
      <c r="S83" s="1">
        <v>36</v>
      </c>
      <c r="Z83" s="2"/>
      <c r="AA83" s="8" t="s">
        <v>506</v>
      </c>
      <c r="AB83" s="1" t="s">
        <v>501</v>
      </c>
      <c r="AH83" s="1" t="s">
        <v>507</v>
      </c>
      <c r="AI83" s="1" t="s">
        <v>264</v>
      </c>
      <c r="AJ83" s="6"/>
      <c r="AS83" s="15" t="s">
        <v>508</v>
      </c>
      <c r="AT83" s="16" t="s">
        <v>177</v>
      </c>
      <c r="AX83" s="14" t="s">
        <v>509</v>
      </c>
      <c r="AY83" s="9" t="s">
        <v>120</v>
      </c>
      <c r="BA83" s="1" t="str">
        <f t="shared" si="17"/>
        <v>H1</v>
      </c>
      <c r="BB83" s="1" t="str">
        <f t="shared" si="17"/>
        <v>구주계</v>
      </c>
    </row>
    <row r="84" spans="1:54" ht="17.5" thickBot="1" x14ac:dyDescent="0.4">
      <c r="A84" s="6">
        <f t="shared" si="10"/>
        <v>2022</v>
      </c>
      <c r="B84" s="6">
        <f t="shared" si="11"/>
        <v>3</v>
      </c>
      <c r="C84" s="7">
        <v>44646</v>
      </c>
      <c r="D84" s="6">
        <f t="shared" si="12"/>
        <v>6</v>
      </c>
      <c r="E84" s="6">
        <f t="shared" si="13"/>
        <v>13</v>
      </c>
      <c r="F84" s="6">
        <f t="shared" si="14"/>
        <v>3</v>
      </c>
      <c r="G84" s="6" t="str">
        <f t="shared" si="15"/>
        <v>03</v>
      </c>
      <c r="H84" s="6" t="str">
        <f t="shared" si="16"/>
        <v>03월 3주차</v>
      </c>
      <c r="I84" s="6" t="str">
        <f>H84&amp;" ("&amp;TEXT(C79,"m/dd")&amp;"~"&amp;TEXT(C85,"m/dd")&amp;")"</f>
        <v>03월 3주차 (3/21~3/27)</v>
      </c>
      <c r="J84" s="6" t="str">
        <f>A79&amp;"년 "&amp;WEEKNUM(C79,2)&amp;"주차"&amp;" ("&amp;TEXT(C79,"m/dd")&amp;"~"&amp;TEXT(C85,"m/dd")&amp;")"</f>
        <v>2022년 13주차 (3/21~3/27)</v>
      </c>
      <c r="K84" s="6">
        <f>YEAR(C79)</f>
        <v>2022</v>
      </c>
      <c r="L84" s="6">
        <f>WEEKNUM(C79,2)</f>
        <v>13</v>
      </c>
      <c r="O84" s="1" t="str">
        <f t="shared" si="18"/>
        <v>NHU</v>
      </c>
      <c r="P84" s="1" t="s">
        <v>68</v>
      </c>
      <c r="Q84" s="1" t="s">
        <v>121</v>
      </c>
      <c r="R84" s="1" t="s">
        <v>185</v>
      </c>
      <c r="S84" s="1">
        <v>37</v>
      </c>
      <c r="Z84" s="2"/>
      <c r="AA84" s="8" t="s">
        <v>510</v>
      </c>
      <c r="AB84" s="1" t="s">
        <v>501</v>
      </c>
      <c r="AH84" s="1" t="s">
        <v>511</v>
      </c>
      <c r="AI84" s="1" t="s">
        <v>264</v>
      </c>
      <c r="AJ84" s="6"/>
      <c r="AS84" s="15" t="s">
        <v>512</v>
      </c>
      <c r="AT84" s="16" t="s">
        <v>513</v>
      </c>
      <c r="AX84" s="14" t="s">
        <v>514</v>
      </c>
      <c r="AY84" s="9" t="s">
        <v>144</v>
      </c>
      <c r="BA84" s="1" t="str">
        <f t="shared" si="17"/>
        <v>D7</v>
      </c>
      <c r="BB84" s="1" t="str">
        <f t="shared" si="17"/>
        <v>동남아계</v>
      </c>
    </row>
    <row r="85" spans="1:54" ht="17.5" thickBot="1" x14ac:dyDescent="0.4">
      <c r="A85" s="6">
        <f t="shared" si="10"/>
        <v>2022</v>
      </c>
      <c r="B85" s="6">
        <f t="shared" si="11"/>
        <v>3</v>
      </c>
      <c r="C85" s="7">
        <v>44647</v>
      </c>
      <c r="D85" s="6">
        <f t="shared" si="12"/>
        <v>7</v>
      </c>
      <c r="E85" s="6">
        <f t="shared" si="13"/>
        <v>13</v>
      </c>
      <c r="F85" s="6">
        <f t="shared" si="14"/>
        <v>3</v>
      </c>
      <c r="G85" s="6" t="str">
        <f t="shared" si="15"/>
        <v>03</v>
      </c>
      <c r="H85" s="6" t="str">
        <f t="shared" si="16"/>
        <v>03월 3주차</v>
      </c>
      <c r="I85" s="6" t="str">
        <f>H85&amp;" ("&amp;TEXT(C79,"m/dd")&amp;"~"&amp;TEXT(C85,"m/dd")&amp;")"</f>
        <v>03월 3주차 (3/21~3/27)</v>
      </c>
      <c r="J85" s="6" t="str">
        <f>A79&amp;"년 "&amp;WEEKNUM(C79,2)&amp;"주차"&amp;" ("&amp;TEXT(C79,"m/dd")&amp;"~"&amp;TEXT(C85,"m/dd")&amp;")"</f>
        <v>2022년 13주차 (3/21~3/27)</v>
      </c>
      <c r="K85" s="6">
        <f>YEAR(C79)</f>
        <v>2022</v>
      </c>
      <c r="L85" s="6">
        <f>WEEKNUM(C79,2)</f>
        <v>13</v>
      </c>
      <c r="O85" s="1" t="str">
        <f t="shared" si="18"/>
        <v>NHH</v>
      </c>
      <c r="P85" s="1" t="s">
        <v>68</v>
      </c>
      <c r="Q85" s="1" t="s">
        <v>121</v>
      </c>
      <c r="R85" s="1" t="s">
        <v>154</v>
      </c>
      <c r="S85" s="1">
        <v>38</v>
      </c>
      <c r="Z85" s="2"/>
      <c r="AA85" s="8" t="s">
        <v>515</v>
      </c>
      <c r="AB85" s="1" t="s">
        <v>516</v>
      </c>
      <c r="AH85" s="1" t="s">
        <v>517</v>
      </c>
      <c r="AI85" s="1" t="s">
        <v>264</v>
      </c>
      <c r="AJ85" s="6"/>
      <c r="AS85" s="15" t="s">
        <v>518</v>
      </c>
      <c r="AT85" s="16" t="s">
        <v>519</v>
      </c>
      <c r="AX85" s="14" t="s">
        <v>520</v>
      </c>
      <c r="AY85" s="9" t="s">
        <v>144</v>
      </c>
      <c r="BA85" s="1" t="str">
        <f t="shared" si="17"/>
        <v>3K</v>
      </c>
      <c r="BB85" s="1" t="str">
        <f t="shared" si="17"/>
        <v>동남아계</v>
      </c>
    </row>
    <row r="86" spans="1:54" ht="17.5" thickBot="1" x14ac:dyDescent="0.4">
      <c r="A86" s="6">
        <f t="shared" si="10"/>
        <v>2022</v>
      </c>
      <c r="B86" s="6">
        <f t="shared" si="11"/>
        <v>3</v>
      </c>
      <c r="C86" s="7">
        <v>44648</v>
      </c>
      <c r="D86" s="6">
        <f t="shared" si="12"/>
        <v>1</v>
      </c>
      <c r="E86" s="6">
        <f t="shared" si="13"/>
        <v>14</v>
      </c>
      <c r="F86" s="6">
        <f t="shared" si="14"/>
        <v>4</v>
      </c>
      <c r="G86" s="6" t="str">
        <f t="shared" si="15"/>
        <v>03</v>
      </c>
      <c r="H86" s="6" t="str">
        <f t="shared" si="16"/>
        <v>03월 4주차</v>
      </c>
      <c r="I86" s="6" t="str">
        <f>H86&amp;" ("&amp;TEXT(C86,"m/dd")&amp;"~"&amp;TEXT(C92,"m/dd")&amp;")"</f>
        <v>03월 4주차 (3/28~4/03)</v>
      </c>
      <c r="J86" s="6" t="str">
        <f>A86&amp;"년 "&amp;WEEKNUM(C86,2)&amp;"주차"&amp;" ("&amp;TEXT(C86,"m/dd")&amp;"~"&amp;TEXT(C92,"m/dd")&amp;")"</f>
        <v>2022년 14주차 (3/28~4/03)</v>
      </c>
      <c r="K86" s="6">
        <f>YEAR(C86)</f>
        <v>2022</v>
      </c>
      <c r="L86" s="6">
        <f>WEEKNUM(C86,2)</f>
        <v>14</v>
      </c>
      <c r="O86" s="1" t="str">
        <f t="shared" si="18"/>
        <v>NHQ</v>
      </c>
      <c r="P86" s="1" t="s">
        <v>68</v>
      </c>
      <c r="Q86" s="1" t="s">
        <v>121</v>
      </c>
      <c r="R86" s="1" t="s">
        <v>191</v>
      </c>
      <c r="S86" s="1">
        <v>39</v>
      </c>
      <c r="Z86" s="2"/>
      <c r="AA86" s="21" t="s">
        <v>521</v>
      </c>
      <c r="AB86" s="1" t="s">
        <v>516</v>
      </c>
      <c r="AH86" s="9" t="s">
        <v>522</v>
      </c>
      <c r="AI86" s="9" t="s">
        <v>264</v>
      </c>
      <c r="AJ86" s="6"/>
      <c r="AS86" s="15" t="s">
        <v>523</v>
      </c>
      <c r="AT86" s="16" t="s">
        <v>524</v>
      </c>
      <c r="AX86" s="14" t="s">
        <v>525</v>
      </c>
      <c r="AY86" s="9" t="s">
        <v>275</v>
      </c>
      <c r="BA86" s="1" t="str">
        <f t="shared" si="17"/>
        <v>LJ</v>
      </c>
      <c r="BB86" s="1" t="str">
        <f t="shared" si="17"/>
        <v>국내계</v>
      </c>
    </row>
    <row r="87" spans="1:54" ht="17.5" thickBot="1" x14ac:dyDescent="0.4">
      <c r="A87" s="6">
        <f t="shared" si="10"/>
        <v>2022</v>
      </c>
      <c r="B87" s="6">
        <f t="shared" si="11"/>
        <v>3</v>
      </c>
      <c r="C87" s="7">
        <v>44649</v>
      </c>
      <c r="D87" s="6">
        <f t="shared" si="12"/>
        <v>2</v>
      </c>
      <c r="E87" s="6">
        <f t="shared" si="13"/>
        <v>14</v>
      </c>
      <c r="F87" s="6">
        <f t="shared" si="14"/>
        <v>4</v>
      </c>
      <c r="G87" s="6" t="str">
        <f t="shared" si="15"/>
        <v>03</v>
      </c>
      <c r="H87" s="6" t="str">
        <f t="shared" si="16"/>
        <v>03월 4주차</v>
      </c>
      <c r="I87" s="6" t="str">
        <f>H87&amp;" ("&amp;TEXT(C86,"m/dd")&amp;"~"&amp;TEXT(C92,"m/dd")&amp;")"</f>
        <v>03월 4주차 (3/28~4/03)</v>
      </c>
      <c r="J87" s="6" t="str">
        <f>A86&amp;"년 "&amp;WEEKNUM(C86,2)&amp;"주차"&amp;" ("&amp;TEXT(C86,"m/dd")&amp;"~"&amp;TEXT(C92,"m/dd")&amp;")"</f>
        <v>2022년 14주차 (3/28~4/03)</v>
      </c>
      <c r="K87" s="6">
        <f>YEAR(C86)</f>
        <v>2022</v>
      </c>
      <c r="L87" s="6">
        <f>WEEKNUM(C86,2)</f>
        <v>14</v>
      </c>
      <c r="O87" s="1" t="str">
        <f t="shared" si="18"/>
        <v>NHV</v>
      </c>
      <c r="P87" s="1" t="s">
        <v>68</v>
      </c>
      <c r="Q87" s="1" t="s">
        <v>121</v>
      </c>
      <c r="R87" s="1" t="s">
        <v>328</v>
      </c>
      <c r="S87" s="1">
        <v>40</v>
      </c>
      <c r="Z87" s="2"/>
      <c r="AA87" s="8" t="s">
        <v>526</v>
      </c>
      <c r="AB87" s="1" t="s">
        <v>516</v>
      </c>
      <c r="AH87" s="9" t="s">
        <v>527</v>
      </c>
      <c r="AI87" s="9" t="s">
        <v>322</v>
      </c>
      <c r="AJ87" s="6"/>
      <c r="AS87" s="15" t="s">
        <v>528</v>
      </c>
      <c r="AT87" s="16" t="s">
        <v>529</v>
      </c>
      <c r="AX87" s="14" t="s">
        <v>530</v>
      </c>
      <c r="AY87" s="9" t="s">
        <v>144</v>
      </c>
      <c r="BA87" s="1" t="str">
        <f t="shared" si="17"/>
        <v>A1</v>
      </c>
      <c r="BB87" s="1" t="str">
        <f t="shared" si="17"/>
        <v>동남아계</v>
      </c>
    </row>
    <row r="88" spans="1:54" ht="31.5" thickBot="1" x14ac:dyDescent="0.4">
      <c r="A88" s="6">
        <f t="shared" si="10"/>
        <v>2022</v>
      </c>
      <c r="B88" s="6">
        <f t="shared" si="11"/>
        <v>3</v>
      </c>
      <c r="C88" s="7">
        <v>44650</v>
      </c>
      <c r="D88" s="6">
        <f t="shared" si="12"/>
        <v>3</v>
      </c>
      <c r="E88" s="6">
        <f t="shared" si="13"/>
        <v>14</v>
      </c>
      <c r="F88" s="6">
        <f t="shared" si="14"/>
        <v>4</v>
      </c>
      <c r="G88" s="6" t="str">
        <f t="shared" si="15"/>
        <v>03</v>
      </c>
      <c r="H88" s="6" t="str">
        <f t="shared" si="16"/>
        <v>03월 4주차</v>
      </c>
      <c r="I88" s="6" t="str">
        <f>H88&amp;" ("&amp;TEXT(C86,"m/dd")&amp;"~"&amp;TEXT(C92,"m/dd")&amp;")"</f>
        <v>03월 4주차 (3/28~4/03)</v>
      </c>
      <c r="J88" s="6" t="str">
        <f>A86&amp;"년 "&amp;WEEKNUM(C86,2)&amp;"주차"&amp;" ("&amp;TEXT(C86,"m/dd")&amp;"~"&amp;TEXT(C92,"m/dd")&amp;")"</f>
        <v>2022년 14주차 (3/28~4/03)</v>
      </c>
      <c r="K88" s="6">
        <f>YEAR(C86)</f>
        <v>2022</v>
      </c>
      <c r="L88" s="6">
        <f>WEEKNUM(C86,2)</f>
        <v>14</v>
      </c>
      <c r="O88" s="1" t="str">
        <f t="shared" si="18"/>
        <v>NHW</v>
      </c>
      <c r="P88" s="1" t="s">
        <v>68</v>
      </c>
      <c r="Q88" s="1" t="s">
        <v>121</v>
      </c>
      <c r="R88" s="1" t="s">
        <v>335</v>
      </c>
      <c r="S88" s="1">
        <v>41</v>
      </c>
      <c r="Z88" s="2"/>
      <c r="AA88" s="8" t="s">
        <v>531</v>
      </c>
      <c r="AB88" s="1" t="s">
        <v>516</v>
      </c>
      <c r="AH88" s="9" t="s">
        <v>532</v>
      </c>
      <c r="AI88" s="9" t="s">
        <v>264</v>
      </c>
      <c r="AJ88" s="6"/>
      <c r="AS88" s="15" t="s">
        <v>533</v>
      </c>
      <c r="AT88" s="16" t="s">
        <v>222</v>
      </c>
      <c r="AX88" s="14" t="s">
        <v>287</v>
      </c>
      <c r="AY88" s="9" t="s">
        <v>153</v>
      </c>
      <c r="BA88" s="1" t="str">
        <f t="shared" si="17"/>
        <v>LA</v>
      </c>
      <c r="BB88" s="1" t="str">
        <f t="shared" si="17"/>
        <v>미주계</v>
      </c>
    </row>
    <row r="89" spans="1:54" ht="17.5" thickBot="1" x14ac:dyDescent="0.4">
      <c r="A89" s="6">
        <f t="shared" si="10"/>
        <v>2022</v>
      </c>
      <c r="B89" s="6">
        <f t="shared" si="11"/>
        <v>3</v>
      </c>
      <c r="C89" s="7">
        <v>44651</v>
      </c>
      <c r="D89" s="6">
        <f t="shared" si="12"/>
        <v>4</v>
      </c>
      <c r="E89" s="6">
        <f t="shared" si="13"/>
        <v>14</v>
      </c>
      <c r="F89" s="6">
        <f t="shared" si="14"/>
        <v>4</v>
      </c>
      <c r="G89" s="6" t="str">
        <f t="shared" si="15"/>
        <v>03</v>
      </c>
      <c r="H89" s="6" t="str">
        <f t="shared" si="16"/>
        <v>03월 4주차</v>
      </c>
      <c r="I89" s="6" t="str">
        <f>H89&amp;" ("&amp;TEXT(C86,"m/dd")&amp;"~"&amp;TEXT(C92,"m/dd")&amp;")"</f>
        <v>03월 4주차 (3/28~4/03)</v>
      </c>
      <c r="J89" s="6" t="str">
        <f>A86&amp;"년 "&amp;WEEKNUM(C86,2)&amp;"주차"&amp;" ("&amp;TEXT(C86,"m/dd")&amp;"~"&amp;TEXT(C92,"m/dd")&amp;")"</f>
        <v>2022년 14주차 (3/28~4/03)</v>
      </c>
      <c r="K89" s="6">
        <f>YEAR(C86)</f>
        <v>2022</v>
      </c>
      <c r="L89" s="6">
        <f>WEEKNUM(C86,2)</f>
        <v>14</v>
      </c>
      <c r="O89" s="1" t="str">
        <f t="shared" si="18"/>
        <v>NHS</v>
      </c>
      <c r="P89" s="1" t="s">
        <v>68</v>
      </c>
      <c r="Q89" s="1" t="s">
        <v>121</v>
      </c>
      <c r="R89" s="1" t="s">
        <v>145</v>
      </c>
      <c r="S89" s="1">
        <v>42</v>
      </c>
      <c r="Z89" s="2"/>
      <c r="AA89" s="8" t="s">
        <v>534</v>
      </c>
      <c r="AB89" s="1" t="s">
        <v>501</v>
      </c>
      <c r="AH89" s="9" t="s">
        <v>37</v>
      </c>
      <c r="AI89" s="9"/>
      <c r="AJ89" s="6"/>
      <c r="AS89" s="15" t="s">
        <v>343</v>
      </c>
      <c r="AT89" s="16" t="s">
        <v>535</v>
      </c>
      <c r="AX89" s="14" t="s">
        <v>536</v>
      </c>
      <c r="AY89" s="9" t="s">
        <v>120</v>
      </c>
      <c r="BA89" s="1" t="str">
        <f t="shared" si="17"/>
        <v>W2</v>
      </c>
      <c r="BB89" s="1" t="str">
        <f t="shared" si="17"/>
        <v>구주계</v>
      </c>
    </row>
    <row r="90" spans="1:54" ht="17.5" thickBot="1" x14ac:dyDescent="0.4">
      <c r="A90" s="6">
        <f t="shared" si="10"/>
        <v>2022</v>
      </c>
      <c r="B90" s="6">
        <f t="shared" si="11"/>
        <v>4</v>
      </c>
      <c r="C90" s="7">
        <v>44652</v>
      </c>
      <c r="D90" s="6">
        <f t="shared" si="12"/>
        <v>5</v>
      </c>
      <c r="E90" s="6">
        <f t="shared" si="13"/>
        <v>14</v>
      </c>
      <c r="F90" s="6">
        <f t="shared" si="14"/>
        <v>4</v>
      </c>
      <c r="G90" s="6" t="str">
        <f t="shared" si="15"/>
        <v>04</v>
      </c>
      <c r="H90" s="6" t="str">
        <f t="shared" si="16"/>
        <v>04월 4주차</v>
      </c>
      <c r="I90" s="6" t="str">
        <f>H90&amp;" ("&amp;TEXT(C86,"m/dd")&amp;"~"&amp;TEXT(C92,"m/dd")&amp;")"</f>
        <v>04월 4주차 (3/28~4/03)</v>
      </c>
      <c r="J90" s="6" t="str">
        <f>A86&amp;"년 "&amp;WEEKNUM(C86,2)&amp;"주차"&amp;" ("&amp;TEXT(C86,"m/dd")&amp;"~"&amp;TEXT(C92,"m/dd")&amp;")"</f>
        <v>2022년 14주차 (3/28~4/03)</v>
      </c>
      <c r="K90" s="6">
        <f>YEAR(C86)</f>
        <v>2022</v>
      </c>
      <c r="L90" s="6">
        <f>WEEKNUM(C86,2)</f>
        <v>14</v>
      </c>
      <c r="O90" s="1" t="str">
        <f t="shared" si="18"/>
        <v>NHT</v>
      </c>
      <c r="P90" s="1" t="s">
        <v>68</v>
      </c>
      <c r="Q90" s="1" t="s">
        <v>121</v>
      </c>
      <c r="R90" s="1" t="s">
        <v>204</v>
      </c>
      <c r="S90" s="1">
        <v>43</v>
      </c>
      <c r="Z90" s="2"/>
      <c r="AA90" s="8" t="s">
        <v>537</v>
      </c>
      <c r="AB90" s="1" t="s">
        <v>501</v>
      </c>
      <c r="AH90" s="9" t="s">
        <v>47</v>
      </c>
      <c r="AS90" s="15" t="s">
        <v>538</v>
      </c>
      <c r="AT90" s="16" t="s">
        <v>539</v>
      </c>
      <c r="AX90" s="14" t="s">
        <v>540</v>
      </c>
      <c r="AY90" s="9" t="s">
        <v>144</v>
      </c>
      <c r="BA90" s="1" t="str">
        <f t="shared" si="17"/>
        <v>Z2</v>
      </c>
      <c r="BB90" s="1" t="str">
        <f t="shared" si="17"/>
        <v>동남아계</v>
      </c>
    </row>
    <row r="91" spans="1:54" ht="17.5" thickBot="1" x14ac:dyDescent="0.4">
      <c r="A91" s="6">
        <f t="shared" si="10"/>
        <v>2022</v>
      </c>
      <c r="B91" s="6">
        <f t="shared" si="11"/>
        <v>4</v>
      </c>
      <c r="C91" s="7">
        <v>44653</v>
      </c>
      <c r="D91" s="6">
        <f t="shared" si="12"/>
        <v>6</v>
      </c>
      <c r="E91" s="6">
        <f t="shared" si="13"/>
        <v>14</v>
      </c>
      <c r="F91" s="6">
        <f t="shared" si="14"/>
        <v>4</v>
      </c>
      <c r="G91" s="6" t="str">
        <f t="shared" si="15"/>
        <v>04</v>
      </c>
      <c r="H91" s="6" t="str">
        <f t="shared" si="16"/>
        <v>04월 4주차</v>
      </c>
      <c r="I91" s="6" t="str">
        <f>H91&amp;" ("&amp;TEXT(C86,"m/dd")&amp;"~"&amp;TEXT(C92,"m/dd")&amp;")"</f>
        <v>04월 4주차 (3/28~4/03)</v>
      </c>
      <c r="J91" s="6" t="str">
        <f>A86&amp;"년 "&amp;WEEKNUM(C86,2)&amp;"주차"&amp;" ("&amp;TEXT(C86,"m/dd")&amp;"~"&amp;TEXT(C92,"m/dd")&amp;")"</f>
        <v>2022년 14주차 (3/28~4/03)</v>
      </c>
      <c r="K91" s="6">
        <f>YEAR(C86)</f>
        <v>2022</v>
      </c>
      <c r="L91" s="6">
        <f>WEEKNUM(C86,2)</f>
        <v>14</v>
      </c>
      <c r="O91" s="1" t="str">
        <f t="shared" si="18"/>
        <v>NHL</v>
      </c>
      <c r="P91" s="1" t="s">
        <v>68</v>
      </c>
      <c r="Q91" s="1" t="s">
        <v>121</v>
      </c>
      <c r="R91" s="1" t="s">
        <v>178</v>
      </c>
      <c r="S91" s="1">
        <v>44</v>
      </c>
      <c r="Z91" s="2"/>
      <c r="AA91" s="8" t="s">
        <v>541</v>
      </c>
      <c r="AB91" s="1" t="s">
        <v>542</v>
      </c>
      <c r="AH91" s="9" t="s">
        <v>55</v>
      </c>
      <c r="AS91" s="15" t="s">
        <v>289</v>
      </c>
      <c r="AT91" s="16" t="s">
        <v>496</v>
      </c>
      <c r="AX91" s="14" t="s">
        <v>543</v>
      </c>
      <c r="AY91" s="9" t="s">
        <v>144</v>
      </c>
      <c r="BA91" s="1" t="str">
        <f t="shared" si="17"/>
        <v>BG</v>
      </c>
      <c r="BB91" s="1" t="str">
        <f t="shared" si="17"/>
        <v>동남아계</v>
      </c>
    </row>
    <row r="92" spans="1:54" ht="17.5" thickBot="1" x14ac:dyDescent="0.4">
      <c r="A92" s="6">
        <f t="shared" si="10"/>
        <v>2022</v>
      </c>
      <c r="B92" s="6">
        <f t="shared" si="11"/>
        <v>4</v>
      </c>
      <c r="C92" s="7">
        <v>44654</v>
      </c>
      <c r="D92" s="6">
        <f t="shared" si="12"/>
        <v>7</v>
      </c>
      <c r="E92" s="6">
        <f t="shared" si="13"/>
        <v>14</v>
      </c>
      <c r="F92" s="6">
        <f t="shared" si="14"/>
        <v>4</v>
      </c>
      <c r="G92" s="6" t="str">
        <f t="shared" si="15"/>
        <v>04</v>
      </c>
      <c r="H92" s="6" t="str">
        <f t="shared" si="16"/>
        <v>04월 4주차</v>
      </c>
      <c r="I92" s="6" t="str">
        <f>H92&amp;" ("&amp;TEXT(C86,"m/dd")&amp;"~"&amp;TEXT(C92,"m/dd")&amp;")"</f>
        <v>04월 4주차 (3/28~4/03)</v>
      </c>
      <c r="J92" s="6" t="str">
        <f>A86&amp;"년 "&amp;WEEKNUM(C86,2)&amp;"주차"&amp;" ("&amp;TEXT(C86,"m/dd")&amp;"~"&amp;TEXT(C92,"m/dd")&amp;")"</f>
        <v>2022년 14주차 (3/28~4/03)</v>
      </c>
      <c r="K92" s="6">
        <f>YEAR(C86)</f>
        <v>2022</v>
      </c>
      <c r="L92" s="6">
        <f>WEEKNUM(C86,2)</f>
        <v>14</v>
      </c>
      <c r="O92" s="1" t="str">
        <f t="shared" si="18"/>
        <v>NHK</v>
      </c>
      <c r="P92" s="1" t="s">
        <v>68</v>
      </c>
      <c r="Q92" s="1" t="s">
        <v>121</v>
      </c>
      <c r="R92" s="1" t="s">
        <v>171</v>
      </c>
      <c r="S92" s="1">
        <v>45</v>
      </c>
      <c r="Z92" s="2"/>
      <c r="AA92" s="8" t="s">
        <v>392</v>
      </c>
      <c r="AB92" s="1" t="s">
        <v>501</v>
      </c>
      <c r="AH92" s="9" t="s">
        <v>64</v>
      </c>
      <c r="AS92" s="15" t="s">
        <v>277</v>
      </c>
      <c r="AT92" s="16" t="s">
        <v>544</v>
      </c>
      <c r="AX92" s="14" t="s">
        <v>545</v>
      </c>
      <c r="AY92" s="9" t="s">
        <v>120</v>
      </c>
      <c r="BA92" s="1" t="str">
        <f t="shared" si="17"/>
        <v>VS</v>
      </c>
      <c r="BB92" s="1" t="str">
        <f t="shared" si="17"/>
        <v>구주계</v>
      </c>
    </row>
    <row r="93" spans="1:54" ht="17.5" thickBot="1" x14ac:dyDescent="0.4">
      <c r="A93" s="6">
        <f t="shared" si="10"/>
        <v>2022</v>
      </c>
      <c r="B93" s="6">
        <f t="shared" si="11"/>
        <v>4</v>
      </c>
      <c r="C93" s="7">
        <v>44655</v>
      </c>
      <c r="D93" s="6">
        <f t="shared" si="12"/>
        <v>1</v>
      </c>
      <c r="E93" s="6">
        <f t="shared" si="13"/>
        <v>15</v>
      </c>
      <c r="F93" s="6">
        <f t="shared" si="14"/>
        <v>1</v>
      </c>
      <c r="G93" s="6" t="str">
        <f t="shared" si="15"/>
        <v>04</v>
      </c>
      <c r="H93" s="6" t="str">
        <f t="shared" si="16"/>
        <v>04월 1주차</v>
      </c>
      <c r="I93" s="6" t="str">
        <f>H93&amp;" ("&amp;TEXT(C93,"m/dd")&amp;"~"&amp;TEXT(C99,"m/dd")&amp;")"</f>
        <v>04월 1주차 (4/04~4/10)</v>
      </c>
      <c r="J93" s="6" t="str">
        <f>A93&amp;"년 "&amp;WEEKNUM(C93,2)&amp;"주차"&amp;" ("&amp;TEXT(C93,"m/dd")&amp;"~"&amp;TEXT(C99,"m/dd")&amp;")"</f>
        <v>2022년 15주차 (4/04~4/10)</v>
      </c>
      <c r="K93" s="6">
        <f>YEAR(C93)</f>
        <v>2022</v>
      </c>
      <c r="L93" s="6">
        <f>WEEKNUM(C93,2)</f>
        <v>15</v>
      </c>
      <c r="O93" s="1" t="str">
        <f t="shared" si="18"/>
        <v>7CC</v>
      </c>
      <c r="P93" s="1" t="s">
        <v>463</v>
      </c>
      <c r="Q93" s="1" t="s">
        <v>399</v>
      </c>
      <c r="R93" s="1" t="s">
        <v>70</v>
      </c>
      <c r="S93" s="1">
        <v>21</v>
      </c>
      <c r="Z93" s="2"/>
      <c r="AA93" s="8" t="s">
        <v>441</v>
      </c>
      <c r="AB93" s="1" t="s">
        <v>501</v>
      </c>
      <c r="AH93" s="9" t="s">
        <v>73</v>
      </c>
      <c r="AS93" s="15" t="s">
        <v>546</v>
      </c>
      <c r="AT93" s="16" t="s">
        <v>547</v>
      </c>
      <c r="AX93" s="14" t="s">
        <v>548</v>
      </c>
      <c r="AY93" s="9" t="s">
        <v>320</v>
      </c>
      <c r="BA93" s="1" t="str">
        <f t="shared" si="17"/>
        <v>HH</v>
      </c>
      <c r="BB93" s="1" t="str">
        <f t="shared" si="17"/>
        <v>중동계</v>
      </c>
    </row>
    <row r="94" spans="1:54" ht="17.5" thickBot="1" x14ac:dyDescent="0.4">
      <c r="A94" s="6">
        <f t="shared" si="10"/>
        <v>2022</v>
      </c>
      <c r="B94" s="6">
        <f t="shared" si="11"/>
        <v>4</v>
      </c>
      <c r="C94" s="7">
        <v>44656</v>
      </c>
      <c r="D94" s="6">
        <f t="shared" si="12"/>
        <v>2</v>
      </c>
      <c r="E94" s="6">
        <f t="shared" si="13"/>
        <v>15</v>
      </c>
      <c r="F94" s="6">
        <f t="shared" si="14"/>
        <v>1</v>
      </c>
      <c r="G94" s="6" t="str">
        <f t="shared" si="15"/>
        <v>04</v>
      </c>
      <c r="H94" s="6" t="str">
        <f t="shared" si="16"/>
        <v>04월 1주차</v>
      </c>
      <c r="I94" s="6" t="str">
        <f>H94&amp;" ("&amp;TEXT(C93,"m/dd")&amp;"~"&amp;TEXT(C99,"m/dd")&amp;")"</f>
        <v>04월 1주차 (4/04~4/10)</v>
      </c>
      <c r="J94" s="6" t="str">
        <f>A93&amp;"년 "&amp;WEEKNUM(C93,2)&amp;"주차"&amp;" ("&amp;TEXT(C93,"m/dd")&amp;"~"&amp;TEXT(C99,"m/dd")&amp;")"</f>
        <v>2022년 15주차 (4/04~4/10)</v>
      </c>
      <c r="K94" s="6">
        <f>YEAR(C93)</f>
        <v>2022</v>
      </c>
      <c r="L94" s="6">
        <f>WEEKNUM(C93,2)</f>
        <v>15</v>
      </c>
      <c r="O94" s="1" t="str">
        <f t="shared" si="18"/>
        <v>7CD</v>
      </c>
      <c r="P94" s="1" t="s">
        <v>463</v>
      </c>
      <c r="Q94" s="1" t="s">
        <v>399</v>
      </c>
      <c r="R94" s="1" t="s">
        <v>78</v>
      </c>
      <c r="S94" s="1">
        <v>22</v>
      </c>
      <c r="Z94" s="2"/>
      <c r="AA94" s="8" t="s">
        <v>465</v>
      </c>
      <c r="AB94" s="1" t="s">
        <v>501</v>
      </c>
      <c r="AH94" s="9" t="s">
        <v>81</v>
      </c>
      <c r="AS94" s="15" t="s">
        <v>549</v>
      </c>
      <c r="AT94" s="16" t="s">
        <v>550</v>
      </c>
      <c r="AX94" s="14" t="s">
        <v>551</v>
      </c>
      <c r="AY94" s="9" t="s">
        <v>120</v>
      </c>
      <c r="BA94" s="1" t="str">
        <f t="shared" si="17"/>
        <v>UK</v>
      </c>
      <c r="BB94" s="1" t="str">
        <f t="shared" si="17"/>
        <v>구주계</v>
      </c>
    </row>
    <row r="95" spans="1:54" ht="31.5" thickBot="1" x14ac:dyDescent="0.4">
      <c r="A95" s="6">
        <f t="shared" si="10"/>
        <v>2022</v>
      </c>
      <c r="B95" s="6">
        <f t="shared" si="11"/>
        <v>4</v>
      </c>
      <c r="C95" s="7">
        <v>44657</v>
      </c>
      <c r="D95" s="6">
        <f t="shared" si="12"/>
        <v>3</v>
      </c>
      <c r="E95" s="6">
        <f t="shared" si="13"/>
        <v>15</v>
      </c>
      <c r="F95" s="6">
        <f t="shared" si="14"/>
        <v>1</v>
      </c>
      <c r="G95" s="6" t="str">
        <f t="shared" si="15"/>
        <v>04</v>
      </c>
      <c r="H95" s="6" t="str">
        <f t="shared" si="16"/>
        <v>04월 1주차</v>
      </c>
      <c r="I95" s="6" t="str">
        <f>H95&amp;" ("&amp;TEXT(C93,"m/dd")&amp;"~"&amp;TEXT(C99,"m/dd")&amp;")"</f>
        <v>04월 1주차 (4/04~4/10)</v>
      </c>
      <c r="J95" s="6" t="str">
        <f>A93&amp;"년 "&amp;WEEKNUM(C93,2)&amp;"주차"&amp;" ("&amp;TEXT(C93,"m/dd")&amp;"~"&amp;TEXT(C99,"m/dd")&amp;")"</f>
        <v>2022년 15주차 (4/04~4/10)</v>
      </c>
      <c r="K95" s="6">
        <f>YEAR(C93)</f>
        <v>2022</v>
      </c>
      <c r="L95" s="6">
        <f>WEEKNUM(C93,2)</f>
        <v>15</v>
      </c>
      <c r="O95" s="1" t="str">
        <f t="shared" si="18"/>
        <v>7CI</v>
      </c>
      <c r="P95" s="1" t="s">
        <v>463</v>
      </c>
      <c r="Q95" s="1" t="s">
        <v>399</v>
      </c>
      <c r="R95" s="1" t="s">
        <v>86</v>
      </c>
      <c r="S95" s="1">
        <v>23</v>
      </c>
      <c r="Z95" s="2"/>
      <c r="AA95" s="8" t="s">
        <v>194</v>
      </c>
      <c r="AB95" s="1" t="s">
        <v>501</v>
      </c>
      <c r="AH95" s="9" t="s">
        <v>89</v>
      </c>
      <c r="AS95" s="15" t="s">
        <v>552</v>
      </c>
      <c r="AT95" s="16" t="s">
        <v>553</v>
      </c>
      <c r="AX95" s="14" t="s">
        <v>554</v>
      </c>
      <c r="AY95" s="9" t="s">
        <v>43</v>
      </c>
      <c r="BA95" s="1" t="str">
        <f t="shared" si="17"/>
        <v>8L</v>
      </c>
      <c r="BB95" s="1" t="str">
        <f t="shared" si="17"/>
        <v>중국계</v>
      </c>
    </row>
    <row r="96" spans="1:54" ht="17.5" thickBot="1" x14ac:dyDescent="0.4">
      <c r="A96" s="6">
        <f t="shared" si="10"/>
        <v>2022</v>
      </c>
      <c r="B96" s="6">
        <f t="shared" si="11"/>
        <v>4</v>
      </c>
      <c r="C96" s="7">
        <v>44658</v>
      </c>
      <c r="D96" s="6">
        <f t="shared" si="12"/>
        <v>4</v>
      </c>
      <c r="E96" s="6">
        <f t="shared" si="13"/>
        <v>15</v>
      </c>
      <c r="F96" s="6">
        <f t="shared" si="14"/>
        <v>1</v>
      </c>
      <c r="G96" s="6" t="str">
        <f t="shared" si="15"/>
        <v>04</v>
      </c>
      <c r="H96" s="6" t="str">
        <f t="shared" si="16"/>
        <v>04월 1주차</v>
      </c>
      <c r="I96" s="6" t="str">
        <f>H96&amp;" ("&amp;TEXT(C93,"m/dd")&amp;"~"&amp;TEXT(C99,"m/dd")&amp;")"</f>
        <v>04월 1주차 (4/04~4/10)</v>
      </c>
      <c r="J96" s="6" t="str">
        <f>A93&amp;"년 "&amp;WEEKNUM(C93,2)&amp;"주차"&amp;" ("&amp;TEXT(C93,"m/dd")&amp;"~"&amp;TEXT(C99,"m/dd")&amp;")"</f>
        <v>2022년 15주차 (4/04~4/10)</v>
      </c>
      <c r="K96" s="6">
        <f>YEAR(C93)</f>
        <v>2022</v>
      </c>
      <c r="L96" s="6">
        <f>WEEKNUM(C93,2)</f>
        <v>15</v>
      </c>
      <c r="O96" s="1" t="str">
        <f t="shared" si="18"/>
        <v>7CY</v>
      </c>
      <c r="P96" s="1" t="s">
        <v>463</v>
      </c>
      <c r="Q96" s="1" t="s">
        <v>121</v>
      </c>
      <c r="R96" s="1" t="s">
        <v>122</v>
      </c>
      <c r="S96" s="1">
        <v>24</v>
      </c>
      <c r="Z96" s="2"/>
      <c r="AA96" s="8" t="s">
        <v>555</v>
      </c>
      <c r="AB96" s="1" t="s">
        <v>501</v>
      </c>
      <c r="AH96" s="9" t="s">
        <v>98</v>
      </c>
      <c r="AS96" s="15" t="s">
        <v>556</v>
      </c>
      <c r="AT96" s="16" t="s">
        <v>557</v>
      </c>
      <c r="AX96" s="14" t="s">
        <v>558</v>
      </c>
      <c r="AY96" s="9" t="s">
        <v>144</v>
      </c>
      <c r="AZ96" s="9" t="s">
        <v>439</v>
      </c>
      <c r="BA96" s="1" t="str">
        <f t="shared" si="17"/>
        <v>FY</v>
      </c>
      <c r="BB96" s="1" t="str">
        <f t="shared" si="17"/>
        <v>동남아계</v>
      </c>
    </row>
    <row r="97" spans="1:54" ht="17.5" thickBot="1" x14ac:dyDescent="0.4">
      <c r="A97" s="6">
        <f t="shared" si="10"/>
        <v>2022</v>
      </c>
      <c r="B97" s="6">
        <f t="shared" si="11"/>
        <v>4</v>
      </c>
      <c r="C97" s="7">
        <v>44659</v>
      </c>
      <c r="D97" s="6">
        <f t="shared" si="12"/>
        <v>5</v>
      </c>
      <c r="E97" s="6">
        <f t="shared" si="13"/>
        <v>15</v>
      </c>
      <c r="F97" s="6">
        <f t="shared" si="14"/>
        <v>1</v>
      </c>
      <c r="G97" s="6" t="str">
        <f t="shared" si="15"/>
        <v>04</v>
      </c>
      <c r="H97" s="6" t="str">
        <f t="shared" si="16"/>
        <v>04월 1주차</v>
      </c>
      <c r="I97" s="6" t="str">
        <f>H97&amp;" ("&amp;TEXT(C93,"m/dd")&amp;"~"&amp;TEXT(C99,"m/dd")&amp;")"</f>
        <v>04월 1주차 (4/04~4/10)</v>
      </c>
      <c r="J97" s="6" t="str">
        <f>A93&amp;"년 "&amp;WEEKNUM(C93,2)&amp;"주차"&amp;" ("&amp;TEXT(C93,"m/dd")&amp;"~"&amp;TEXT(C99,"m/dd")&amp;")"</f>
        <v>2022년 15주차 (4/04~4/10)</v>
      </c>
      <c r="K97" s="6">
        <f>YEAR(C93)</f>
        <v>2022</v>
      </c>
      <c r="L97" s="6">
        <f>WEEKNUM(C93,2)</f>
        <v>15</v>
      </c>
      <c r="O97" s="1" t="str">
        <f t="shared" si="18"/>
        <v>7CB</v>
      </c>
      <c r="P97" s="1" t="s">
        <v>463</v>
      </c>
      <c r="Q97" s="1" t="s">
        <v>121</v>
      </c>
      <c r="R97" s="1" t="s">
        <v>129</v>
      </c>
      <c r="S97" s="1">
        <v>25</v>
      </c>
      <c r="Z97" s="2"/>
      <c r="AA97" s="8" t="s">
        <v>559</v>
      </c>
      <c r="AB97" s="1" t="s">
        <v>501</v>
      </c>
      <c r="AH97" s="9" t="s">
        <v>107</v>
      </c>
      <c r="AS97" s="15" t="s">
        <v>560</v>
      </c>
      <c r="AT97" s="16" t="s">
        <v>543</v>
      </c>
      <c r="AX97" s="14" t="s">
        <v>561</v>
      </c>
      <c r="AY97" s="9" t="s">
        <v>144</v>
      </c>
      <c r="BA97" s="1" t="str">
        <f t="shared" si="17"/>
        <v>SB</v>
      </c>
      <c r="BB97" s="1" t="str">
        <f t="shared" si="17"/>
        <v>동남아계</v>
      </c>
    </row>
    <row r="98" spans="1:54" ht="17.5" thickBot="1" x14ac:dyDescent="0.4">
      <c r="A98" s="6">
        <f t="shared" si="10"/>
        <v>2022</v>
      </c>
      <c r="B98" s="6">
        <f t="shared" si="11"/>
        <v>4</v>
      </c>
      <c r="C98" s="7">
        <v>44660</v>
      </c>
      <c r="D98" s="6">
        <f t="shared" si="12"/>
        <v>6</v>
      </c>
      <c r="E98" s="6">
        <f t="shared" si="13"/>
        <v>15</v>
      </c>
      <c r="F98" s="6">
        <f t="shared" si="14"/>
        <v>1</v>
      </c>
      <c r="G98" s="6" t="str">
        <f t="shared" si="15"/>
        <v>04</v>
      </c>
      <c r="H98" s="6" t="str">
        <f t="shared" si="16"/>
        <v>04월 1주차</v>
      </c>
      <c r="I98" s="6" t="str">
        <f>H98&amp;" ("&amp;TEXT(C93,"m/dd")&amp;"~"&amp;TEXT(C99,"m/dd")&amp;")"</f>
        <v>04월 1주차 (4/04~4/10)</v>
      </c>
      <c r="J98" s="6" t="str">
        <f>A93&amp;"년 "&amp;WEEKNUM(C93,2)&amp;"주차"&amp;" ("&amp;TEXT(C93,"m/dd")&amp;"~"&amp;TEXT(C99,"m/dd")&amp;")"</f>
        <v>2022년 15주차 (4/04~4/10)</v>
      </c>
      <c r="K98" s="6">
        <f>YEAR(C93)</f>
        <v>2022</v>
      </c>
      <c r="L98" s="6">
        <f>WEEKNUM(C93,2)</f>
        <v>15</v>
      </c>
      <c r="O98" s="1" t="str">
        <f t="shared" si="18"/>
        <v>7CK</v>
      </c>
      <c r="P98" s="1" t="s">
        <v>463</v>
      </c>
      <c r="Q98" s="1" t="s">
        <v>121</v>
      </c>
      <c r="R98" s="1" t="s">
        <v>171</v>
      </c>
      <c r="S98" s="1">
        <v>26</v>
      </c>
      <c r="Z98" s="2"/>
      <c r="AA98" s="8" t="s">
        <v>562</v>
      </c>
      <c r="AB98" s="1" t="s">
        <v>563</v>
      </c>
      <c r="AH98" s="9" t="s">
        <v>115</v>
      </c>
      <c r="AS98" s="15" t="s">
        <v>564</v>
      </c>
      <c r="AT98" s="16" t="s">
        <v>243</v>
      </c>
      <c r="AX98" s="14" t="s">
        <v>565</v>
      </c>
      <c r="AY98" s="9" t="s">
        <v>43</v>
      </c>
      <c r="BA98" s="1" t="str">
        <f t="shared" si="17"/>
        <v>B7</v>
      </c>
      <c r="BB98" s="1" t="str">
        <f t="shared" si="17"/>
        <v>중국계</v>
      </c>
    </row>
    <row r="99" spans="1:54" ht="17.5" thickBot="1" x14ac:dyDescent="0.4">
      <c r="A99" s="6">
        <f t="shared" si="10"/>
        <v>2022</v>
      </c>
      <c r="B99" s="6">
        <f t="shared" si="11"/>
        <v>4</v>
      </c>
      <c r="C99" s="7">
        <v>44661</v>
      </c>
      <c r="D99" s="6">
        <f t="shared" si="12"/>
        <v>7</v>
      </c>
      <c r="E99" s="6">
        <f t="shared" si="13"/>
        <v>15</v>
      </c>
      <c r="F99" s="6">
        <f t="shared" si="14"/>
        <v>1</v>
      </c>
      <c r="G99" s="6" t="str">
        <f t="shared" si="15"/>
        <v>04</v>
      </c>
      <c r="H99" s="6" t="str">
        <f t="shared" si="16"/>
        <v>04월 1주차</v>
      </c>
      <c r="I99" s="6" t="str">
        <f>H99&amp;" ("&amp;TEXT(C93,"m/dd")&amp;"~"&amp;TEXT(C99,"m/dd")&amp;")"</f>
        <v>04월 1주차 (4/04~4/10)</v>
      </c>
      <c r="J99" s="6" t="str">
        <f>A93&amp;"년 "&amp;WEEKNUM(C93,2)&amp;"주차"&amp;" ("&amp;TEXT(C93,"m/dd")&amp;"~"&amp;TEXT(C99,"m/dd")&amp;")"</f>
        <v>2022년 15주차 (4/04~4/10)</v>
      </c>
      <c r="K99" s="6">
        <f>YEAR(C93)</f>
        <v>2022</v>
      </c>
      <c r="L99" s="6">
        <f>WEEKNUM(C93,2)</f>
        <v>15</v>
      </c>
      <c r="O99" s="1" t="str">
        <f t="shared" si="18"/>
        <v>7CN</v>
      </c>
      <c r="P99" s="1" t="s">
        <v>463</v>
      </c>
      <c r="Q99" s="1" t="s">
        <v>121</v>
      </c>
      <c r="R99" s="1" t="s">
        <v>198</v>
      </c>
      <c r="S99" s="1">
        <v>27</v>
      </c>
      <c r="Z99" s="2"/>
      <c r="AA99" s="8" t="s">
        <v>566</v>
      </c>
      <c r="AB99" s="1" t="s">
        <v>501</v>
      </c>
      <c r="AH99" s="9" t="s">
        <v>124</v>
      </c>
      <c r="AS99" s="15" t="s">
        <v>506</v>
      </c>
      <c r="AT99" s="16" t="s">
        <v>567</v>
      </c>
      <c r="AX99" s="14" t="s">
        <v>568</v>
      </c>
      <c r="AY99" s="9" t="s">
        <v>144</v>
      </c>
      <c r="BA99" s="1" t="str">
        <f t="shared" si="17"/>
        <v>XJ</v>
      </c>
      <c r="BB99" s="1" t="str">
        <f t="shared" si="17"/>
        <v>동남아계</v>
      </c>
    </row>
    <row r="100" spans="1:54" ht="17.5" thickBot="1" x14ac:dyDescent="0.4">
      <c r="A100" s="6">
        <f t="shared" si="10"/>
        <v>2022</v>
      </c>
      <c r="B100" s="6">
        <f t="shared" si="11"/>
        <v>4</v>
      </c>
      <c r="C100" s="7">
        <v>44662</v>
      </c>
      <c r="D100" s="6">
        <f t="shared" si="12"/>
        <v>1</v>
      </c>
      <c r="E100" s="6">
        <f t="shared" si="13"/>
        <v>16</v>
      </c>
      <c r="F100" s="6">
        <f t="shared" si="14"/>
        <v>2</v>
      </c>
      <c r="G100" s="6" t="str">
        <f t="shared" si="15"/>
        <v>04</v>
      </c>
      <c r="H100" s="6" t="str">
        <f t="shared" si="16"/>
        <v>04월 2주차</v>
      </c>
      <c r="I100" s="6" t="str">
        <f>H100&amp;" ("&amp;TEXT(C100,"m/dd")&amp;"~"&amp;TEXT(C106,"m/dd")&amp;")"</f>
        <v>04월 2주차 (4/11~4/17)</v>
      </c>
      <c r="J100" s="6" t="str">
        <f>A100&amp;"년 "&amp;WEEKNUM(C100,2)&amp;"주차"&amp;" ("&amp;TEXT(C100,"m/dd")&amp;"~"&amp;TEXT(C106,"m/dd")&amp;")"</f>
        <v>2022년 16주차 (4/11~4/17)</v>
      </c>
      <c r="K100" s="6">
        <f>YEAR(C100)</f>
        <v>2022</v>
      </c>
      <c r="L100" s="6">
        <f>WEEKNUM(C100,2)</f>
        <v>16</v>
      </c>
      <c r="O100" s="1" t="str">
        <f t="shared" si="18"/>
        <v>7CQ</v>
      </c>
      <c r="P100" s="1" t="s">
        <v>463</v>
      </c>
      <c r="Q100" s="1" t="s">
        <v>121</v>
      </c>
      <c r="R100" s="1" t="s">
        <v>191</v>
      </c>
      <c r="S100" s="1">
        <v>28</v>
      </c>
      <c r="Z100" s="2"/>
      <c r="AA100" s="8" t="s">
        <v>247</v>
      </c>
      <c r="AB100" s="1" t="s">
        <v>569</v>
      </c>
      <c r="AH100" s="9" t="s">
        <v>132</v>
      </c>
      <c r="AS100" s="15" t="s">
        <v>570</v>
      </c>
      <c r="AT100" s="16" t="s">
        <v>419</v>
      </c>
      <c r="AX100" s="14" t="s">
        <v>571</v>
      </c>
      <c r="AY100" s="9" t="s">
        <v>153</v>
      </c>
      <c r="BA100" s="1" t="str">
        <f t="shared" si="17"/>
        <v>AM</v>
      </c>
      <c r="BB100" s="1" t="str">
        <f>TEXT(AY100,"0")</f>
        <v>미주계</v>
      </c>
    </row>
    <row r="101" spans="1:54" ht="17.5" thickBot="1" x14ac:dyDescent="0.4">
      <c r="A101" s="6">
        <f t="shared" si="10"/>
        <v>2022</v>
      </c>
      <c r="B101" s="6">
        <f t="shared" si="11"/>
        <v>4</v>
      </c>
      <c r="C101" s="7">
        <v>44663</v>
      </c>
      <c r="D101" s="6">
        <f t="shared" si="12"/>
        <v>2</v>
      </c>
      <c r="E101" s="6">
        <f t="shared" si="13"/>
        <v>16</v>
      </c>
      <c r="F101" s="6">
        <f t="shared" si="14"/>
        <v>2</v>
      </c>
      <c r="G101" s="6" t="str">
        <f t="shared" si="15"/>
        <v>04</v>
      </c>
      <c r="H101" s="6" t="str">
        <f t="shared" si="16"/>
        <v>04월 2주차</v>
      </c>
      <c r="I101" s="6" t="str">
        <f>H101&amp;" ("&amp;TEXT(C100,"m/dd")&amp;"~"&amp;TEXT(C106,"m/dd")&amp;")"</f>
        <v>04월 2주차 (4/11~4/17)</v>
      </c>
      <c r="J101" s="6" t="str">
        <f>A100&amp;"년 "&amp;WEEKNUM(C100,2)&amp;"주차"&amp;" ("&amp;TEXT(C100,"m/dd")&amp;"~"&amp;TEXT(C106,"m/dd")&amp;")"</f>
        <v>2022년 16주차 (4/11~4/17)</v>
      </c>
      <c r="K101" s="6">
        <f>YEAR(C100)</f>
        <v>2022</v>
      </c>
      <c r="L101" s="6">
        <f>WEEKNUM(C100,2)</f>
        <v>16</v>
      </c>
      <c r="O101" s="1" t="str">
        <f t="shared" si="18"/>
        <v>7CM</v>
      </c>
      <c r="P101" s="1" t="s">
        <v>463</v>
      </c>
      <c r="Q101" s="1" t="s">
        <v>121</v>
      </c>
      <c r="R101" s="1" t="s">
        <v>137</v>
      </c>
      <c r="S101" s="1">
        <v>29</v>
      </c>
      <c r="Z101" s="2"/>
      <c r="AA101" s="8" t="s">
        <v>572</v>
      </c>
      <c r="AB101" s="1" t="s">
        <v>501</v>
      </c>
      <c r="AH101" s="9" t="s">
        <v>140</v>
      </c>
      <c r="AS101" s="15" t="s">
        <v>573</v>
      </c>
      <c r="AT101" s="16" t="s">
        <v>574</v>
      </c>
      <c r="AX101" s="14" t="s">
        <v>575</v>
      </c>
      <c r="AY101" s="9" t="s">
        <v>275</v>
      </c>
      <c r="BA101" s="1" t="str">
        <f t="shared" si="17"/>
        <v>BX</v>
      </c>
      <c r="BB101" s="1" t="str">
        <f>TEXT(AY101,"0")</f>
        <v>국내계</v>
      </c>
    </row>
    <row r="102" spans="1:54" ht="47" thickBot="1" x14ac:dyDescent="0.4">
      <c r="A102" s="6">
        <f t="shared" si="10"/>
        <v>2022</v>
      </c>
      <c r="B102" s="6">
        <f t="shared" si="11"/>
        <v>4</v>
      </c>
      <c r="C102" s="7">
        <v>44664</v>
      </c>
      <c r="D102" s="6">
        <f t="shared" si="12"/>
        <v>3</v>
      </c>
      <c r="E102" s="6">
        <f t="shared" si="13"/>
        <v>16</v>
      </c>
      <c r="F102" s="6">
        <f t="shared" si="14"/>
        <v>2</v>
      </c>
      <c r="G102" s="6" t="str">
        <f t="shared" si="15"/>
        <v>04</v>
      </c>
      <c r="H102" s="6" t="str">
        <f t="shared" si="16"/>
        <v>04월 2주차</v>
      </c>
      <c r="I102" s="6" t="str">
        <f>H102&amp;" ("&amp;TEXT(C100,"m/dd")&amp;"~"&amp;TEXT(C106,"m/dd")&amp;")"</f>
        <v>04월 2주차 (4/11~4/17)</v>
      </c>
      <c r="J102" s="6" t="str">
        <f>A100&amp;"년 "&amp;WEEKNUM(C100,2)&amp;"주차"&amp;" ("&amp;TEXT(C100,"m/dd")&amp;"~"&amp;TEXT(C106,"m/dd")&amp;")"</f>
        <v>2022년 16주차 (4/11~4/17)</v>
      </c>
      <c r="K102" s="6">
        <f>YEAR(C100)</f>
        <v>2022</v>
      </c>
      <c r="L102" s="6">
        <f>WEEKNUM(C100,2)</f>
        <v>16</v>
      </c>
      <c r="O102" s="1" t="str">
        <f t="shared" si="18"/>
        <v>7CT</v>
      </c>
      <c r="P102" s="1" t="s">
        <v>463</v>
      </c>
      <c r="Q102" s="1" t="s">
        <v>121</v>
      </c>
      <c r="R102" s="1" t="s">
        <v>204</v>
      </c>
      <c r="S102" s="1">
        <v>30</v>
      </c>
      <c r="Z102" s="2"/>
      <c r="AA102" s="8" t="s">
        <v>576</v>
      </c>
      <c r="AB102" s="1" t="s">
        <v>501</v>
      </c>
      <c r="AH102" s="9" t="s">
        <v>148</v>
      </c>
      <c r="AS102" s="15" t="s">
        <v>577</v>
      </c>
      <c r="AT102" s="16" t="s">
        <v>136</v>
      </c>
      <c r="AX102" s="6" t="s">
        <v>229</v>
      </c>
      <c r="AY102" s="9" t="s">
        <v>69</v>
      </c>
      <c r="BA102" s="1" t="str">
        <f t="shared" ref="BA102:BB118" si="19">TEXT(AX102,"0")</f>
        <v>NU</v>
      </c>
      <c r="BB102" s="1" t="str">
        <f t="shared" si="19"/>
        <v>일본계</v>
      </c>
    </row>
    <row r="103" spans="1:54" ht="17.5" thickBot="1" x14ac:dyDescent="0.4">
      <c r="A103" s="6">
        <f t="shared" si="10"/>
        <v>2022</v>
      </c>
      <c r="B103" s="6">
        <f t="shared" si="11"/>
        <v>4</v>
      </c>
      <c r="C103" s="7">
        <v>44665</v>
      </c>
      <c r="D103" s="6">
        <f t="shared" si="12"/>
        <v>4</v>
      </c>
      <c r="E103" s="6">
        <f t="shared" si="13"/>
        <v>16</v>
      </c>
      <c r="F103" s="6">
        <f t="shared" si="14"/>
        <v>2</v>
      </c>
      <c r="G103" s="6" t="str">
        <f t="shared" si="15"/>
        <v>04</v>
      </c>
      <c r="H103" s="6" t="str">
        <f t="shared" si="16"/>
        <v>04월 2주차</v>
      </c>
      <c r="I103" s="6" t="str">
        <f>H103&amp;" ("&amp;TEXT(C100,"m/dd")&amp;"~"&amp;TEXT(C106,"m/dd")&amp;")"</f>
        <v>04월 2주차 (4/11~4/17)</v>
      </c>
      <c r="J103" s="6" t="str">
        <f>A100&amp;"년 "&amp;WEEKNUM(C100,2)&amp;"주차"&amp;" ("&amp;TEXT(C100,"m/dd")&amp;"~"&amp;TEXT(C106,"m/dd")&amp;")"</f>
        <v>2022년 16주차 (4/11~4/17)</v>
      </c>
      <c r="K103" s="6">
        <f>YEAR(C100)</f>
        <v>2022</v>
      </c>
      <c r="L103" s="6">
        <f>WEEKNUM(C100,2)</f>
        <v>16</v>
      </c>
      <c r="O103" s="1" t="str">
        <f t="shared" si="18"/>
        <v>7CW</v>
      </c>
      <c r="P103" s="1" t="s">
        <v>463</v>
      </c>
      <c r="Q103" s="1" t="s">
        <v>121</v>
      </c>
      <c r="R103" s="1" t="s">
        <v>335</v>
      </c>
      <c r="S103" s="1">
        <v>31</v>
      </c>
      <c r="Z103" s="2"/>
      <c r="AA103" s="8" t="s">
        <v>578</v>
      </c>
      <c r="AB103" s="1" t="s">
        <v>563</v>
      </c>
      <c r="AH103" s="9" t="s">
        <v>157</v>
      </c>
      <c r="AS103" s="15" t="s">
        <v>579</v>
      </c>
      <c r="AT103" s="16" t="s">
        <v>580</v>
      </c>
      <c r="AX103" s="6" t="s">
        <v>581</v>
      </c>
      <c r="AY103" s="9" t="s">
        <v>144</v>
      </c>
      <c r="BA103" s="1" t="str">
        <f t="shared" si="19"/>
        <v>QH</v>
      </c>
      <c r="BB103" s="1" t="str">
        <f t="shared" si="19"/>
        <v>동남아계</v>
      </c>
    </row>
    <row r="104" spans="1:54" ht="31.5" thickBot="1" x14ac:dyDescent="0.4">
      <c r="A104" s="6">
        <f t="shared" si="10"/>
        <v>2022</v>
      </c>
      <c r="B104" s="6">
        <f t="shared" si="11"/>
        <v>4</v>
      </c>
      <c r="C104" s="7">
        <v>44666</v>
      </c>
      <c r="D104" s="6">
        <f t="shared" si="12"/>
        <v>5</v>
      </c>
      <c r="E104" s="6">
        <f t="shared" si="13"/>
        <v>16</v>
      </c>
      <c r="F104" s="6">
        <f t="shared" si="14"/>
        <v>2</v>
      </c>
      <c r="G104" s="6" t="str">
        <f t="shared" si="15"/>
        <v>04</v>
      </c>
      <c r="H104" s="6" t="str">
        <f t="shared" si="16"/>
        <v>04월 2주차</v>
      </c>
      <c r="I104" s="6" t="str">
        <f>H104&amp;" ("&amp;TEXT(C100,"m/dd")&amp;"~"&amp;TEXT(C106,"m/dd")&amp;")"</f>
        <v>04월 2주차 (4/11~4/17)</v>
      </c>
      <c r="J104" s="6" t="str">
        <f>A100&amp;"년 "&amp;WEEKNUM(C100,2)&amp;"주차"&amp;" ("&amp;TEXT(C100,"m/dd")&amp;"~"&amp;TEXT(C106,"m/dd")&amp;")"</f>
        <v>2022년 16주차 (4/11~4/17)</v>
      </c>
      <c r="K104" s="6">
        <f>YEAR(C100)</f>
        <v>2022</v>
      </c>
      <c r="L104" s="6">
        <f>WEEKNUM(C100,2)</f>
        <v>16</v>
      </c>
      <c r="O104" s="1" t="str">
        <f t="shared" si="18"/>
        <v>7CO</v>
      </c>
      <c r="P104" s="1" t="s">
        <v>463</v>
      </c>
      <c r="Q104" s="1" t="s">
        <v>121</v>
      </c>
      <c r="R104" s="1" t="s">
        <v>112</v>
      </c>
      <c r="S104" s="1">
        <v>32</v>
      </c>
      <c r="Z104" s="2"/>
      <c r="AA104" s="22" t="s">
        <v>449</v>
      </c>
      <c r="AB104" s="9" t="s">
        <v>36</v>
      </c>
      <c r="AH104" s="9" t="s">
        <v>107</v>
      </c>
      <c r="AS104" s="15" t="s">
        <v>366</v>
      </c>
      <c r="AT104" s="16" t="s">
        <v>582</v>
      </c>
      <c r="AX104" s="6" t="s">
        <v>583</v>
      </c>
      <c r="AY104" s="9" t="s">
        <v>197</v>
      </c>
      <c r="BA104" s="1" t="str">
        <f t="shared" si="19"/>
        <v>TN</v>
      </c>
      <c r="BB104" s="1" t="str">
        <f t="shared" si="19"/>
        <v>대양주계</v>
      </c>
    </row>
    <row r="105" spans="1:54" ht="17.5" thickBot="1" x14ac:dyDescent="0.4">
      <c r="A105" s="6">
        <f t="shared" si="10"/>
        <v>2022</v>
      </c>
      <c r="B105" s="6">
        <f t="shared" si="11"/>
        <v>4</v>
      </c>
      <c r="C105" s="7">
        <v>44667</v>
      </c>
      <c r="D105" s="6">
        <f t="shared" si="12"/>
        <v>6</v>
      </c>
      <c r="E105" s="6">
        <f t="shared" si="13"/>
        <v>16</v>
      </c>
      <c r="F105" s="6">
        <f t="shared" si="14"/>
        <v>2</v>
      </c>
      <c r="G105" s="6" t="str">
        <f t="shared" si="15"/>
        <v>04</v>
      </c>
      <c r="H105" s="6" t="str">
        <f t="shared" si="16"/>
        <v>04월 2주차</v>
      </c>
      <c r="I105" s="6" t="str">
        <f>H105&amp;" ("&amp;TEXT(C100,"m/dd")&amp;"~"&amp;TEXT(C106,"m/dd")&amp;")"</f>
        <v>04월 2주차 (4/11~4/17)</v>
      </c>
      <c r="J105" s="6" t="str">
        <f>A100&amp;"년 "&amp;WEEKNUM(C100,2)&amp;"주차"&amp;" ("&amp;TEXT(C100,"m/dd")&amp;"~"&amp;TEXT(C106,"m/dd")&amp;")"</f>
        <v>2022년 16주차 (4/11~4/17)</v>
      </c>
      <c r="K105" s="6">
        <f>YEAR(C100)</f>
        <v>2022</v>
      </c>
      <c r="L105" s="6">
        <f>WEEKNUM(C100,2)</f>
        <v>16</v>
      </c>
      <c r="O105" s="1" t="str">
        <f t="shared" si="18"/>
        <v>7CR</v>
      </c>
      <c r="P105" s="1" t="s">
        <v>463</v>
      </c>
      <c r="Q105" s="1" t="s">
        <v>121</v>
      </c>
      <c r="R105" s="1" t="s">
        <v>95</v>
      </c>
      <c r="S105" s="1">
        <v>33</v>
      </c>
      <c r="Z105" s="2"/>
      <c r="AA105" s="23" t="s">
        <v>584</v>
      </c>
      <c r="AB105" s="9" t="s">
        <v>36</v>
      </c>
      <c r="AH105" s="9" t="s">
        <v>148</v>
      </c>
      <c r="AS105" s="15" t="s">
        <v>585</v>
      </c>
      <c r="AT105" s="16" t="s">
        <v>237</v>
      </c>
      <c r="AX105" s="6" t="s">
        <v>586</v>
      </c>
      <c r="AY105" s="9" t="s">
        <v>144</v>
      </c>
      <c r="BA105" s="1" t="str">
        <f t="shared" si="19"/>
        <v>FD</v>
      </c>
      <c r="BB105" s="1" t="str">
        <f t="shared" si="19"/>
        <v>동남아계</v>
      </c>
    </row>
    <row r="106" spans="1:54" ht="17.5" thickBot="1" x14ac:dyDescent="0.4">
      <c r="A106" s="6">
        <f t="shared" si="10"/>
        <v>2022</v>
      </c>
      <c r="B106" s="6">
        <f t="shared" si="11"/>
        <v>4</v>
      </c>
      <c r="C106" s="7">
        <v>44668</v>
      </c>
      <c r="D106" s="6">
        <f t="shared" si="12"/>
        <v>7</v>
      </c>
      <c r="E106" s="6">
        <f t="shared" si="13"/>
        <v>16</v>
      </c>
      <c r="F106" s="6">
        <f t="shared" si="14"/>
        <v>2</v>
      </c>
      <c r="G106" s="6" t="str">
        <f t="shared" si="15"/>
        <v>04</v>
      </c>
      <c r="H106" s="6" t="str">
        <f t="shared" si="16"/>
        <v>04월 2주차</v>
      </c>
      <c r="I106" s="6" t="str">
        <f>H106&amp;" ("&amp;TEXT(C100,"m/dd")&amp;"~"&amp;TEXT(C106,"m/dd")&amp;")"</f>
        <v>04월 2주차 (4/11~4/17)</v>
      </c>
      <c r="J106" s="6" t="str">
        <f>A100&amp;"년 "&amp;WEEKNUM(C100,2)&amp;"주차"&amp;" ("&amp;TEXT(C100,"m/dd")&amp;"~"&amp;TEXT(C106,"m/dd")&amp;")"</f>
        <v>2022년 16주차 (4/11~4/17)</v>
      </c>
      <c r="K106" s="6">
        <f>YEAR(C100)</f>
        <v>2022</v>
      </c>
      <c r="L106" s="6">
        <f>WEEKNUM(C100,2)</f>
        <v>16</v>
      </c>
      <c r="O106" s="1" t="str">
        <f t="shared" si="18"/>
        <v>7CX</v>
      </c>
      <c r="P106" s="1" t="s">
        <v>463</v>
      </c>
      <c r="Q106" s="1" t="s">
        <v>121</v>
      </c>
      <c r="R106" s="1" t="s">
        <v>216</v>
      </c>
      <c r="S106" s="1">
        <v>34</v>
      </c>
      <c r="Z106" s="2"/>
      <c r="AA106" s="17" t="s">
        <v>587</v>
      </c>
      <c r="AB106" s="9" t="s">
        <v>264</v>
      </c>
      <c r="AH106" s="9" t="s">
        <v>115</v>
      </c>
      <c r="AS106" s="15" t="s">
        <v>588</v>
      </c>
      <c r="AT106" s="16" t="s">
        <v>589</v>
      </c>
      <c r="AX106" s="6" t="s">
        <v>590</v>
      </c>
      <c r="AY106" s="9" t="s">
        <v>320</v>
      </c>
      <c r="BA106" s="1" t="str">
        <f t="shared" si="19"/>
        <v>WY</v>
      </c>
      <c r="BB106" s="1" t="str">
        <f t="shared" si="19"/>
        <v>중동계</v>
      </c>
    </row>
    <row r="107" spans="1:54" ht="31.5" thickBot="1" x14ac:dyDescent="0.4">
      <c r="A107" s="6">
        <f t="shared" si="10"/>
        <v>2022</v>
      </c>
      <c r="B107" s="6">
        <f t="shared" si="11"/>
        <v>4</v>
      </c>
      <c r="C107" s="7">
        <v>44669</v>
      </c>
      <c r="D107" s="6">
        <f t="shared" si="12"/>
        <v>1</v>
      </c>
      <c r="E107" s="6">
        <f t="shared" si="13"/>
        <v>17</v>
      </c>
      <c r="F107" s="6">
        <f t="shared" si="14"/>
        <v>3</v>
      </c>
      <c r="G107" s="6" t="str">
        <f t="shared" si="15"/>
        <v>04</v>
      </c>
      <c r="H107" s="6" t="str">
        <f t="shared" si="16"/>
        <v>04월 3주차</v>
      </c>
      <c r="I107" s="6" t="str">
        <f>H107&amp;" ("&amp;TEXT(C107,"m/dd")&amp;"~"&amp;TEXT(C113,"m/dd")&amp;")"</f>
        <v>04월 3주차 (4/18~4/24)</v>
      </c>
      <c r="J107" s="6" t="str">
        <f>A107&amp;"년 "&amp;WEEKNUM(C107,2)&amp;"주차"&amp;" ("&amp;TEXT(C107,"m/dd")&amp;"~"&amp;TEXT(C113,"m/dd")&amp;")"</f>
        <v>2022년 17주차 (4/18~4/24)</v>
      </c>
      <c r="K107" s="6">
        <f>YEAR(C107)</f>
        <v>2022</v>
      </c>
      <c r="L107" s="6">
        <f>WEEKNUM(C107,2)</f>
        <v>17</v>
      </c>
      <c r="O107" s="1" t="str">
        <f t="shared" si="18"/>
        <v>7CS</v>
      </c>
      <c r="P107" s="1" t="s">
        <v>463</v>
      </c>
      <c r="Q107" s="1" t="s">
        <v>121</v>
      </c>
      <c r="R107" s="1" t="s">
        <v>145</v>
      </c>
      <c r="S107" s="1">
        <v>35</v>
      </c>
      <c r="Z107" s="2"/>
      <c r="AA107" s="17" t="s">
        <v>552</v>
      </c>
      <c r="AB107" s="9" t="s">
        <v>264</v>
      </c>
      <c r="AS107" s="15" t="s">
        <v>591</v>
      </c>
      <c r="AT107" s="16" t="s">
        <v>592</v>
      </c>
      <c r="AX107" s="6" t="s">
        <v>593</v>
      </c>
      <c r="AY107" s="9" t="s">
        <v>144</v>
      </c>
      <c r="BA107" s="1" t="str">
        <f t="shared" si="19"/>
        <v>8M</v>
      </c>
      <c r="BB107" s="1" t="str">
        <f t="shared" si="19"/>
        <v>동남아계</v>
      </c>
    </row>
    <row r="108" spans="1:54" ht="17.5" thickBot="1" x14ac:dyDescent="0.4">
      <c r="A108" s="6">
        <f t="shared" si="10"/>
        <v>2022</v>
      </c>
      <c r="B108" s="6">
        <f t="shared" si="11"/>
        <v>4</v>
      </c>
      <c r="C108" s="7">
        <v>44670</v>
      </c>
      <c r="D108" s="6">
        <f t="shared" si="12"/>
        <v>2</v>
      </c>
      <c r="E108" s="6">
        <f t="shared" si="13"/>
        <v>17</v>
      </c>
      <c r="F108" s="6">
        <f t="shared" si="14"/>
        <v>3</v>
      </c>
      <c r="G108" s="6" t="str">
        <f t="shared" si="15"/>
        <v>04</v>
      </c>
      <c r="H108" s="6" t="str">
        <f t="shared" si="16"/>
        <v>04월 3주차</v>
      </c>
      <c r="I108" s="6" t="str">
        <f>H108&amp;" ("&amp;TEXT(C107,"m/dd")&amp;"~"&amp;TEXT(C113,"m/dd")&amp;")"</f>
        <v>04월 3주차 (4/18~4/24)</v>
      </c>
      <c r="J108" s="6" t="str">
        <f>A107&amp;"년 "&amp;WEEKNUM(C107,2)&amp;"주차"&amp;" ("&amp;TEXT(C107,"m/dd")&amp;"~"&amp;TEXT(C113,"m/dd")&amp;")"</f>
        <v>2022년 17주차 (4/18~4/24)</v>
      </c>
      <c r="K108" s="6">
        <f>YEAR(C107)</f>
        <v>2022</v>
      </c>
      <c r="L108" s="6">
        <f>WEEKNUM(C107,2)</f>
        <v>17</v>
      </c>
      <c r="O108" s="1" t="str">
        <f t="shared" si="18"/>
        <v>7CZ</v>
      </c>
      <c r="P108" s="1" t="s">
        <v>463</v>
      </c>
      <c r="Q108" s="1" t="s">
        <v>121</v>
      </c>
      <c r="R108" s="1" t="s">
        <v>104</v>
      </c>
      <c r="S108" s="1">
        <v>36</v>
      </c>
      <c r="Z108" s="2"/>
      <c r="AA108" s="17" t="s">
        <v>594</v>
      </c>
      <c r="AB108" s="9" t="s">
        <v>406</v>
      </c>
      <c r="AS108" s="15" t="s">
        <v>595</v>
      </c>
      <c r="AT108" s="16" t="s">
        <v>596</v>
      </c>
      <c r="AX108" s="6" t="s">
        <v>597</v>
      </c>
      <c r="AY108" s="9" t="s">
        <v>120</v>
      </c>
      <c r="BA108" s="1" t="str">
        <f t="shared" si="19"/>
        <v>KC</v>
      </c>
      <c r="BB108" s="1" t="str">
        <f t="shared" si="19"/>
        <v>구주계</v>
      </c>
    </row>
    <row r="109" spans="1:54" ht="17.5" thickBot="1" x14ac:dyDescent="0.4">
      <c r="A109" s="6">
        <f t="shared" si="10"/>
        <v>2022</v>
      </c>
      <c r="B109" s="6">
        <f t="shared" si="11"/>
        <v>4</v>
      </c>
      <c r="C109" s="7">
        <v>44671</v>
      </c>
      <c r="D109" s="6">
        <f t="shared" si="12"/>
        <v>3</v>
      </c>
      <c r="E109" s="6">
        <f t="shared" si="13"/>
        <v>17</v>
      </c>
      <c r="F109" s="6">
        <f t="shared" si="14"/>
        <v>3</v>
      </c>
      <c r="G109" s="6" t="str">
        <f t="shared" si="15"/>
        <v>04</v>
      </c>
      <c r="H109" s="6" t="str">
        <f t="shared" si="16"/>
        <v>04월 3주차</v>
      </c>
      <c r="I109" s="6" t="str">
        <f>H109&amp;" ("&amp;TEXT(C107,"m/dd")&amp;"~"&amp;TEXT(C113,"m/dd")&amp;")"</f>
        <v>04월 3주차 (4/18~4/24)</v>
      </c>
      <c r="J109" s="6" t="str">
        <f>A107&amp;"년 "&amp;WEEKNUM(C107,2)&amp;"주차"&amp;" ("&amp;TEXT(C107,"m/dd")&amp;"~"&amp;TEXT(C113,"m/dd")&amp;")"</f>
        <v>2022년 17주차 (4/18~4/24)</v>
      </c>
      <c r="K109" s="6">
        <f>YEAR(C107)</f>
        <v>2022</v>
      </c>
      <c r="L109" s="6">
        <f>WEEKNUM(C107,2)</f>
        <v>17</v>
      </c>
      <c r="O109" s="1" t="str">
        <f t="shared" si="18"/>
        <v>7CL</v>
      </c>
      <c r="P109" s="1" t="s">
        <v>463</v>
      </c>
      <c r="Q109" s="1" t="s">
        <v>121</v>
      </c>
      <c r="R109" s="1" t="s">
        <v>178</v>
      </c>
      <c r="S109" s="1">
        <v>37</v>
      </c>
      <c r="Z109" s="2"/>
      <c r="AA109" s="17" t="s">
        <v>598</v>
      </c>
      <c r="AB109" s="9" t="s">
        <v>406</v>
      </c>
      <c r="AS109" s="15" t="s">
        <v>138</v>
      </c>
      <c r="AT109" s="16" t="s">
        <v>599</v>
      </c>
      <c r="AX109" s="6" t="s">
        <v>600</v>
      </c>
      <c r="AY109" s="9" t="s">
        <v>120</v>
      </c>
      <c r="BA109" s="1" t="str">
        <f t="shared" si="19"/>
        <v>J2</v>
      </c>
      <c r="BB109" s="1" t="str">
        <f t="shared" si="19"/>
        <v>구주계</v>
      </c>
    </row>
    <row r="110" spans="1:54" ht="17.5" thickBot="1" x14ac:dyDescent="0.4">
      <c r="A110" s="6">
        <f t="shared" si="10"/>
        <v>2022</v>
      </c>
      <c r="B110" s="6">
        <f t="shared" si="11"/>
        <v>4</v>
      </c>
      <c r="C110" s="7">
        <v>44672</v>
      </c>
      <c r="D110" s="6">
        <f t="shared" si="12"/>
        <v>4</v>
      </c>
      <c r="E110" s="6">
        <f t="shared" si="13"/>
        <v>17</v>
      </c>
      <c r="F110" s="6">
        <f t="shared" si="14"/>
        <v>3</v>
      </c>
      <c r="G110" s="6" t="str">
        <f t="shared" si="15"/>
        <v>04</v>
      </c>
      <c r="H110" s="6" t="str">
        <f t="shared" si="16"/>
        <v>04월 3주차</v>
      </c>
      <c r="I110" s="6" t="str">
        <f>H110&amp;" ("&amp;TEXT(C107,"m/dd")&amp;"~"&amp;TEXT(C113,"m/dd")&amp;")"</f>
        <v>04월 3주차 (4/18~4/24)</v>
      </c>
      <c r="J110" s="6" t="str">
        <f>A107&amp;"년 "&amp;WEEKNUM(C107,2)&amp;"주차"&amp;" ("&amp;TEXT(C107,"m/dd")&amp;"~"&amp;TEXT(C113,"m/dd")&amp;")"</f>
        <v>2022년 17주차 (4/18~4/24)</v>
      </c>
      <c r="K110" s="6">
        <f>YEAR(C107)</f>
        <v>2022</v>
      </c>
      <c r="L110" s="6">
        <f>WEEKNUM(C107,2)</f>
        <v>17</v>
      </c>
      <c r="O110" s="1" t="str">
        <f t="shared" si="18"/>
        <v>7CH</v>
      </c>
      <c r="P110" s="1" t="s">
        <v>463</v>
      </c>
      <c r="Q110" s="1" t="s">
        <v>121</v>
      </c>
      <c r="R110" s="1" t="s">
        <v>154</v>
      </c>
      <c r="S110" s="1">
        <v>38</v>
      </c>
      <c r="Z110" s="2"/>
      <c r="AA110" s="17" t="s">
        <v>601</v>
      </c>
      <c r="AB110" s="9" t="s">
        <v>406</v>
      </c>
      <c r="AS110" s="15" t="s">
        <v>602</v>
      </c>
      <c r="AT110" s="16" t="s">
        <v>603</v>
      </c>
      <c r="AX110" s="6" t="s">
        <v>604</v>
      </c>
      <c r="AY110" s="9" t="s">
        <v>43</v>
      </c>
      <c r="BA110" s="1" t="str">
        <f t="shared" si="19"/>
        <v>KY</v>
      </c>
      <c r="BB110" s="1" t="str">
        <f t="shared" si="19"/>
        <v>중국계</v>
      </c>
    </row>
    <row r="111" spans="1:54" ht="17.5" thickBot="1" x14ac:dyDescent="0.4">
      <c r="A111" s="6">
        <f t="shared" si="10"/>
        <v>2022</v>
      </c>
      <c r="B111" s="6">
        <f t="shared" si="11"/>
        <v>4</v>
      </c>
      <c r="C111" s="7">
        <v>44673</v>
      </c>
      <c r="D111" s="6">
        <f t="shared" si="12"/>
        <v>5</v>
      </c>
      <c r="E111" s="6">
        <f t="shared" si="13"/>
        <v>17</v>
      </c>
      <c r="F111" s="6">
        <f t="shared" si="14"/>
        <v>3</v>
      </c>
      <c r="G111" s="6" t="str">
        <f t="shared" si="15"/>
        <v>04</v>
      </c>
      <c r="H111" s="6" t="str">
        <f t="shared" si="16"/>
        <v>04월 3주차</v>
      </c>
      <c r="I111" s="6" t="str">
        <f>H111&amp;" ("&amp;TEXT(C107,"m/dd")&amp;"~"&amp;TEXT(C113,"m/dd")&amp;")"</f>
        <v>04월 3주차 (4/18~4/24)</v>
      </c>
      <c r="J111" s="6" t="str">
        <f>A107&amp;"년 "&amp;WEEKNUM(C107,2)&amp;"주차"&amp;" ("&amp;TEXT(C107,"m/dd")&amp;"~"&amp;TEXT(C113,"m/dd")&amp;")"</f>
        <v>2022년 17주차 (4/18~4/24)</v>
      </c>
      <c r="K111" s="6">
        <f>YEAR(C107)</f>
        <v>2022</v>
      </c>
      <c r="L111" s="6">
        <f>WEEKNUM(C107,2)</f>
        <v>17</v>
      </c>
      <c r="O111" s="1" t="str">
        <f t="shared" si="18"/>
        <v>7CE</v>
      </c>
      <c r="P111" s="1" t="s">
        <v>463</v>
      </c>
      <c r="Q111" s="1" t="s">
        <v>121</v>
      </c>
      <c r="R111" s="1" t="s">
        <v>163</v>
      </c>
      <c r="S111" s="1">
        <v>39</v>
      </c>
      <c r="Z111" s="2"/>
      <c r="AA111" s="8" t="s">
        <v>508</v>
      </c>
      <c r="AB111" s="1" t="s">
        <v>501</v>
      </c>
      <c r="AS111" s="15" t="s">
        <v>283</v>
      </c>
      <c r="AT111" s="16" t="s">
        <v>93</v>
      </c>
      <c r="AX111" s="6" t="s">
        <v>603</v>
      </c>
      <c r="AY111" s="9" t="s">
        <v>275</v>
      </c>
      <c r="BA111" s="1" t="str">
        <f t="shared" si="19"/>
        <v>RS</v>
      </c>
      <c r="BB111" s="1" t="str">
        <f t="shared" si="19"/>
        <v>국내계</v>
      </c>
    </row>
    <row r="112" spans="1:54" ht="17.5" thickBot="1" x14ac:dyDescent="0.4">
      <c r="A112" s="6">
        <f t="shared" si="10"/>
        <v>2022</v>
      </c>
      <c r="B112" s="6">
        <f t="shared" si="11"/>
        <v>4</v>
      </c>
      <c r="C112" s="7">
        <v>44674</v>
      </c>
      <c r="D112" s="6">
        <f t="shared" si="12"/>
        <v>6</v>
      </c>
      <c r="E112" s="6">
        <f t="shared" si="13"/>
        <v>17</v>
      </c>
      <c r="F112" s="6">
        <f t="shared" si="14"/>
        <v>3</v>
      </c>
      <c r="G112" s="6" t="str">
        <f t="shared" si="15"/>
        <v>04</v>
      </c>
      <c r="H112" s="6" t="str">
        <f t="shared" si="16"/>
        <v>04월 3주차</v>
      </c>
      <c r="I112" s="6" t="str">
        <f>H112&amp;" ("&amp;TEXT(C107,"m/dd")&amp;"~"&amp;TEXT(C113,"m/dd")&amp;")"</f>
        <v>04월 3주차 (4/18~4/24)</v>
      </c>
      <c r="J112" s="6" t="str">
        <f>A107&amp;"년 "&amp;WEEKNUM(C107,2)&amp;"주차"&amp;" ("&amp;TEXT(C107,"m/dd")&amp;"~"&amp;TEXT(C113,"m/dd")&amp;")"</f>
        <v>2022년 17주차 (4/18~4/24)</v>
      </c>
      <c r="K112" s="6">
        <f>YEAR(C107)</f>
        <v>2022</v>
      </c>
      <c r="L112" s="6">
        <f>WEEKNUM(C107,2)</f>
        <v>17</v>
      </c>
      <c r="O112" s="1" t="str">
        <f t="shared" si="18"/>
        <v>7CF</v>
      </c>
      <c r="P112" s="1" t="s">
        <v>463</v>
      </c>
      <c r="Q112" s="1" t="s">
        <v>121</v>
      </c>
      <c r="R112" s="1" t="s">
        <v>44</v>
      </c>
      <c r="S112" s="1">
        <v>40</v>
      </c>
      <c r="Z112" s="2"/>
      <c r="AA112" t="s">
        <v>605</v>
      </c>
      <c r="AB112" s="9" t="s">
        <v>406</v>
      </c>
      <c r="AS112" s="15" t="s">
        <v>606</v>
      </c>
      <c r="AT112" s="16" t="s">
        <v>607</v>
      </c>
      <c r="AX112" s="6" t="s">
        <v>608</v>
      </c>
      <c r="AY112" s="9" t="s">
        <v>43</v>
      </c>
      <c r="BA112" s="1" t="str">
        <f t="shared" si="19"/>
        <v>PN</v>
      </c>
      <c r="BB112" s="1" t="str">
        <f t="shared" si="19"/>
        <v>중국계</v>
      </c>
    </row>
    <row r="113" spans="1:54" ht="31.5" thickBot="1" x14ac:dyDescent="0.4">
      <c r="A113" s="6">
        <f t="shared" si="10"/>
        <v>2022</v>
      </c>
      <c r="B113" s="6">
        <f t="shared" si="11"/>
        <v>4</v>
      </c>
      <c r="C113" s="7">
        <v>44675</v>
      </c>
      <c r="D113" s="6">
        <f t="shared" si="12"/>
        <v>7</v>
      </c>
      <c r="E113" s="6">
        <f t="shared" si="13"/>
        <v>17</v>
      </c>
      <c r="F113" s="6">
        <f t="shared" si="14"/>
        <v>3</v>
      </c>
      <c r="G113" s="6" t="str">
        <f t="shared" si="15"/>
        <v>04</v>
      </c>
      <c r="H113" s="6" t="str">
        <f t="shared" si="16"/>
        <v>04월 3주차</v>
      </c>
      <c r="I113" s="6" t="str">
        <f>H113&amp;" ("&amp;TEXT(C107,"m/dd")&amp;"~"&amp;TEXT(C113,"m/dd")&amp;")"</f>
        <v>04월 3주차 (4/18~4/24)</v>
      </c>
      <c r="J113" s="6" t="str">
        <f>A107&amp;"년 "&amp;WEEKNUM(C107,2)&amp;"주차"&amp;" ("&amp;TEXT(C107,"m/dd")&amp;"~"&amp;TEXT(C113,"m/dd")&amp;")"</f>
        <v>2022년 17주차 (4/18~4/24)</v>
      </c>
      <c r="K113" s="6">
        <f>YEAR(C107)</f>
        <v>2022</v>
      </c>
      <c r="L113" s="6">
        <f>WEEKNUM(C107,2)</f>
        <v>17</v>
      </c>
      <c r="O113" s="1" t="str">
        <f t="shared" si="18"/>
        <v>7CV</v>
      </c>
      <c r="P113" s="1" t="s">
        <v>463</v>
      </c>
      <c r="Q113" s="1" t="s">
        <v>121</v>
      </c>
      <c r="R113" s="1" t="s">
        <v>328</v>
      </c>
      <c r="S113" s="1">
        <v>41</v>
      </c>
      <c r="Z113" s="2"/>
      <c r="AA113" t="s">
        <v>609</v>
      </c>
      <c r="AB113" s="9" t="s">
        <v>406</v>
      </c>
      <c r="AS113" s="15" t="s">
        <v>610</v>
      </c>
      <c r="AT113" s="16" t="s">
        <v>611</v>
      </c>
      <c r="AX113" s="6" t="s">
        <v>612</v>
      </c>
      <c r="AY113" s="9" t="s">
        <v>197</v>
      </c>
      <c r="BA113" s="1" t="str">
        <f t="shared" si="19"/>
        <v>PX</v>
      </c>
      <c r="BB113" s="1" t="str">
        <f t="shared" si="19"/>
        <v>대양주계</v>
      </c>
    </row>
    <row r="114" spans="1:54" ht="17.5" thickBot="1" x14ac:dyDescent="0.4">
      <c r="A114" s="6">
        <f t="shared" si="10"/>
        <v>2022</v>
      </c>
      <c r="B114" s="6">
        <f t="shared" si="11"/>
        <v>4</v>
      </c>
      <c r="C114" s="7">
        <v>44676</v>
      </c>
      <c r="D114" s="6">
        <f t="shared" si="12"/>
        <v>1</v>
      </c>
      <c r="E114" s="6">
        <f t="shared" si="13"/>
        <v>18</v>
      </c>
      <c r="F114" s="6">
        <f t="shared" si="14"/>
        <v>4</v>
      </c>
      <c r="G114" s="6" t="str">
        <f t="shared" si="15"/>
        <v>04</v>
      </c>
      <c r="H114" s="6" t="str">
        <f t="shared" si="16"/>
        <v>04월 4주차</v>
      </c>
      <c r="I114" s="6" t="str">
        <f>H114&amp;" ("&amp;TEXT(C114,"m/dd")&amp;"~"&amp;TEXT(C120,"m/dd")&amp;")"</f>
        <v>04월 4주차 (4/25~5/01)</v>
      </c>
      <c r="J114" s="6" t="str">
        <f>A114&amp;"년 "&amp;WEEKNUM(C114,2)&amp;"주차"&amp;" ("&amp;TEXT(C114,"m/dd")&amp;"~"&amp;TEXT(C120,"m/dd")&amp;")"</f>
        <v>2022년 18주차 (4/25~5/01)</v>
      </c>
      <c r="K114" s="6">
        <f>YEAR(C114)</f>
        <v>2022</v>
      </c>
      <c r="L114" s="6">
        <f>WEEKNUM(C114,2)</f>
        <v>18</v>
      </c>
      <c r="O114" s="1" t="str">
        <f t="shared" si="18"/>
        <v>7CG</v>
      </c>
      <c r="P114" s="1" t="s">
        <v>463</v>
      </c>
      <c r="Q114" s="1" t="s">
        <v>121</v>
      </c>
      <c r="R114" s="1" t="s">
        <v>211</v>
      </c>
      <c r="S114" s="1">
        <v>42</v>
      </c>
      <c r="Z114" s="2"/>
      <c r="AA114"/>
      <c r="AB114" s="9" t="s">
        <v>406</v>
      </c>
      <c r="AS114" s="15" t="s">
        <v>613</v>
      </c>
      <c r="AT114" s="16" t="s">
        <v>489</v>
      </c>
      <c r="AX114" s="6" t="s">
        <v>614</v>
      </c>
      <c r="AY114" s="9" t="s">
        <v>320</v>
      </c>
      <c r="BA114" s="1" t="str">
        <f t="shared" si="19"/>
        <v>SV</v>
      </c>
      <c r="BB114" s="1" t="str">
        <f t="shared" si="19"/>
        <v>중동계</v>
      </c>
    </row>
    <row r="115" spans="1:54" ht="17.5" thickBot="1" x14ac:dyDescent="0.4">
      <c r="A115" s="6">
        <f t="shared" si="10"/>
        <v>2022</v>
      </c>
      <c r="B115" s="6">
        <f t="shared" si="11"/>
        <v>4</v>
      </c>
      <c r="C115" s="7">
        <v>44677</v>
      </c>
      <c r="D115" s="6">
        <f t="shared" si="12"/>
        <v>2</v>
      </c>
      <c r="E115" s="6">
        <f t="shared" si="13"/>
        <v>18</v>
      </c>
      <c r="F115" s="6">
        <f t="shared" si="14"/>
        <v>4</v>
      </c>
      <c r="G115" s="6" t="str">
        <f t="shared" si="15"/>
        <v>04</v>
      </c>
      <c r="H115" s="6" t="str">
        <f t="shared" si="16"/>
        <v>04월 4주차</v>
      </c>
      <c r="I115" s="6" t="str">
        <f>H115&amp;" ("&amp;TEXT(C114,"m/dd")&amp;"~"&amp;TEXT(C120,"m/dd")&amp;")"</f>
        <v>04월 4주차 (4/25~5/01)</v>
      </c>
      <c r="J115" s="6" t="str">
        <f>A114&amp;"년 "&amp;WEEKNUM(C114,2)&amp;"주차"&amp;" ("&amp;TEXT(C114,"m/dd")&amp;"~"&amp;TEXT(C120,"m/dd")&amp;")"</f>
        <v>2022년 18주차 (4/25~5/01)</v>
      </c>
      <c r="K115" s="6">
        <f>YEAR(C114)</f>
        <v>2022</v>
      </c>
      <c r="L115" s="6">
        <f>WEEKNUM(C114,2)</f>
        <v>18</v>
      </c>
      <c r="O115" s="1" t="str">
        <f t="shared" si="18"/>
        <v>7CP</v>
      </c>
      <c r="P115" s="1" t="s">
        <v>463</v>
      </c>
      <c r="Q115" s="1" t="s">
        <v>121</v>
      </c>
      <c r="R115" s="1" t="s">
        <v>31</v>
      </c>
      <c r="S115" s="1">
        <v>43</v>
      </c>
      <c r="Z115" s="2"/>
      <c r="AA115"/>
      <c r="AB115" s="9"/>
      <c r="AS115" s="15" t="s">
        <v>615</v>
      </c>
      <c r="AT115" s="16" t="s">
        <v>616</v>
      </c>
      <c r="AX115" s="9" t="s">
        <v>617</v>
      </c>
      <c r="AY115" s="9" t="s">
        <v>153</v>
      </c>
      <c r="BA115" s="1" t="str">
        <f t="shared" si="19"/>
        <v>B6</v>
      </c>
      <c r="BB115" s="1" t="str">
        <f t="shared" si="19"/>
        <v>미주계</v>
      </c>
    </row>
    <row r="116" spans="1:54" ht="17.5" thickBot="1" x14ac:dyDescent="0.4">
      <c r="A116" s="6">
        <f t="shared" si="10"/>
        <v>2022</v>
      </c>
      <c r="B116" s="6">
        <f t="shared" si="11"/>
        <v>4</v>
      </c>
      <c r="C116" s="7">
        <v>44678</v>
      </c>
      <c r="D116" s="6">
        <f t="shared" si="12"/>
        <v>3</v>
      </c>
      <c r="E116" s="6">
        <f t="shared" si="13"/>
        <v>18</v>
      </c>
      <c r="F116" s="6">
        <f t="shared" si="14"/>
        <v>4</v>
      </c>
      <c r="G116" s="6" t="str">
        <f t="shared" si="15"/>
        <v>04</v>
      </c>
      <c r="H116" s="6" t="str">
        <f t="shared" si="16"/>
        <v>04월 4주차</v>
      </c>
      <c r="I116" s="6" t="str">
        <f>H116&amp;" ("&amp;TEXT(C114,"m/dd")&amp;"~"&amp;TEXT(C120,"m/dd")&amp;")"</f>
        <v>04월 4주차 (4/25~5/01)</v>
      </c>
      <c r="J116" s="6" t="str">
        <f>A114&amp;"년 "&amp;WEEKNUM(C114,2)&amp;"주차"&amp;" ("&amp;TEXT(C114,"m/dd")&amp;"~"&amp;TEXT(C120,"m/dd")&amp;")"</f>
        <v>2022년 18주차 (4/25~5/01)</v>
      </c>
      <c r="K116" s="6">
        <f>YEAR(C114)</f>
        <v>2022</v>
      </c>
      <c r="L116" s="6">
        <f>WEEKNUM(C114,2)</f>
        <v>18</v>
      </c>
      <c r="O116" s="1" t="str">
        <f t="shared" si="18"/>
        <v>7CJ</v>
      </c>
      <c r="P116" s="1" t="s">
        <v>463</v>
      </c>
      <c r="Q116" s="1" t="s">
        <v>121</v>
      </c>
      <c r="R116" s="1" t="s">
        <v>61</v>
      </c>
      <c r="S116" s="1">
        <v>44</v>
      </c>
      <c r="Z116" s="2"/>
      <c r="AA116"/>
      <c r="AB116" s="9"/>
      <c r="AS116" s="15" t="s">
        <v>390</v>
      </c>
      <c r="AT116" s="16" t="s">
        <v>618</v>
      </c>
      <c r="AX116" s="9" t="s">
        <v>619</v>
      </c>
      <c r="AY116" s="9" t="s">
        <v>320</v>
      </c>
      <c r="BA116" s="1" t="str">
        <f t="shared" si="19"/>
        <v>RJ</v>
      </c>
      <c r="BB116" s="1" t="str">
        <f t="shared" si="19"/>
        <v>중동계</v>
      </c>
    </row>
    <row r="117" spans="1:54" ht="17.5" thickBot="1" x14ac:dyDescent="0.4">
      <c r="A117" s="6">
        <f t="shared" si="10"/>
        <v>2022</v>
      </c>
      <c r="B117" s="6">
        <f t="shared" si="11"/>
        <v>4</v>
      </c>
      <c r="C117" s="7">
        <v>44679</v>
      </c>
      <c r="D117" s="6">
        <f t="shared" si="12"/>
        <v>4</v>
      </c>
      <c r="E117" s="6">
        <f t="shared" si="13"/>
        <v>18</v>
      </c>
      <c r="F117" s="6">
        <f t="shared" si="14"/>
        <v>4</v>
      </c>
      <c r="G117" s="6" t="str">
        <f t="shared" si="15"/>
        <v>04</v>
      </c>
      <c r="H117" s="6" t="str">
        <f t="shared" si="16"/>
        <v>04월 4주차</v>
      </c>
      <c r="I117" s="6" t="str">
        <f>H117&amp;" ("&amp;TEXT(C114,"m/dd")&amp;"~"&amp;TEXT(C120,"m/dd")&amp;")"</f>
        <v>04월 4주차 (4/25~5/01)</v>
      </c>
      <c r="J117" s="6" t="str">
        <f>A114&amp;"년 "&amp;WEEKNUM(C114,2)&amp;"주차"&amp;" ("&amp;TEXT(C114,"m/dd")&amp;"~"&amp;TEXT(C120,"m/dd")&amp;")"</f>
        <v>2022년 18주차 (4/25~5/01)</v>
      </c>
      <c r="K117" s="6">
        <f>YEAR(C114)</f>
        <v>2022</v>
      </c>
      <c r="L117" s="6">
        <f>WEEKNUM(C114,2)</f>
        <v>18</v>
      </c>
      <c r="O117" s="1" t="str">
        <f t="shared" si="18"/>
        <v>7CA</v>
      </c>
      <c r="P117" s="1" t="s">
        <v>463</v>
      </c>
      <c r="Q117" s="1" t="s">
        <v>121</v>
      </c>
      <c r="R117" s="1" t="s">
        <v>52</v>
      </c>
      <c r="S117" s="1">
        <v>45</v>
      </c>
      <c r="Z117" s="2"/>
      <c r="AA117"/>
      <c r="AB117" s="9"/>
      <c r="AS117" s="15" t="s">
        <v>620</v>
      </c>
      <c r="AT117" s="16" t="s">
        <v>561</v>
      </c>
      <c r="AX117" s="9" t="s">
        <v>621</v>
      </c>
      <c r="AY117" s="9" t="s">
        <v>120</v>
      </c>
      <c r="BA117" s="1" t="str">
        <f t="shared" si="19"/>
        <v>HR</v>
      </c>
      <c r="BB117" s="1" t="str">
        <f>TEXT(AY117,"0")</f>
        <v>구주계</v>
      </c>
    </row>
    <row r="118" spans="1:54" ht="17.5" thickBot="1" x14ac:dyDescent="0.4">
      <c r="A118" s="6">
        <f t="shared" si="10"/>
        <v>2022</v>
      </c>
      <c r="B118" s="6">
        <f t="shared" si="11"/>
        <v>4</v>
      </c>
      <c r="C118" s="7">
        <v>44680</v>
      </c>
      <c r="D118" s="6">
        <f t="shared" si="12"/>
        <v>5</v>
      </c>
      <c r="E118" s="6">
        <f t="shared" si="13"/>
        <v>18</v>
      </c>
      <c r="F118" s="6">
        <f t="shared" si="14"/>
        <v>4</v>
      </c>
      <c r="G118" s="6" t="str">
        <f t="shared" si="15"/>
        <v>04</v>
      </c>
      <c r="H118" s="6" t="str">
        <f t="shared" si="16"/>
        <v>04월 4주차</v>
      </c>
      <c r="I118" s="6" t="str">
        <f>H118&amp;" ("&amp;TEXT(C114,"m/dd")&amp;"~"&amp;TEXT(C120,"m/dd")&amp;")"</f>
        <v>04월 4주차 (4/25~5/01)</v>
      </c>
      <c r="J118" s="6" t="str">
        <f>A114&amp;"년 "&amp;WEEKNUM(C114,2)&amp;"주차"&amp;" ("&amp;TEXT(C114,"m/dd")&amp;"~"&amp;TEXT(C120,"m/dd")&amp;")"</f>
        <v>2022년 18주차 (4/25~5/01)</v>
      </c>
      <c r="K118" s="6">
        <f>YEAR(C114)</f>
        <v>2022</v>
      </c>
      <c r="L118" s="6">
        <f>WEEKNUM(C114,2)</f>
        <v>18</v>
      </c>
      <c r="O118" s="1" t="str">
        <f t="shared" si="18"/>
        <v>7CU</v>
      </c>
      <c r="P118" s="1" t="s">
        <v>463</v>
      </c>
      <c r="Q118" s="1" t="s">
        <v>121</v>
      </c>
      <c r="R118" s="1" t="s">
        <v>185</v>
      </c>
      <c r="S118" s="1">
        <v>46</v>
      </c>
      <c r="Z118" s="2"/>
      <c r="AA118"/>
      <c r="AB118" s="9"/>
      <c r="AS118" s="15" t="s">
        <v>378</v>
      </c>
      <c r="AT118" s="16" t="s">
        <v>622</v>
      </c>
      <c r="AX118" s="6" t="s">
        <v>623</v>
      </c>
      <c r="AY118" s="9" t="s">
        <v>144</v>
      </c>
      <c r="BA118" s="9" t="s">
        <v>623</v>
      </c>
      <c r="BB118" s="1" t="str">
        <f t="shared" si="19"/>
        <v>동남아계</v>
      </c>
    </row>
    <row r="119" spans="1:54" ht="17.5" thickBot="1" x14ac:dyDescent="0.4">
      <c r="A119" s="6">
        <f t="shared" si="10"/>
        <v>2022</v>
      </c>
      <c r="B119" s="6">
        <f t="shared" si="11"/>
        <v>4</v>
      </c>
      <c r="C119" s="7">
        <v>44681</v>
      </c>
      <c r="D119" s="6">
        <f t="shared" si="12"/>
        <v>6</v>
      </c>
      <c r="E119" s="6">
        <f t="shared" si="13"/>
        <v>18</v>
      </c>
      <c r="F119" s="6">
        <f t="shared" si="14"/>
        <v>4</v>
      </c>
      <c r="G119" s="6" t="str">
        <f t="shared" si="15"/>
        <v>04</v>
      </c>
      <c r="H119" s="6" t="str">
        <f t="shared" si="16"/>
        <v>04월 4주차</v>
      </c>
      <c r="I119" s="6" t="str">
        <f>H119&amp;" ("&amp;TEXT(C114,"m/dd")&amp;"~"&amp;TEXT(C120,"m/dd")&amp;")"</f>
        <v>04월 4주차 (4/25~5/01)</v>
      </c>
      <c r="J119" s="6" t="str">
        <f>A114&amp;"년 "&amp;WEEKNUM(C114,2)&amp;"주차"&amp;" ("&amp;TEXT(C114,"m/dd")&amp;"~"&amp;TEXT(C120,"m/dd")&amp;")"</f>
        <v>2022년 18주차 (4/25~5/01)</v>
      </c>
      <c r="K119" s="6">
        <f>YEAR(C114)</f>
        <v>2022</v>
      </c>
      <c r="L119" s="6">
        <f>WEEKNUM(C114,2)</f>
        <v>18</v>
      </c>
      <c r="O119" s="1" t="str">
        <f t="shared" si="18"/>
        <v>LJY</v>
      </c>
      <c r="P119" s="1" t="s">
        <v>525</v>
      </c>
      <c r="Q119" s="1" t="s">
        <v>121</v>
      </c>
      <c r="R119" s="1" t="s">
        <v>122</v>
      </c>
      <c r="S119" s="1">
        <v>21</v>
      </c>
      <c r="Z119" s="2"/>
      <c r="AA119"/>
      <c r="AB119" s="9"/>
      <c r="AS119" s="15" t="s">
        <v>624</v>
      </c>
      <c r="AT119" s="16" t="s">
        <v>625</v>
      </c>
      <c r="AX119" s="6" t="s">
        <v>626</v>
      </c>
      <c r="AY119" s="9" t="s">
        <v>144</v>
      </c>
      <c r="BA119" s="9" t="s">
        <v>627</v>
      </c>
      <c r="BB119" s="1" t="str">
        <f>TEXT(AY119,"0")</f>
        <v>동남아계</v>
      </c>
    </row>
    <row r="120" spans="1:54" ht="17.5" thickBot="1" x14ac:dyDescent="0.4">
      <c r="A120" s="6">
        <f t="shared" si="10"/>
        <v>2022</v>
      </c>
      <c r="B120" s="6">
        <f t="shared" si="11"/>
        <v>5</v>
      </c>
      <c r="C120" s="7">
        <v>44682</v>
      </c>
      <c r="D120" s="6">
        <f t="shared" si="12"/>
        <v>7</v>
      </c>
      <c r="E120" s="6">
        <f t="shared" si="13"/>
        <v>18</v>
      </c>
      <c r="F120" s="6">
        <f t="shared" si="14"/>
        <v>4</v>
      </c>
      <c r="G120" s="6" t="str">
        <f t="shared" si="15"/>
        <v>05</v>
      </c>
      <c r="H120" s="6" t="str">
        <f t="shared" si="16"/>
        <v>05월 4주차</v>
      </c>
      <c r="I120" s="6" t="str">
        <f>H120&amp;" ("&amp;TEXT(C114,"m/dd")&amp;"~"&amp;TEXT(C120,"m/dd")&amp;")"</f>
        <v>05월 4주차 (4/25~5/01)</v>
      </c>
      <c r="J120" s="6" t="str">
        <f>A114&amp;"년 "&amp;WEEKNUM(C114,2)&amp;"주차"&amp;" ("&amp;TEXT(C114,"m/dd")&amp;"~"&amp;TEXT(C120,"m/dd")&amp;")"</f>
        <v>2022년 18주차 (4/25~5/01)</v>
      </c>
      <c r="K120" s="6">
        <f>YEAR(C114)</f>
        <v>2022</v>
      </c>
      <c r="L120" s="6">
        <f>WEEKNUM(C114,2)</f>
        <v>18</v>
      </c>
      <c r="O120" s="1" t="str">
        <f t="shared" si="18"/>
        <v>LJW</v>
      </c>
      <c r="P120" s="1" t="s">
        <v>525</v>
      </c>
      <c r="Q120" s="1" t="s">
        <v>121</v>
      </c>
      <c r="R120" s="1" t="s">
        <v>335</v>
      </c>
      <c r="S120" s="1">
        <v>22</v>
      </c>
      <c r="Z120" s="2"/>
      <c r="AA120"/>
      <c r="AB120" s="9"/>
      <c r="AS120" s="15" t="s">
        <v>572</v>
      </c>
      <c r="AT120" s="16" t="s">
        <v>628</v>
      </c>
      <c r="AX120" s="9" t="s">
        <v>629</v>
      </c>
      <c r="AY120" s="9" t="s">
        <v>144</v>
      </c>
      <c r="BA120" s="9" t="s">
        <v>629</v>
      </c>
      <c r="BB120" s="1" t="str">
        <f>TEXT(AY120,"0")</f>
        <v>동남아계</v>
      </c>
    </row>
    <row r="121" spans="1:54" ht="31.5" thickBot="1" x14ac:dyDescent="0.4">
      <c r="A121" s="6">
        <f t="shared" si="10"/>
        <v>2022</v>
      </c>
      <c r="B121" s="6">
        <f t="shared" si="11"/>
        <v>5</v>
      </c>
      <c r="C121" s="7">
        <v>44683</v>
      </c>
      <c r="D121" s="6">
        <f t="shared" si="12"/>
        <v>1</v>
      </c>
      <c r="E121" s="6">
        <f t="shared" si="13"/>
        <v>19</v>
      </c>
      <c r="F121" s="6">
        <f t="shared" si="14"/>
        <v>1</v>
      </c>
      <c r="G121" s="6" t="str">
        <f t="shared" si="15"/>
        <v>05</v>
      </c>
      <c r="H121" s="6" t="str">
        <f t="shared" si="16"/>
        <v>05월 1주차</v>
      </c>
      <c r="I121" s="6" t="str">
        <f>H121&amp;" ("&amp;TEXT(C121,"m/dd")&amp;"~"&amp;TEXT(C127,"m/dd")&amp;")"</f>
        <v>05월 1주차 (5/02~5/08)</v>
      </c>
      <c r="J121" s="6" t="str">
        <f>A121&amp;"년 "&amp;WEEKNUM(C121,2)&amp;"주차"&amp;" ("&amp;TEXT(C121,"m/dd")&amp;"~"&amp;TEXT(C127,"m/dd")&amp;")"</f>
        <v>2022년 19주차 (5/02~5/08)</v>
      </c>
      <c r="K121" s="6">
        <f>YEAR(C121)</f>
        <v>2022</v>
      </c>
      <c r="L121" s="6">
        <f>WEEKNUM(C121,2)</f>
        <v>19</v>
      </c>
      <c r="O121" s="1" t="str">
        <f t="shared" si="18"/>
        <v>LJD</v>
      </c>
      <c r="P121" s="1" t="s">
        <v>525</v>
      </c>
      <c r="Q121" s="1" t="s">
        <v>121</v>
      </c>
      <c r="R121" s="1" t="s">
        <v>78</v>
      </c>
      <c r="S121" s="1">
        <v>23</v>
      </c>
      <c r="Z121" s="2"/>
      <c r="AA121"/>
      <c r="AB121" s="9"/>
      <c r="AS121" s="15" t="s">
        <v>630</v>
      </c>
      <c r="AT121" s="16" t="s">
        <v>631</v>
      </c>
      <c r="BA121" s="9" t="s">
        <v>632</v>
      </c>
      <c r="BB121" s="9" t="s">
        <v>120</v>
      </c>
    </row>
    <row r="122" spans="1:54" ht="17.5" thickBot="1" x14ac:dyDescent="0.4">
      <c r="A122" s="6">
        <f t="shared" si="10"/>
        <v>2022</v>
      </c>
      <c r="B122" s="6">
        <f t="shared" si="11"/>
        <v>5</v>
      </c>
      <c r="C122" s="7">
        <v>44684</v>
      </c>
      <c r="D122" s="6">
        <f t="shared" si="12"/>
        <v>2</v>
      </c>
      <c r="E122" s="6">
        <f t="shared" si="13"/>
        <v>19</v>
      </c>
      <c r="F122" s="6">
        <f t="shared" si="14"/>
        <v>1</v>
      </c>
      <c r="G122" s="6" t="str">
        <f t="shared" si="15"/>
        <v>05</v>
      </c>
      <c r="H122" s="6" t="str">
        <f t="shared" si="16"/>
        <v>05월 1주차</v>
      </c>
      <c r="I122" s="6" t="str">
        <f>H122&amp;" ("&amp;TEXT(C121,"m/dd")&amp;"~"&amp;TEXT(C127,"m/dd")&amp;")"</f>
        <v>05월 1주차 (5/02~5/08)</v>
      </c>
      <c r="J122" s="6" t="str">
        <f>A121&amp;"년 "&amp;WEEKNUM(C121,2)&amp;"주차"&amp;" ("&amp;TEXT(C121,"m/dd")&amp;"~"&amp;TEXT(C127,"m/dd")&amp;")"</f>
        <v>2022년 19주차 (5/02~5/08)</v>
      </c>
      <c r="K122" s="6">
        <f>YEAR(C121)</f>
        <v>2022</v>
      </c>
      <c r="L122" s="6">
        <f>WEEKNUM(C121,2)</f>
        <v>19</v>
      </c>
      <c r="O122" s="1" t="str">
        <f t="shared" si="18"/>
        <v>LJE</v>
      </c>
      <c r="P122" s="1" t="s">
        <v>525</v>
      </c>
      <c r="Q122" s="1" t="s">
        <v>121</v>
      </c>
      <c r="R122" s="1" t="s">
        <v>163</v>
      </c>
      <c r="S122" s="1">
        <v>24</v>
      </c>
      <c r="Z122" s="24" t="s">
        <v>633</v>
      </c>
      <c r="AA122" t="s">
        <v>634</v>
      </c>
      <c r="AB122" s="1" t="s">
        <v>635</v>
      </c>
      <c r="AS122" s="15" t="s">
        <v>636</v>
      </c>
      <c r="AT122" s="16" t="s">
        <v>637</v>
      </c>
      <c r="BA122" s="9" t="s">
        <v>638</v>
      </c>
      <c r="BB122" s="9" t="s">
        <v>275</v>
      </c>
    </row>
    <row r="123" spans="1:54" ht="17.5" thickBot="1" x14ac:dyDescent="0.4">
      <c r="A123" s="6">
        <f t="shared" si="10"/>
        <v>2022</v>
      </c>
      <c r="B123" s="6">
        <f t="shared" si="11"/>
        <v>5</v>
      </c>
      <c r="C123" s="7">
        <v>44685</v>
      </c>
      <c r="D123" s="6">
        <f t="shared" si="12"/>
        <v>3</v>
      </c>
      <c r="E123" s="6">
        <f t="shared" si="13"/>
        <v>19</v>
      </c>
      <c r="F123" s="6">
        <f t="shared" si="14"/>
        <v>1</v>
      </c>
      <c r="G123" s="6" t="str">
        <f t="shared" si="15"/>
        <v>05</v>
      </c>
      <c r="H123" s="6" t="str">
        <f t="shared" si="16"/>
        <v>05월 1주차</v>
      </c>
      <c r="I123" s="6" t="str">
        <f>H123&amp;" ("&amp;TEXT(C121,"m/dd")&amp;"~"&amp;TEXT(C127,"m/dd")&amp;")"</f>
        <v>05월 1주차 (5/02~5/08)</v>
      </c>
      <c r="J123" s="6" t="str">
        <f>A121&amp;"년 "&amp;WEEKNUM(C121,2)&amp;"주차"&amp;" ("&amp;TEXT(C121,"m/dd")&amp;"~"&amp;TEXT(C127,"m/dd")&amp;")"</f>
        <v>2022년 19주차 (5/02~5/08)</v>
      </c>
      <c r="K123" s="6">
        <f>YEAR(C121)</f>
        <v>2022</v>
      </c>
      <c r="L123" s="6">
        <f>WEEKNUM(C121,2)</f>
        <v>19</v>
      </c>
      <c r="O123" s="1" t="str">
        <f t="shared" si="18"/>
        <v>LJH</v>
      </c>
      <c r="P123" s="1" t="s">
        <v>525</v>
      </c>
      <c r="Q123" s="1" t="s">
        <v>121</v>
      </c>
      <c r="R123" s="1" t="s">
        <v>154</v>
      </c>
      <c r="S123" s="1">
        <v>25</v>
      </c>
      <c r="Z123" s="8"/>
      <c r="AA123" t="s">
        <v>620</v>
      </c>
      <c r="AB123" s="1" t="s">
        <v>635</v>
      </c>
      <c r="AS123" s="15" t="s">
        <v>639</v>
      </c>
      <c r="AT123" s="16" t="s">
        <v>640</v>
      </c>
    </row>
    <row r="124" spans="1:54" ht="17.5" thickBot="1" x14ac:dyDescent="0.4">
      <c r="A124" s="6">
        <f t="shared" si="10"/>
        <v>2022</v>
      </c>
      <c r="B124" s="6">
        <f t="shared" si="11"/>
        <v>5</v>
      </c>
      <c r="C124" s="7">
        <v>44686</v>
      </c>
      <c r="D124" s="6">
        <f t="shared" si="12"/>
        <v>4</v>
      </c>
      <c r="E124" s="6">
        <f t="shared" si="13"/>
        <v>19</v>
      </c>
      <c r="F124" s="6">
        <f t="shared" si="14"/>
        <v>1</v>
      </c>
      <c r="G124" s="6" t="str">
        <f t="shared" si="15"/>
        <v>05</v>
      </c>
      <c r="H124" s="6" t="str">
        <f t="shared" si="16"/>
        <v>05월 1주차</v>
      </c>
      <c r="I124" s="6" t="str">
        <f>H124&amp;" ("&amp;TEXT(C121,"m/dd")&amp;"~"&amp;TEXT(C127,"m/dd")&amp;")"</f>
        <v>05월 1주차 (5/02~5/08)</v>
      </c>
      <c r="J124" s="6" t="str">
        <f>A121&amp;"년 "&amp;WEEKNUM(C121,2)&amp;"주차"&amp;" ("&amp;TEXT(C121,"m/dd")&amp;"~"&amp;TEXT(C127,"m/dd")&amp;")"</f>
        <v>2022년 19주차 (5/02~5/08)</v>
      </c>
      <c r="K124" s="6">
        <f>YEAR(C121)</f>
        <v>2022</v>
      </c>
      <c r="L124" s="6">
        <f>WEEKNUM(C121,2)</f>
        <v>19</v>
      </c>
      <c r="O124" s="1" t="str">
        <f t="shared" si="18"/>
        <v>LJK</v>
      </c>
      <c r="P124" s="1" t="s">
        <v>525</v>
      </c>
      <c r="Q124" s="1" t="s">
        <v>121</v>
      </c>
      <c r="R124" s="1" t="s">
        <v>171</v>
      </c>
      <c r="S124" s="1">
        <v>26</v>
      </c>
      <c r="Z124" s="8"/>
      <c r="AA124" s="18" t="s">
        <v>641</v>
      </c>
      <c r="AB124" s="1" t="s">
        <v>635</v>
      </c>
      <c r="AS124" s="15" t="s">
        <v>642</v>
      </c>
      <c r="AT124" s="16" t="s">
        <v>643</v>
      </c>
    </row>
    <row r="125" spans="1:54" ht="17.5" thickBot="1" x14ac:dyDescent="0.4">
      <c r="A125" s="6">
        <f t="shared" si="10"/>
        <v>2022</v>
      </c>
      <c r="B125" s="6">
        <f t="shared" si="11"/>
        <v>5</v>
      </c>
      <c r="C125" s="7">
        <v>44687</v>
      </c>
      <c r="D125" s="6">
        <f t="shared" si="12"/>
        <v>5</v>
      </c>
      <c r="E125" s="6">
        <f t="shared" si="13"/>
        <v>19</v>
      </c>
      <c r="F125" s="6">
        <f t="shared" si="14"/>
        <v>1</v>
      </c>
      <c r="G125" s="6" t="str">
        <f t="shared" si="15"/>
        <v>05</v>
      </c>
      <c r="H125" s="6" t="str">
        <f t="shared" si="16"/>
        <v>05월 1주차</v>
      </c>
      <c r="I125" s="6" t="str">
        <f>H125&amp;" ("&amp;TEXT(C121,"m/dd")&amp;"~"&amp;TEXT(C127,"m/dd")&amp;")"</f>
        <v>05월 1주차 (5/02~5/08)</v>
      </c>
      <c r="J125" s="6" t="str">
        <f>A121&amp;"년 "&amp;WEEKNUM(C121,2)&amp;"주차"&amp;" ("&amp;TEXT(C121,"m/dd")&amp;"~"&amp;TEXT(C127,"m/dd")&amp;")"</f>
        <v>2022년 19주차 (5/02~5/08)</v>
      </c>
      <c r="K125" s="6">
        <f>YEAR(C121)</f>
        <v>2022</v>
      </c>
      <c r="L125" s="6">
        <f>WEEKNUM(C121,2)</f>
        <v>19</v>
      </c>
      <c r="O125" s="1" t="str">
        <f t="shared" si="18"/>
        <v>LJL</v>
      </c>
      <c r="P125" s="1" t="s">
        <v>525</v>
      </c>
      <c r="Q125" s="1" t="s">
        <v>121</v>
      </c>
      <c r="R125" s="1" t="s">
        <v>178</v>
      </c>
      <c r="S125" s="1">
        <v>27</v>
      </c>
      <c r="Z125" s="8"/>
      <c r="AA125" t="s">
        <v>472</v>
      </c>
      <c r="AB125" s="1" t="s">
        <v>635</v>
      </c>
      <c r="AS125" s="15" t="s">
        <v>644</v>
      </c>
      <c r="AT125" s="16" t="s">
        <v>429</v>
      </c>
    </row>
    <row r="126" spans="1:54" ht="17.5" thickBot="1" x14ac:dyDescent="0.4">
      <c r="A126" s="6">
        <f t="shared" si="10"/>
        <v>2022</v>
      </c>
      <c r="B126" s="6">
        <f t="shared" si="11"/>
        <v>5</v>
      </c>
      <c r="C126" s="7">
        <v>44688</v>
      </c>
      <c r="D126" s="6">
        <f t="shared" si="12"/>
        <v>6</v>
      </c>
      <c r="E126" s="6">
        <f t="shared" si="13"/>
        <v>19</v>
      </c>
      <c r="F126" s="6">
        <f t="shared" si="14"/>
        <v>1</v>
      </c>
      <c r="G126" s="6" t="str">
        <f t="shared" si="15"/>
        <v>05</v>
      </c>
      <c r="H126" s="6" t="str">
        <f t="shared" si="16"/>
        <v>05월 1주차</v>
      </c>
      <c r="I126" s="6" t="str">
        <f>H126&amp;" ("&amp;TEXT(C121,"m/dd")&amp;"~"&amp;TEXT(C127,"m/dd")&amp;")"</f>
        <v>05월 1주차 (5/02~5/08)</v>
      </c>
      <c r="J126" s="6" t="str">
        <f>A121&amp;"년 "&amp;WEEKNUM(C121,2)&amp;"주차"&amp;" ("&amp;TEXT(C121,"m/dd")&amp;"~"&amp;TEXT(C127,"m/dd")&amp;")"</f>
        <v>2022년 19주차 (5/02~5/08)</v>
      </c>
      <c r="K126" s="6">
        <f>YEAR(C121)</f>
        <v>2022</v>
      </c>
      <c r="L126" s="6">
        <f>WEEKNUM(C121,2)</f>
        <v>19</v>
      </c>
      <c r="O126" s="1" t="str">
        <f t="shared" si="18"/>
        <v>LJQ</v>
      </c>
      <c r="P126" s="1" t="s">
        <v>525</v>
      </c>
      <c r="Q126" s="1" t="s">
        <v>121</v>
      </c>
      <c r="R126" s="1" t="s">
        <v>191</v>
      </c>
      <c r="S126" s="1">
        <v>28</v>
      </c>
      <c r="Z126" s="2"/>
      <c r="AA126" s="8" t="s">
        <v>645</v>
      </c>
      <c r="AB126" s="1" t="s">
        <v>635</v>
      </c>
      <c r="AS126" s="15" t="s">
        <v>646</v>
      </c>
      <c r="AT126" s="16" t="s">
        <v>647</v>
      </c>
    </row>
    <row r="127" spans="1:54" ht="17.5" thickBot="1" x14ac:dyDescent="0.4">
      <c r="A127" s="6">
        <f t="shared" si="10"/>
        <v>2022</v>
      </c>
      <c r="B127" s="6">
        <f t="shared" si="11"/>
        <v>5</v>
      </c>
      <c r="C127" s="7">
        <v>44689</v>
      </c>
      <c r="D127" s="6">
        <f t="shared" si="12"/>
        <v>7</v>
      </c>
      <c r="E127" s="6">
        <f t="shared" si="13"/>
        <v>19</v>
      </c>
      <c r="F127" s="6">
        <f t="shared" si="14"/>
        <v>1</v>
      </c>
      <c r="G127" s="6" t="str">
        <f t="shared" si="15"/>
        <v>05</v>
      </c>
      <c r="H127" s="6" t="str">
        <f t="shared" si="16"/>
        <v>05월 1주차</v>
      </c>
      <c r="I127" s="6" t="str">
        <f>H127&amp;" ("&amp;TEXT(C121,"m/dd")&amp;"~"&amp;TEXT(C127,"m/dd")&amp;")"</f>
        <v>05월 1주차 (5/02~5/08)</v>
      </c>
      <c r="J127" s="6" t="str">
        <f>A121&amp;"년 "&amp;WEEKNUM(C121,2)&amp;"주차"&amp;" ("&amp;TEXT(C121,"m/dd")&amp;"~"&amp;TEXT(C127,"m/dd")&amp;")"</f>
        <v>2022년 19주차 (5/02~5/08)</v>
      </c>
      <c r="K127" s="6">
        <f>YEAR(C121)</f>
        <v>2022</v>
      </c>
      <c r="L127" s="6">
        <f>WEEKNUM(C121,2)</f>
        <v>19</v>
      </c>
      <c r="O127" s="1" t="str">
        <f t="shared" si="18"/>
        <v>LJB</v>
      </c>
      <c r="P127" s="1" t="s">
        <v>525</v>
      </c>
      <c r="Q127" s="1" t="s">
        <v>121</v>
      </c>
      <c r="R127" s="1" t="s">
        <v>129</v>
      </c>
      <c r="S127" s="1">
        <v>29</v>
      </c>
      <c r="Z127" s="2"/>
      <c r="AA127" s="8" t="s">
        <v>376</v>
      </c>
      <c r="AB127" s="1" t="s">
        <v>635</v>
      </c>
      <c r="AS127" s="15" t="s">
        <v>648</v>
      </c>
      <c r="AT127" s="16" t="s">
        <v>649</v>
      </c>
    </row>
    <row r="128" spans="1:54" ht="17.5" thickBot="1" x14ac:dyDescent="0.4">
      <c r="A128" s="6">
        <f t="shared" si="10"/>
        <v>2022</v>
      </c>
      <c r="B128" s="6">
        <f t="shared" si="11"/>
        <v>5</v>
      </c>
      <c r="C128" s="7">
        <v>44690</v>
      </c>
      <c r="D128" s="6">
        <f t="shared" si="12"/>
        <v>1</v>
      </c>
      <c r="E128" s="6">
        <f t="shared" si="13"/>
        <v>20</v>
      </c>
      <c r="F128" s="6">
        <f t="shared" si="14"/>
        <v>2</v>
      </c>
      <c r="G128" s="6" t="str">
        <f t="shared" si="15"/>
        <v>05</v>
      </c>
      <c r="H128" s="6" t="str">
        <f t="shared" si="16"/>
        <v>05월 2주차</v>
      </c>
      <c r="I128" s="6" t="str">
        <f>H128&amp;" ("&amp;TEXT(C128,"m/dd")&amp;"~"&amp;TEXT(C134,"m/dd")&amp;")"</f>
        <v>05월 2주차 (5/09~5/15)</v>
      </c>
      <c r="J128" s="6" t="str">
        <f>A128&amp;"년 "&amp;WEEKNUM(C128,2)&amp;"주차"&amp;" ("&amp;TEXT(C128,"m/dd")&amp;"~"&amp;TEXT(C134,"m/dd")&amp;")"</f>
        <v>2022년 20주차 (5/09~5/15)</v>
      </c>
      <c r="K128" s="6">
        <f>YEAR(C128)</f>
        <v>2022</v>
      </c>
      <c r="L128" s="6">
        <f>WEEKNUM(C128,2)</f>
        <v>20</v>
      </c>
      <c r="O128" s="1" t="str">
        <f t="shared" si="18"/>
        <v>LJN</v>
      </c>
      <c r="P128" s="1" t="s">
        <v>525</v>
      </c>
      <c r="Q128" s="1" t="s">
        <v>121</v>
      </c>
      <c r="R128" s="1" t="s">
        <v>198</v>
      </c>
      <c r="S128" s="1">
        <v>30</v>
      </c>
      <c r="Z128" s="2"/>
      <c r="AA128" s="8" t="s">
        <v>220</v>
      </c>
      <c r="AB128" s="1" t="s">
        <v>635</v>
      </c>
      <c r="AS128" s="15" t="s">
        <v>370</v>
      </c>
      <c r="AT128" s="16" t="s">
        <v>467</v>
      </c>
    </row>
    <row r="129" spans="1:46" ht="17.5" thickBot="1" x14ac:dyDescent="0.4">
      <c r="A129" s="6">
        <f t="shared" si="10"/>
        <v>2022</v>
      </c>
      <c r="B129" s="6">
        <f t="shared" si="11"/>
        <v>5</v>
      </c>
      <c r="C129" s="7">
        <v>44691</v>
      </c>
      <c r="D129" s="6">
        <f t="shared" si="12"/>
        <v>2</v>
      </c>
      <c r="E129" s="6">
        <f t="shared" si="13"/>
        <v>20</v>
      </c>
      <c r="F129" s="6">
        <f t="shared" si="14"/>
        <v>2</v>
      </c>
      <c r="G129" s="6" t="str">
        <f t="shared" si="15"/>
        <v>05</v>
      </c>
      <c r="H129" s="6" t="str">
        <f t="shared" si="16"/>
        <v>05월 2주차</v>
      </c>
      <c r="I129" s="6" t="str">
        <f>H129&amp;" ("&amp;TEXT(C128,"m/dd")&amp;"~"&amp;TEXT(C134,"m/dd")&amp;")"</f>
        <v>05월 2주차 (5/09~5/15)</v>
      </c>
      <c r="J129" s="6" t="str">
        <f>A128&amp;"년 "&amp;WEEKNUM(C128,2)&amp;"주차"&amp;" ("&amp;TEXT(C128,"m/dd")&amp;"~"&amp;TEXT(C134,"m/dd")&amp;")"</f>
        <v>2022년 20주차 (5/09~5/15)</v>
      </c>
      <c r="K129" s="6">
        <f>YEAR(C128)</f>
        <v>2022</v>
      </c>
      <c r="L129" s="6">
        <f>WEEKNUM(C128,2)</f>
        <v>20</v>
      </c>
      <c r="O129" s="1" t="str">
        <f t="shared" si="18"/>
        <v>LJM</v>
      </c>
      <c r="P129" s="1" t="s">
        <v>525</v>
      </c>
      <c r="Q129" s="1" t="s">
        <v>121</v>
      </c>
      <c r="R129" s="1" t="s">
        <v>137</v>
      </c>
      <c r="S129" s="1">
        <v>31</v>
      </c>
      <c r="Z129" s="2"/>
      <c r="AA129" s="17" t="s">
        <v>650</v>
      </c>
      <c r="AB129" s="1" t="s">
        <v>635</v>
      </c>
      <c r="AS129" s="15" t="s">
        <v>651</v>
      </c>
      <c r="AT129" s="16" t="s">
        <v>652</v>
      </c>
    </row>
    <row r="130" spans="1:46" ht="17.5" thickBot="1" x14ac:dyDescent="0.4">
      <c r="A130" s="6">
        <f t="shared" ref="A130:A202" si="20">YEAR(C130)</f>
        <v>2022</v>
      </c>
      <c r="B130" s="6">
        <f t="shared" ref="B130:B202" si="21">MONTH(C130)</f>
        <v>5</v>
      </c>
      <c r="C130" s="7">
        <v>44692</v>
      </c>
      <c r="D130" s="6">
        <f t="shared" ref="D130:D202" si="22">WEEKDAY(C130,2)</f>
        <v>3</v>
      </c>
      <c r="E130" s="6">
        <f t="shared" ref="E130:E202" si="23">WEEKNUM(C130,2)</f>
        <v>20</v>
      </c>
      <c r="F130" s="6">
        <f t="shared" ref="F130:F202" si="24">WEEKNUM(DATE(YEAR(C130),1,DAY(C130-WEEKDAY(C130,2)+1)),WEEKDAY(DATE(YEAR(C130),1,1),11)+10)</f>
        <v>2</v>
      </c>
      <c r="G130" s="6" t="str">
        <f t="shared" ref="G130:G202" si="25">IF(LEN(B130)=1,_xlfn.CONCAT(0,B130),B130)</f>
        <v>05</v>
      </c>
      <c r="H130" s="6" t="str">
        <f t="shared" ref="H130:H202" si="26">G130&amp;"월 "&amp;F130&amp;"주차"</f>
        <v>05월 2주차</v>
      </c>
      <c r="I130" s="6" t="str">
        <f>H130&amp;" ("&amp;TEXT(C128,"m/dd")&amp;"~"&amp;TEXT(C134,"m/dd")&amp;")"</f>
        <v>05월 2주차 (5/09~5/15)</v>
      </c>
      <c r="J130" s="6" t="str">
        <f>A128&amp;"년 "&amp;WEEKNUM(C128,2)&amp;"주차"&amp;" ("&amp;TEXT(C128,"m/dd")&amp;"~"&amp;TEXT(C134,"m/dd")&amp;")"</f>
        <v>2022년 20주차 (5/09~5/15)</v>
      </c>
      <c r="K130" s="6">
        <f>YEAR(C128)</f>
        <v>2022</v>
      </c>
      <c r="L130" s="6">
        <f>WEEKNUM(C128,2)</f>
        <v>20</v>
      </c>
      <c r="O130" s="1" t="str">
        <f t="shared" si="18"/>
        <v>LJX</v>
      </c>
      <c r="P130" s="1" t="s">
        <v>525</v>
      </c>
      <c r="Q130" s="1" t="s">
        <v>121</v>
      </c>
      <c r="R130" s="1" t="s">
        <v>216</v>
      </c>
      <c r="S130" s="1">
        <v>32</v>
      </c>
      <c r="Z130" s="2"/>
      <c r="AA130" s="17" t="s">
        <v>653</v>
      </c>
      <c r="AB130" s="1" t="s">
        <v>635</v>
      </c>
      <c r="AS130" s="15" t="s">
        <v>566</v>
      </c>
      <c r="AT130" s="16" t="s">
        <v>654</v>
      </c>
    </row>
    <row r="131" spans="1:46" ht="17.5" thickBot="1" x14ac:dyDescent="0.4">
      <c r="A131" s="6">
        <f t="shared" si="20"/>
        <v>2022</v>
      </c>
      <c r="B131" s="6">
        <f t="shared" si="21"/>
        <v>5</v>
      </c>
      <c r="C131" s="7">
        <v>44693</v>
      </c>
      <c r="D131" s="6">
        <f t="shared" si="22"/>
        <v>4</v>
      </c>
      <c r="E131" s="6">
        <f t="shared" si="23"/>
        <v>20</v>
      </c>
      <c r="F131" s="6">
        <f t="shared" si="24"/>
        <v>2</v>
      </c>
      <c r="G131" s="6" t="str">
        <f t="shared" si="25"/>
        <v>05</v>
      </c>
      <c r="H131" s="6" t="str">
        <f t="shared" si="26"/>
        <v>05월 2주차</v>
      </c>
      <c r="I131" s="6" t="str">
        <f>H131&amp;" ("&amp;TEXT(C128,"m/dd")&amp;"~"&amp;TEXT(C134,"m/dd")&amp;")"</f>
        <v>05월 2주차 (5/09~5/15)</v>
      </c>
      <c r="J131" s="6" t="str">
        <f>A128&amp;"년 "&amp;WEEKNUM(C128,2)&amp;"주차"&amp;" ("&amp;TEXT(C128,"m/dd")&amp;"~"&amp;TEXT(C134,"m/dd")&amp;")"</f>
        <v>2022년 20주차 (5/09~5/15)</v>
      </c>
      <c r="K131" s="6">
        <f>YEAR(C128)</f>
        <v>2022</v>
      </c>
      <c r="L131" s="6">
        <f>WEEKNUM(C128,2)</f>
        <v>20</v>
      </c>
      <c r="O131" s="1" t="str">
        <f t="shared" ref="O131:O203" si="27">P131&amp;R131</f>
        <v>LJP</v>
      </c>
      <c r="P131" s="1" t="s">
        <v>525</v>
      </c>
      <c r="Q131" s="1" t="s">
        <v>121</v>
      </c>
      <c r="R131" s="1" t="s">
        <v>31</v>
      </c>
      <c r="S131" s="1">
        <v>33</v>
      </c>
      <c r="Z131" s="2"/>
      <c r="AA131" s="17" t="s">
        <v>214</v>
      </c>
      <c r="AB131" s="1" t="s">
        <v>635</v>
      </c>
      <c r="AS131" s="15" t="s">
        <v>655</v>
      </c>
      <c r="AT131" s="16" t="s">
        <v>656</v>
      </c>
    </row>
    <row r="132" spans="1:46" ht="17.5" thickBot="1" x14ac:dyDescent="0.4">
      <c r="A132" s="6">
        <f t="shared" si="20"/>
        <v>2022</v>
      </c>
      <c r="B132" s="6">
        <f t="shared" si="21"/>
        <v>5</v>
      </c>
      <c r="C132" s="7">
        <v>44694</v>
      </c>
      <c r="D132" s="6">
        <f t="shared" si="22"/>
        <v>5</v>
      </c>
      <c r="E132" s="6">
        <f t="shared" si="23"/>
        <v>20</v>
      </c>
      <c r="F132" s="6">
        <f t="shared" si="24"/>
        <v>2</v>
      </c>
      <c r="G132" s="6" t="str">
        <f t="shared" si="25"/>
        <v>05</v>
      </c>
      <c r="H132" s="6" t="str">
        <f t="shared" si="26"/>
        <v>05월 2주차</v>
      </c>
      <c r="I132" s="6" t="str">
        <f>H132&amp;" ("&amp;TEXT(C128,"m/dd")&amp;"~"&amp;TEXT(C134,"m/dd")&amp;")"</f>
        <v>05월 2주차 (5/09~5/15)</v>
      </c>
      <c r="J132" s="6" t="str">
        <f>A128&amp;"년 "&amp;WEEKNUM(C128,2)&amp;"주차"&amp;" ("&amp;TEXT(C128,"m/dd")&amp;"~"&amp;TEXT(C134,"m/dd")&amp;")"</f>
        <v>2022년 20주차 (5/09~5/15)</v>
      </c>
      <c r="K132" s="6">
        <f>YEAR(C128)</f>
        <v>2022</v>
      </c>
      <c r="L132" s="6">
        <f>WEEKNUM(C128,2)</f>
        <v>20</v>
      </c>
      <c r="O132" s="1" t="str">
        <f t="shared" si="27"/>
        <v>LJS</v>
      </c>
      <c r="P132" s="1" t="s">
        <v>525</v>
      </c>
      <c r="Q132" s="1" t="s">
        <v>121</v>
      </c>
      <c r="R132" s="1" t="s">
        <v>145</v>
      </c>
      <c r="S132" s="1">
        <v>34</v>
      </c>
      <c r="Z132" s="2"/>
      <c r="AA132" s="17" t="s">
        <v>657</v>
      </c>
      <c r="AB132" s="1" t="s">
        <v>635</v>
      </c>
      <c r="AS132" s="15" t="s">
        <v>658</v>
      </c>
      <c r="AT132" s="16" t="s">
        <v>659</v>
      </c>
    </row>
    <row r="133" spans="1:46" ht="17.5" thickBot="1" x14ac:dyDescent="0.4">
      <c r="A133" s="6">
        <f t="shared" si="20"/>
        <v>2022</v>
      </c>
      <c r="B133" s="6">
        <f t="shared" si="21"/>
        <v>5</v>
      </c>
      <c r="C133" s="7">
        <v>44695</v>
      </c>
      <c r="D133" s="6">
        <f t="shared" si="22"/>
        <v>6</v>
      </c>
      <c r="E133" s="6">
        <f t="shared" si="23"/>
        <v>20</v>
      </c>
      <c r="F133" s="6">
        <f t="shared" si="24"/>
        <v>2</v>
      </c>
      <c r="G133" s="6" t="str">
        <f t="shared" si="25"/>
        <v>05</v>
      </c>
      <c r="H133" s="6" t="str">
        <f t="shared" si="26"/>
        <v>05월 2주차</v>
      </c>
      <c r="I133" s="6" t="str">
        <f>H133&amp;" ("&amp;TEXT(C128,"m/dd")&amp;"~"&amp;TEXT(C134,"m/dd")&amp;")"</f>
        <v>05월 2주차 (5/09~5/15)</v>
      </c>
      <c r="J133" s="6" t="str">
        <f>A128&amp;"년 "&amp;WEEKNUM(C128,2)&amp;"주차"&amp;" ("&amp;TEXT(C128,"m/dd")&amp;"~"&amp;TEXT(C134,"m/dd")&amp;")"</f>
        <v>2022년 20주차 (5/09~5/15)</v>
      </c>
      <c r="K133" s="6">
        <f>YEAR(C128)</f>
        <v>2022</v>
      </c>
      <c r="L133" s="6">
        <f>WEEKNUM(C128,2)</f>
        <v>20</v>
      </c>
      <c r="O133" s="1" t="str">
        <f t="shared" si="27"/>
        <v>LJV</v>
      </c>
      <c r="P133" s="1" t="s">
        <v>525</v>
      </c>
      <c r="Q133" s="1" t="s">
        <v>121</v>
      </c>
      <c r="R133" s="1" t="s">
        <v>328</v>
      </c>
      <c r="S133" s="1">
        <v>35</v>
      </c>
      <c r="Z133" s="2"/>
      <c r="AA133" s="17" t="s">
        <v>660</v>
      </c>
      <c r="AB133" s="1" t="s">
        <v>635</v>
      </c>
      <c r="AS133" s="15" t="s">
        <v>661</v>
      </c>
      <c r="AT133" s="16" t="s">
        <v>571</v>
      </c>
    </row>
    <row r="134" spans="1:46" ht="17.5" thickBot="1" x14ac:dyDescent="0.4">
      <c r="A134" s="6">
        <f t="shared" si="20"/>
        <v>2022</v>
      </c>
      <c r="B134" s="6">
        <f t="shared" si="21"/>
        <v>5</v>
      </c>
      <c r="C134" s="7">
        <v>44696</v>
      </c>
      <c r="D134" s="6">
        <f t="shared" si="22"/>
        <v>7</v>
      </c>
      <c r="E134" s="6">
        <f t="shared" si="23"/>
        <v>20</v>
      </c>
      <c r="F134" s="6">
        <f t="shared" si="24"/>
        <v>2</v>
      </c>
      <c r="G134" s="6" t="str">
        <f t="shared" si="25"/>
        <v>05</v>
      </c>
      <c r="H134" s="6" t="str">
        <f t="shared" si="26"/>
        <v>05월 2주차</v>
      </c>
      <c r="I134" s="6" t="str">
        <f>H134&amp;" ("&amp;TEXT(C128,"m/dd")&amp;"~"&amp;TEXT(C134,"m/dd")&amp;")"</f>
        <v>05월 2주차 (5/09~5/15)</v>
      </c>
      <c r="J134" s="6" t="str">
        <f>A128&amp;"년 "&amp;WEEKNUM(C128,2)&amp;"주차"&amp;" ("&amp;TEXT(C128,"m/dd")&amp;"~"&amp;TEXT(C134,"m/dd")&amp;")"</f>
        <v>2022년 20주차 (5/09~5/15)</v>
      </c>
      <c r="K134" s="6">
        <f>YEAR(C128)</f>
        <v>2022</v>
      </c>
      <c r="L134" s="6">
        <f>WEEKNUM(C128,2)</f>
        <v>20</v>
      </c>
      <c r="O134" s="1" t="str">
        <f t="shared" si="27"/>
        <v>LJZ</v>
      </c>
      <c r="P134" s="1" t="s">
        <v>525</v>
      </c>
      <c r="Q134" s="1" t="s">
        <v>121</v>
      </c>
      <c r="R134" s="1" t="s">
        <v>104</v>
      </c>
      <c r="S134" s="1">
        <v>36</v>
      </c>
      <c r="Z134" s="2"/>
      <c r="AA134" s="18" t="s">
        <v>662</v>
      </c>
      <c r="AB134" s="1" t="s">
        <v>635</v>
      </c>
      <c r="AS134" s="15" t="s">
        <v>663</v>
      </c>
      <c r="AT134" s="16" t="s">
        <v>664</v>
      </c>
    </row>
    <row r="135" spans="1:46" ht="17.5" thickBot="1" x14ac:dyDescent="0.4">
      <c r="A135" s="6">
        <f t="shared" si="20"/>
        <v>2022</v>
      </c>
      <c r="B135" s="6">
        <f t="shared" si="21"/>
        <v>5</v>
      </c>
      <c r="C135" s="7">
        <v>44697</v>
      </c>
      <c r="D135" s="6">
        <f t="shared" si="22"/>
        <v>1</v>
      </c>
      <c r="E135" s="6">
        <f t="shared" si="23"/>
        <v>21</v>
      </c>
      <c r="F135" s="6">
        <f t="shared" si="24"/>
        <v>3</v>
      </c>
      <c r="G135" s="6" t="str">
        <f t="shared" si="25"/>
        <v>05</v>
      </c>
      <c r="H135" s="6" t="str">
        <f t="shared" si="26"/>
        <v>05월 3주차</v>
      </c>
      <c r="I135" s="6" t="str">
        <f>H135&amp;" ("&amp;TEXT(C135,"m/dd")&amp;"~"&amp;TEXT(C141,"m/dd")&amp;")"</f>
        <v>05월 3주차 (5/16~5/22)</v>
      </c>
      <c r="J135" s="6" t="str">
        <f>A135&amp;"년 "&amp;WEEKNUM(C135,2)&amp;"주차"&amp;" ("&amp;TEXT(C135,"m/dd")&amp;"~"&amp;TEXT(C141,"m/dd")&amp;")"</f>
        <v>2022년 21주차 (5/16~5/22)</v>
      </c>
      <c r="K135" s="6">
        <f>YEAR(C135)</f>
        <v>2022</v>
      </c>
      <c r="L135" s="6">
        <f>WEEKNUM(C135,2)</f>
        <v>21</v>
      </c>
      <c r="O135" s="1" t="str">
        <f t="shared" si="27"/>
        <v>LJA</v>
      </c>
      <c r="P135" s="1" t="s">
        <v>525</v>
      </c>
      <c r="Q135" s="1" t="s">
        <v>121</v>
      </c>
      <c r="R135" s="1" t="s">
        <v>52</v>
      </c>
      <c r="S135" s="1">
        <v>37</v>
      </c>
      <c r="Z135" s="2"/>
      <c r="AA135" s="18" t="s">
        <v>665</v>
      </c>
      <c r="AB135" s="1" t="s">
        <v>635</v>
      </c>
      <c r="AS135" s="15" t="s">
        <v>634</v>
      </c>
      <c r="AT135" s="16" t="s">
        <v>382</v>
      </c>
    </row>
    <row r="136" spans="1:46" ht="17.5" thickBot="1" x14ac:dyDescent="0.4">
      <c r="A136" s="6">
        <f t="shared" si="20"/>
        <v>2022</v>
      </c>
      <c r="B136" s="6">
        <f t="shared" si="21"/>
        <v>5</v>
      </c>
      <c r="C136" s="7">
        <v>44698</v>
      </c>
      <c r="D136" s="6">
        <f t="shared" si="22"/>
        <v>2</v>
      </c>
      <c r="E136" s="6">
        <f t="shared" si="23"/>
        <v>21</v>
      </c>
      <c r="F136" s="6">
        <f t="shared" si="24"/>
        <v>3</v>
      </c>
      <c r="G136" s="6" t="str">
        <f t="shared" si="25"/>
        <v>05</v>
      </c>
      <c r="H136" s="6" t="str">
        <f t="shared" si="26"/>
        <v>05월 3주차</v>
      </c>
      <c r="I136" s="6" t="str">
        <f>H136&amp;" ("&amp;TEXT(C135,"m/dd")&amp;"~"&amp;TEXT(C141,"m/dd")&amp;")"</f>
        <v>05월 3주차 (5/16~5/22)</v>
      </c>
      <c r="J136" s="6" t="str">
        <f>A135&amp;"년 "&amp;WEEKNUM(C135,2)&amp;"주차"&amp;" ("&amp;TEXT(C135,"m/dd")&amp;"~"&amp;TEXT(C141,"m/dd")&amp;")"</f>
        <v>2022년 21주차 (5/16~5/22)</v>
      </c>
      <c r="K136" s="6">
        <f>YEAR(C135)</f>
        <v>2022</v>
      </c>
      <c r="L136" s="6">
        <f>WEEKNUM(C135,2)</f>
        <v>21</v>
      </c>
      <c r="O136" s="1" t="str">
        <f t="shared" si="27"/>
        <v>LJR</v>
      </c>
      <c r="P136" s="1" t="s">
        <v>525</v>
      </c>
      <c r="Q136" s="1" t="s">
        <v>121</v>
      </c>
      <c r="R136" s="1" t="s">
        <v>95</v>
      </c>
      <c r="S136" s="1">
        <v>38</v>
      </c>
      <c r="Z136" s="2"/>
      <c r="AA136" s="18" t="s">
        <v>666</v>
      </c>
      <c r="AB136" s="1" t="s">
        <v>635</v>
      </c>
      <c r="AS136" s="15" t="s">
        <v>667</v>
      </c>
      <c r="AT136" s="16" t="s">
        <v>668</v>
      </c>
    </row>
    <row r="137" spans="1:46" ht="17.5" thickBot="1" x14ac:dyDescent="0.4">
      <c r="A137" s="6">
        <f t="shared" si="20"/>
        <v>2022</v>
      </c>
      <c r="B137" s="6">
        <f t="shared" si="21"/>
        <v>5</v>
      </c>
      <c r="C137" s="7">
        <v>44699</v>
      </c>
      <c r="D137" s="6">
        <f t="shared" si="22"/>
        <v>3</v>
      </c>
      <c r="E137" s="6">
        <f t="shared" si="23"/>
        <v>21</v>
      </c>
      <c r="F137" s="6">
        <f t="shared" si="24"/>
        <v>3</v>
      </c>
      <c r="G137" s="6" t="str">
        <f t="shared" si="25"/>
        <v>05</v>
      </c>
      <c r="H137" s="6" t="str">
        <f t="shared" si="26"/>
        <v>05월 3주차</v>
      </c>
      <c r="I137" s="6" t="str">
        <f>H137&amp;" ("&amp;TEXT(C135,"m/dd")&amp;"~"&amp;TEXT(C141,"m/dd")&amp;")"</f>
        <v>05월 3주차 (5/16~5/22)</v>
      </c>
      <c r="J137" s="6" t="str">
        <f>A135&amp;"년 "&amp;WEEKNUM(C135,2)&amp;"주차"&amp;" ("&amp;TEXT(C135,"m/dd")&amp;"~"&amp;TEXT(C141,"m/dd")&amp;")"</f>
        <v>2022년 21주차 (5/16~5/22)</v>
      </c>
      <c r="K137" s="6">
        <f>YEAR(C135)</f>
        <v>2022</v>
      </c>
      <c r="L137" s="6">
        <f>WEEKNUM(C135,2)</f>
        <v>21</v>
      </c>
      <c r="O137" s="1" t="str">
        <f t="shared" si="27"/>
        <v>LJI</v>
      </c>
      <c r="P137" s="1" t="s">
        <v>525</v>
      </c>
      <c r="Q137" s="1" t="s">
        <v>121</v>
      </c>
      <c r="R137" s="1" t="s">
        <v>86</v>
      </c>
      <c r="S137" s="1">
        <v>39</v>
      </c>
      <c r="Z137" s="2"/>
      <c r="AA137" t="s">
        <v>669</v>
      </c>
      <c r="AB137" s="1" t="s">
        <v>635</v>
      </c>
      <c r="AS137" s="15" t="s">
        <v>670</v>
      </c>
      <c r="AT137" s="16" t="s">
        <v>671</v>
      </c>
    </row>
    <row r="138" spans="1:46" ht="17.5" thickBot="1" x14ac:dyDescent="0.4">
      <c r="A138" s="6">
        <f t="shared" si="20"/>
        <v>2022</v>
      </c>
      <c r="B138" s="6">
        <f t="shared" si="21"/>
        <v>5</v>
      </c>
      <c r="C138" s="7">
        <v>44700</v>
      </c>
      <c r="D138" s="6">
        <f t="shared" si="22"/>
        <v>4</v>
      </c>
      <c r="E138" s="6">
        <f t="shared" si="23"/>
        <v>21</v>
      </c>
      <c r="F138" s="6">
        <f t="shared" si="24"/>
        <v>3</v>
      </c>
      <c r="G138" s="6" t="str">
        <f t="shared" si="25"/>
        <v>05</v>
      </c>
      <c r="H138" s="6" t="str">
        <f t="shared" si="26"/>
        <v>05월 3주차</v>
      </c>
      <c r="I138" s="6" t="str">
        <f>H138&amp;" ("&amp;TEXT(C135,"m/dd")&amp;"~"&amp;TEXT(C141,"m/dd")&amp;")"</f>
        <v>05월 3주차 (5/16~5/22)</v>
      </c>
      <c r="J138" s="6" t="str">
        <f>A135&amp;"년 "&amp;WEEKNUM(C135,2)&amp;"주차"&amp;" ("&amp;TEXT(C135,"m/dd")&amp;"~"&amp;TEXT(C141,"m/dd")&amp;")"</f>
        <v>2022년 21주차 (5/16~5/22)</v>
      </c>
      <c r="K138" s="6">
        <f>YEAR(C135)</f>
        <v>2022</v>
      </c>
      <c r="L138" s="6">
        <f>WEEKNUM(C135,2)</f>
        <v>21</v>
      </c>
      <c r="O138" s="1" t="str">
        <f t="shared" si="27"/>
        <v>LJO</v>
      </c>
      <c r="P138" s="1" t="s">
        <v>525</v>
      </c>
      <c r="Q138" s="1" t="s">
        <v>121</v>
      </c>
      <c r="R138" s="1" t="s">
        <v>112</v>
      </c>
      <c r="S138" s="1">
        <v>40</v>
      </c>
      <c r="Z138" s="2"/>
      <c r="AA138" s="18"/>
      <c r="AS138" s="15" t="s">
        <v>672</v>
      </c>
      <c r="AT138" s="16" t="s">
        <v>673</v>
      </c>
    </row>
    <row r="139" spans="1:46" ht="17.5" thickBot="1" x14ac:dyDescent="0.4">
      <c r="A139" s="6">
        <f t="shared" si="20"/>
        <v>2022</v>
      </c>
      <c r="B139" s="6">
        <f t="shared" si="21"/>
        <v>5</v>
      </c>
      <c r="C139" s="7">
        <v>44701</v>
      </c>
      <c r="D139" s="6">
        <f t="shared" si="22"/>
        <v>5</v>
      </c>
      <c r="E139" s="6">
        <f t="shared" si="23"/>
        <v>21</v>
      </c>
      <c r="F139" s="6">
        <f t="shared" si="24"/>
        <v>3</v>
      </c>
      <c r="G139" s="6" t="str">
        <f t="shared" si="25"/>
        <v>05</v>
      </c>
      <c r="H139" s="6" t="str">
        <f t="shared" si="26"/>
        <v>05월 3주차</v>
      </c>
      <c r="I139" s="6" t="str">
        <f>H139&amp;" ("&amp;TEXT(C135,"m/dd")&amp;"~"&amp;TEXT(C141,"m/dd")&amp;")"</f>
        <v>05월 3주차 (5/16~5/22)</v>
      </c>
      <c r="J139" s="6" t="str">
        <f>A135&amp;"년 "&amp;WEEKNUM(C135,2)&amp;"주차"&amp;" ("&amp;TEXT(C135,"m/dd")&amp;"~"&amp;TEXT(C141,"m/dd")&amp;")"</f>
        <v>2022년 21주차 (5/16~5/22)</v>
      </c>
      <c r="K139" s="6">
        <f>YEAR(C135)</f>
        <v>2022</v>
      </c>
      <c r="L139" s="6">
        <f>WEEKNUM(C135,2)</f>
        <v>21</v>
      </c>
      <c r="O139" s="1" t="str">
        <f t="shared" si="27"/>
        <v>LJT</v>
      </c>
      <c r="P139" s="1" t="s">
        <v>525</v>
      </c>
      <c r="Q139" s="1" t="s">
        <v>121</v>
      </c>
      <c r="R139" s="1" t="s">
        <v>204</v>
      </c>
      <c r="S139" s="1">
        <v>41</v>
      </c>
      <c r="Z139" s="2"/>
      <c r="AA139" s="18"/>
      <c r="AS139" s="15" t="s">
        <v>594</v>
      </c>
      <c r="AT139" s="16" t="s">
        <v>295</v>
      </c>
    </row>
    <row r="140" spans="1:46" ht="17.5" thickBot="1" x14ac:dyDescent="0.4">
      <c r="A140" s="6">
        <f t="shared" si="20"/>
        <v>2022</v>
      </c>
      <c r="B140" s="6">
        <f t="shared" si="21"/>
        <v>5</v>
      </c>
      <c r="C140" s="7">
        <v>44702</v>
      </c>
      <c r="D140" s="6">
        <f t="shared" si="22"/>
        <v>6</v>
      </c>
      <c r="E140" s="6">
        <f t="shared" si="23"/>
        <v>21</v>
      </c>
      <c r="F140" s="6">
        <f t="shared" si="24"/>
        <v>3</v>
      </c>
      <c r="G140" s="6" t="str">
        <f t="shared" si="25"/>
        <v>05</v>
      </c>
      <c r="H140" s="6" t="str">
        <f t="shared" si="26"/>
        <v>05월 3주차</v>
      </c>
      <c r="I140" s="6" t="str">
        <f>H140&amp;" ("&amp;TEXT(C135,"m/dd")&amp;"~"&amp;TEXT(C141,"m/dd")&amp;")"</f>
        <v>05월 3주차 (5/16~5/22)</v>
      </c>
      <c r="J140" s="6" t="str">
        <f>A135&amp;"년 "&amp;WEEKNUM(C135,2)&amp;"주차"&amp;" ("&amp;TEXT(C135,"m/dd")&amp;"~"&amp;TEXT(C141,"m/dd")&amp;")"</f>
        <v>2022년 21주차 (5/16~5/22)</v>
      </c>
      <c r="K140" s="6">
        <f>YEAR(C135)</f>
        <v>2022</v>
      </c>
      <c r="L140" s="6">
        <f>WEEKNUM(C135,2)</f>
        <v>21</v>
      </c>
      <c r="O140" s="1" t="str">
        <f t="shared" si="27"/>
        <v>LJG</v>
      </c>
      <c r="P140" s="1" t="s">
        <v>525</v>
      </c>
      <c r="Q140" s="1" t="s">
        <v>121</v>
      </c>
      <c r="R140" s="1" t="s">
        <v>211</v>
      </c>
      <c r="S140" s="1">
        <v>42</v>
      </c>
      <c r="Z140" s="2"/>
      <c r="AA140" s="18"/>
      <c r="AS140" s="15" t="s">
        <v>674</v>
      </c>
      <c r="AT140" s="16" t="s">
        <v>675</v>
      </c>
    </row>
    <row r="141" spans="1:46" ht="17.5" thickBot="1" x14ac:dyDescent="0.4">
      <c r="A141" s="6">
        <f t="shared" si="20"/>
        <v>2022</v>
      </c>
      <c r="B141" s="6">
        <f t="shared" si="21"/>
        <v>5</v>
      </c>
      <c r="C141" s="7">
        <v>44703</v>
      </c>
      <c r="D141" s="6">
        <f t="shared" si="22"/>
        <v>7</v>
      </c>
      <c r="E141" s="6">
        <f t="shared" si="23"/>
        <v>21</v>
      </c>
      <c r="F141" s="6">
        <f t="shared" si="24"/>
        <v>3</v>
      </c>
      <c r="G141" s="6" t="str">
        <f t="shared" si="25"/>
        <v>05</v>
      </c>
      <c r="H141" s="6" t="str">
        <f t="shared" si="26"/>
        <v>05월 3주차</v>
      </c>
      <c r="I141" s="6" t="str">
        <f>H141&amp;" ("&amp;TEXT(C135,"m/dd")&amp;"~"&amp;TEXT(C141,"m/dd")&amp;")"</f>
        <v>05월 3주차 (5/16~5/22)</v>
      </c>
      <c r="J141" s="6" t="str">
        <f>A135&amp;"년 "&amp;WEEKNUM(C135,2)&amp;"주차"&amp;" ("&amp;TEXT(C135,"m/dd")&amp;"~"&amp;TEXT(C141,"m/dd")&amp;")"</f>
        <v>2022년 21주차 (5/16~5/22)</v>
      </c>
      <c r="K141" s="6">
        <f>YEAR(C135)</f>
        <v>2022</v>
      </c>
      <c r="L141" s="6">
        <f>WEEKNUM(C135,2)</f>
        <v>21</v>
      </c>
      <c r="O141" s="1" t="str">
        <f t="shared" si="27"/>
        <v>BXY</v>
      </c>
      <c r="P141" s="1" t="s">
        <v>676</v>
      </c>
      <c r="Q141" s="1" t="s">
        <v>121</v>
      </c>
      <c r="R141" s="1" t="s">
        <v>122</v>
      </c>
      <c r="S141" s="1">
        <v>21</v>
      </c>
      <c r="Z141" s="2"/>
      <c r="AA141" s="18"/>
      <c r="AS141" s="15" t="s">
        <v>677</v>
      </c>
      <c r="AT141" s="16" t="s">
        <v>678</v>
      </c>
    </row>
    <row r="142" spans="1:46" ht="17.5" thickBot="1" x14ac:dyDescent="0.4">
      <c r="A142" s="6">
        <f t="shared" si="20"/>
        <v>2022</v>
      </c>
      <c r="B142" s="6">
        <f t="shared" si="21"/>
        <v>5</v>
      </c>
      <c r="C142" s="7">
        <v>44704</v>
      </c>
      <c r="D142" s="6">
        <f t="shared" si="22"/>
        <v>1</v>
      </c>
      <c r="E142" s="6">
        <f t="shared" si="23"/>
        <v>22</v>
      </c>
      <c r="F142" s="6">
        <f t="shared" si="24"/>
        <v>4</v>
      </c>
      <c r="G142" s="6" t="str">
        <f t="shared" si="25"/>
        <v>05</v>
      </c>
      <c r="H142" s="6" t="str">
        <f t="shared" si="26"/>
        <v>05월 4주차</v>
      </c>
      <c r="I142" s="6" t="str">
        <f>H142&amp;" ("&amp;TEXT(C142,"m/dd")&amp;"~"&amp;TEXT(C148,"m/dd")&amp;")"</f>
        <v>05월 4주차 (5/23~5/29)</v>
      </c>
      <c r="J142" s="6" t="str">
        <f>A142&amp;"년 "&amp;WEEKNUM(C142,2)&amp;"주차"&amp;" ("&amp;TEXT(C142,"m/dd")&amp;"~"&amp;TEXT(C148,"m/dd")&amp;")"</f>
        <v>2022년 22주차 (5/23~5/29)</v>
      </c>
      <c r="K142" s="6">
        <f>YEAR(C142)</f>
        <v>2022</v>
      </c>
      <c r="L142" s="6">
        <f>WEEKNUM(C142,2)</f>
        <v>22</v>
      </c>
      <c r="O142" s="1" t="str">
        <f t="shared" si="27"/>
        <v>BXB</v>
      </c>
      <c r="P142" s="1" t="s">
        <v>676</v>
      </c>
      <c r="Q142" s="1" t="s">
        <v>121</v>
      </c>
      <c r="R142" s="1" t="s">
        <v>129</v>
      </c>
      <c r="S142" s="1">
        <v>22</v>
      </c>
      <c r="Z142" s="2"/>
      <c r="AA142" s="18"/>
      <c r="AS142" s="15" t="s">
        <v>679</v>
      </c>
      <c r="AT142" s="16" t="s">
        <v>680</v>
      </c>
    </row>
    <row r="143" spans="1:46" ht="17.5" thickBot="1" x14ac:dyDescent="0.4">
      <c r="A143" s="6">
        <f t="shared" si="20"/>
        <v>2022</v>
      </c>
      <c r="B143" s="6">
        <f t="shared" si="21"/>
        <v>5</v>
      </c>
      <c r="C143" s="7">
        <v>44705</v>
      </c>
      <c r="D143" s="6">
        <f t="shared" si="22"/>
        <v>2</v>
      </c>
      <c r="E143" s="6">
        <f t="shared" si="23"/>
        <v>22</v>
      </c>
      <c r="F143" s="6">
        <f t="shared" si="24"/>
        <v>4</v>
      </c>
      <c r="G143" s="6" t="str">
        <f t="shared" si="25"/>
        <v>05</v>
      </c>
      <c r="H143" s="6" t="str">
        <f t="shared" si="26"/>
        <v>05월 4주차</v>
      </c>
      <c r="I143" s="6" t="str">
        <f>H143&amp;" ("&amp;TEXT(C142,"m/dd")&amp;"~"&amp;TEXT(C148,"m/dd")&amp;")"</f>
        <v>05월 4주차 (5/23~5/29)</v>
      </c>
      <c r="J143" s="6" t="str">
        <f>A142&amp;"년 "&amp;WEEKNUM(C142,2)&amp;"주차"&amp;" ("&amp;TEXT(C142,"m/dd")&amp;"~"&amp;TEXT(C148,"m/dd")&amp;")"</f>
        <v>2022년 22주차 (5/23~5/29)</v>
      </c>
      <c r="K143" s="6">
        <f>YEAR(C142)</f>
        <v>2022</v>
      </c>
      <c r="L143" s="6">
        <f>WEEKNUM(C142,2)</f>
        <v>22</v>
      </c>
      <c r="O143" s="1" t="str">
        <f t="shared" si="27"/>
        <v>BXR</v>
      </c>
      <c r="P143" s="1" t="s">
        <v>676</v>
      </c>
      <c r="Q143" s="1" t="s">
        <v>121</v>
      </c>
      <c r="R143" s="1" t="s">
        <v>95</v>
      </c>
      <c r="S143" s="1">
        <v>23</v>
      </c>
      <c r="Z143" s="2"/>
      <c r="AA143" s="18"/>
      <c r="AS143" s="15" t="s">
        <v>205</v>
      </c>
      <c r="AT143" s="16" t="s">
        <v>681</v>
      </c>
    </row>
    <row r="144" spans="1:46" ht="17.5" thickBot="1" x14ac:dyDescent="0.4">
      <c r="A144" s="6">
        <f t="shared" si="20"/>
        <v>2022</v>
      </c>
      <c r="B144" s="6">
        <f t="shared" si="21"/>
        <v>5</v>
      </c>
      <c r="C144" s="7">
        <v>44706</v>
      </c>
      <c r="D144" s="6">
        <f t="shared" si="22"/>
        <v>3</v>
      </c>
      <c r="E144" s="6">
        <f t="shared" si="23"/>
        <v>22</v>
      </c>
      <c r="F144" s="6">
        <f t="shared" si="24"/>
        <v>4</v>
      </c>
      <c r="G144" s="6" t="str">
        <f t="shared" si="25"/>
        <v>05</v>
      </c>
      <c r="H144" s="6" t="str">
        <f t="shared" si="26"/>
        <v>05월 4주차</v>
      </c>
      <c r="I144" s="6" t="str">
        <f>H144&amp;" ("&amp;TEXT(C142,"m/dd")&amp;"~"&amp;TEXT(C148,"m/dd")&amp;")"</f>
        <v>05월 4주차 (5/23~5/29)</v>
      </c>
      <c r="J144" s="6" t="str">
        <f>A142&amp;"년 "&amp;WEEKNUM(C142,2)&amp;"주차"&amp;" ("&amp;TEXT(C142,"m/dd")&amp;"~"&amp;TEXT(C148,"m/dd")&amp;")"</f>
        <v>2022년 22주차 (5/23~5/29)</v>
      </c>
      <c r="K144" s="6">
        <f>YEAR(C142)</f>
        <v>2022</v>
      </c>
      <c r="L144" s="6">
        <f>WEEKNUM(C142,2)</f>
        <v>22</v>
      </c>
      <c r="O144" s="1" t="str">
        <f t="shared" si="27"/>
        <v>BXM</v>
      </c>
      <c r="P144" s="1" t="s">
        <v>676</v>
      </c>
      <c r="Q144" s="1" t="s">
        <v>121</v>
      </c>
      <c r="R144" s="1" t="s">
        <v>137</v>
      </c>
      <c r="S144" s="1">
        <v>24</v>
      </c>
      <c r="Z144" s="2"/>
      <c r="AA144" s="18"/>
      <c r="AS144" s="15" t="s">
        <v>329</v>
      </c>
      <c r="AT144" s="16" t="s">
        <v>682</v>
      </c>
    </row>
    <row r="145" spans="1:46" ht="17.5" thickBot="1" x14ac:dyDescent="0.4">
      <c r="A145" s="6">
        <f t="shared" si="20"/>
        <v>2022</v>
      </c>
      <c r="B145" s="6">
        <f t="shared" si="21"/>
        <v>5</v>
      </c>
      <c r="C145" s="7">
        <v>44707</v>
      </c>
      <c r="D145" s="6">
        <f t="shared" si="22"/>
        <v>4</v>
      </c>
      <c r="E145" s="6">
        <f t="shared" si="23"/>
        <v>22</v>
      </c>
      <c r="F145" s="6">
        <f t="shared" si="24"/>
        <v>4</v>
      </c>
      <c r="G145" s="6" t="str">
        <f t="shared" si="25"/>
        <v>05</v>
      </c>
      <c r="H145" s="6" t="str">
        <f t="shared" si="26"/>
        <v>05월 4주차</v>
      </c>
      <c r="I145" s="6" t="str">
        <f>H145&amp;" ("&amp;TEXT(C142,"m/dd")&amp;"~"&amp;TEXT(C148,"m/dd")&amp;")"</f>
        <v>05월 4주차 (5/23~5/29)</v>
      </c>
      <c r="J145" s="6" t="str">
        <f>A142&amp;"년 "&amp;WEEKNUM(C142,2)&amp;"주차"&amp;" ("&amp;TEXT(C142,"m/dd")&amp;"~"&amp;TEXT(C148,"m/dd")&amp;")"</f>
        <v>2022년 22주차 (5/23~5/29)</v>
      </c>
      <c r="K145" s="6">
        <f>YEAR(C142)</f>
        <v>2022</v>
      </c>
      <c r="L145" s="6">
        <f>WEEKNUM(C142,2)</f>
        <v>22</v>
      </c>
      <c r="O145" s="1" t="str">
        <f t="shared" si="27"/>
        <v>BXK</v>
      </c>
      <c r="P145" s="1" t="s">
        <v>676</v>
      </c>
      <c r="Q145" s="1" t="s">
        <v>121</v>
      </c>
      <c r="R145" s="1" t="s">
        <v>171</v>
      </c>
      <c r="S145" s="1">
        <v>25</v>
      </c>
      <c r="Z145" s="2"/>
      <c r="AA145" s="18"/>
      <c r="AS145" s="15" t="s">
        <v>683</v>
      </c>
      <c r="AT145" s="16" t="s">
        <v>684</v>
      </c>
    </row>
    <row r="146" spans="1:46" ht="17.5" thickBot="1" x14ac:dyDescent="0.4">
      <c r="A146" s="6">
        <f t="shared" si="20"/>
        <v>2022</v>
      </c>
      <c r="B146" s="6">
        <f t="shared" si="21"/>
        <v>5</v>
      </c>
      <c r="C146" s="7">
        <v>44708</v>
      </c>
      <c r="D146" s="6">
        <f t="shared" si="22"/>
        <v>5</v>
      </c>
      <c r="E146" s="6">
        <f t="shared" si="23"/>
        <v>22</v>
      </c>
      <c r="F146" s="6">
        <f t="shared" si="24"/>
        <v>4</v>
      </c>
      <c r="G146" s="6" t="str">
        <f t="shared" si="25"/>
        <v>05</v>
      </c>
      <c r="H146" s="6" t="str">
        <f t="shared" si="26"/>
        <v>05월 4주차</v>
      </c>
      <c r="I146" s="6" t="str">
        <f>H146&amp;" ("&amp;TEXT(C142,"m/dd")&amp;"~"&amp;TEXT(C148,"m/dd")&amp;")"</f>
        <v>05월 4주차 (5/23~5/29)</v>
      </c>
      <c r="J146" s="6" t="str">
        <f>A142&amp;"년 "&amp;WEEKNUM(C142,2)&amp;"주차"&amp;" ("&amp;TEXT(C142,"m/dd")&amp;"~"&amp;TEXT(C148,"m/dd")&amp;")"</f>
        <v>2022년 22주차 (5/23~5/29)</v>
      </c>
      <c r="K146" s="6">
        <f>YEAR(C142)</f>
        <v>2022</v>
      </c>
      <c r="L146" s="6">
        <f>WEEKNUM(C142,2)</f>
        <v>22</v>
      </c>
      <c r="O146" s="1" t="str">
        <f t="shared" si="27"/>
        <v>BXE</v>
      </c>
      <c r="P146" s="1" t="s">
        <v>676</v>
      </c>
      <c r="Q146" s="1" t="s">
        <v>121</v>
      </c>
      <c r="R146" s="1" t="s">
        <v>163</v>
      </c>
      <c r="S146" s="1">
        <v>26</v>
      </c>
      <c r="Z146" s="2"/>
      <c r="AA146" s="18"/>
      <c r="AS146" s="15" t="s">
        <v>685</v>
      </c>
      <c r="AT146" s="16" t="s">
        <v>358</v>
      </c>
    </row>
    <row r="147" spans="1:46" ht="17.5" thickBot="1" x14ac:dyDescent="0.4">
      <c r="A147" s="6">
        <f t="shared" si="20"/>
        <v>2022</v>
      </c>
      <c r="B147" s="6">
        <f t="shared" si="21"/>
        <v>5</v>
      </c>
      <c r="C147" s="7">
        <v>44709</v>
      </c>
      <c r="D147" s="6">
        <f t="shared" si="22"/>
        <v>6</v>
      </c>
      <c r="E147" s="6">
        <f t="shared" si="23"/>
        <v>22</v>
      </c>
      <c r="F147" s="6">
        <f t="shared" si="24"/>
        <v>4</v>
      </c>
      <c r="G147" s="6" t="str">
        <f t="shared" si="25"/>
        <v>05</v>
      </c>
      <c r="H147" s="6" t="str">
        <f t="shared" si="26"/>
        <v>05월 4주차</v>
      </c>
      <c r="I147" s="6" t="str">
        <f>H147&amp;" ("&amp;TEXT(C142,"m/dd")&amp;"~"&amp;TEXT(C148,"m/dd")&amp;")"</f>
        <v>05월 4주차 (5/23~5/29)</v>
      </c>
      <c r="J147" s="6" t="str">
        <f>A142&amp;"년 "&amp;WEEKNUM(C142,2)&amp;"주차"&amp;" ("&amp;TEXT(C142,"m/dd")&amp;"~"&amp;TEXT(C148,"m/dd")&amp;")"</f>
        <v>2022년 22주차 (5/23~5/29)</v>
      </c>
      <c r="K147" s="6">
        <f>YEAR(C142)</f>
        <v>2022</v>
      </c>
      <c r="L147" s="6">
        <f>WEEKNUM(C142,2)</f>
        <v>22</v>
      </c>
      <c r="O147" s="1" t="str">
        <f t="shared" si="27"/>
        <v>BXU</v>
      </c>
      <c r="P147" s="1" t="s">
        <v>676</v>
      </c>
      <c r="Q147" s="1" t="s">
        <v>121</v>
      </c>
      <c r="R147" s="1" t="s">
        <v>185</v>
      </c>
      <c r="S147" s="1">
        <v>27</v>
      </c>
      <c r="Z147" s="2"/>
      <c r="AA147" s="18"/>
      <c r="AS147" s="15" t="s">
        <v>686</v>
      </c>
      <c r="AT147" s="16" t="s">
        <v>687</v>
      </c>
    </row>
    <row r="148" spans="1:46" ht="17.5" thickBot="1" x14ac:dyDescent="0.4">
      <c r="A148" s="6">
        <f t="shared" si="20"/>
        <v>2022</v>
      </c>
      <c r="B148" s="6">
        <f t="shared" si="21"/>
        <v>5</v>
      </c>
      <c r="C148" s="7">
        <v>44710</v>
      </c>
      <c r="D148" s="6">
        <f t="shared" si="22"/>
        <v>7</v>
      </c>
      <c r="E148" s="6">
        <f t="shared" si="23"/>
        <v>22</v>
      </c>
      <c r="F148" s="6">
        <f t="shared" si="24"/>
        <v>4</v>
      </c>
      <c r="G148" s="6" t="str">
        <f t="shared" si="25"/>
        <v>05</v>
      </c>
      <c r="H148" s="6" t="str">
        <f t="shared" si="26"/>
        <v>05월 4주차</v>
      </c>
      <c r="I148" s="6" t="str">
        <f>H148&amp;" ("&amp;TEXT(C142,"m/dd")&amp;"~"&amp;TEXT(C148,"m/dd")&amp;")"</f>
        <v>05월 4주차 (5/23~5/29)</v>
      </c>
      <c r="J148" s="6" t="str">
        <f>A142&amp;"년 "&amp;WEEKNUM(C142,2)&amp;"주차"&amp;" ("&amp;TEXT(C142,"m/dd")&amp;"~"&amp;TEXT(C148,"m/dd")&amp;")"</f>
        <v>2022년 22주차 (5/23~5/29)</v>
      </c>
      <c r="K148" s="6">
        <f>YEAR(C142)</f>
        <v>2022</v>
      </c>
      <c r="L148" s="6">
        <f>WEEKNUM(C142,2)</f>
        <v>22</v>
      </c>
      <c r="O148" s="1" t="str">
        <f t="shared" si="27"/>
        <v>BXD</v>
      </c>
      <c r="P148" s="1" t="s">
        <v>676</v>
      </c>
      <c r="Q148" s="1" t="s">
        <v>121</v>
      </c>
      <c r="R148" s="1" t="s">
        <v>78</v>
      </c>
      <c r="S148" s="1">
        <v>28</v>
      </c>
      <c r="Z148" s="2"/>
      <c r="AA148" s="18"/>
      <c r="AS148" s="15" t="s">
        <v>413</v>
      </c>
      <c r="AT148" s="16" t="s">
        <v>688</v>
      </c>
    </row>
    <row r="149" spans="1:46" ht="17.5" thickBot="1" x14ac:dyDescent="0.4">
      <c r="A149" s="6">
        <f t="shared" si="20"/>
        <v>2022</v>
      </c>
      <c r="B149" s="6">
        <f t="shared" si="21"/>
        <v>5</v>
      </c>
      <c r="C149" s="7">
        <v>44711</v>
      </c>
      <c r="D149" s="6">
        <f t="shared" si="22"/>
        <v>1</v>
      </c>
      <c r="E149" s="6">
        <f t="shared" si="23"/>
        <v>23</v>
      </c>
      <c r="F149" s="6">
        <f t="shared" si="24"/>
        <v>5</v>
      </c>
      <c r="G149" s="6" t="str">
        <f t="shared" si="25"/>
        <v>05</v>
      </c>
      <c r="H149" s="6" t="str">
        <f t="shared" si="26"/>
        <v>05월 5주차</v>
      </c>
      <c r="I149" s="6" t="str">
        <f>H149&amp;" ("&amp;TEXT(C149,"m/dd")&amp;"~"&amp;TEXT(C155,"m/dd")&amp;")"</f>
        <v>05월 5주차 (5/30~6/05)</v>
      </c>
      <c r="J149" s="6" t="str">
        <f>A149&amp;"년 "&amp;WEEKNUM(C149,2)&amp;"주차"&amp;" ("&amp;TEXT(C149,"m/dd")&amp;"~"&amp;TEXT(C155,"m/dd")&amp;")"</f>
        <v>2022년 23주차 (5/30~6/05)</v>
      </c>
      <c r="K149" s="6">
        <f>YEAR(C149)</f>
        <v>2022</v>
      </c>
      <c r="L149" s="6">
        <f>WEEKNUM(C149,2)</f>
        <v>23</v>
      </c>
      <c r="O149" s="1" t="str">
        <f t="shared" si="27"/>
        <v>BXO</v>
      </c>
      <c r="P149" s="1" t="s">
        <v>676</v>
      </c>
      <c r="Q149" s="1" t="s">
        <v>121</v>
      </c>
      <c r="R149" s="1" t="s">
        <v>112</v>
      </c>
      <c r="S149" s="1">
        <v>29</v>
      </c>
      <c r="Z149" s="2"/>
      <c r="AA149" s="18"/>
      <c r="AS149" s="15" t="s">
        <v>689</v>
      </c>
      <c r="AT149" s="16" t="s">
        <v>690</v>
      </c>
    </row>
    <row r="150" spans="1:46" ht="17.5" thickBot="1" x14ac:dyDescent="0.4">
      <c r="A150" s="6">
        <f t="shared" si="20"/>
        <v>2022</v>
      </c>
      <c r="B150" s="6">
        <f t="shared" si="21"/>
        <v>5</v>
      </c>
      <c r="C150" s="7">
        <v>44712</v>
      </c>
      <c r="D150" s="6">
        <f t="shared" si="22"/>
        <v>2</v>
      </c>
      <c r="E150" s="6">
        <f t="shared" si="23"/>
        <v>23</v>
      </c>
      <c r="F150" s="6">
        <f t="shared" si="24"/>
        <v>5</v>
      </c>
      <c r="G150" s="6" t="str">
        <f t="shared" si="25"/>
        <v>05</v>
      </c>
      <c r="H150" s="6" t="str">
        <f t="shared" si="26"/>
        <v>05월 5주차</v>
      </c>
      <c r="I150" s="6" t="str">
        <f>H150&amp;" ("&amp;TEXT(C149,"m/dd")&amp;"~"&amp;TEXT(C155,"m/dd")&amp;")"</f>
        <v>05월 5주차 (5/30~6/05)</v>
      </c>
      <c r="J150" s="6" t="str">
        <f>A149&amp;"년 "&amp;WEEKNUM(C149,2)&amp;"주차"&amp;" ("&amp;TEXT(C149,"m/dd")&amp;"~"&amp;TEXT(C155,"m/dd")&amp;")"</f>
        <v>2022년 23주차 (5/30~6/05)</v>
      </c>
      <c r="K150" s="6">
        <f>YEAR(C149)</f>
        <v>2022</v>
      </c>
      <c r="L150" s="6">
        <f>WEEKNUM(C149,2)</f>
        <v>23</v>
      </c>
      <c r="O150" s="1" t="str">
        <f t="shared" si="27"/>
        <v>BXI</v>
      </c>
      <c r="P150" s="1" t="s">
        <v>676</v>
      </c>
      <c r="Q150" s="1" t="s">
        <v>121</v>
      </c>
      <c r="R150" s="1" t="s">
        <v>86</v>
      </c>
      <c r="S150" s="1">
        <v>30</v>
      </c>
      <c r="Z150" s="2"/>
      <c r="AA150" s="18"/>
      <c r="AS150" s="15" t="s">
        <v>691</v>
      </c>
      <c r="AT150" s="16" t="s">
        <v>692</v>
      </c>
    </row>
    <row r="151" spans="1:46" ht="17.5" thickBot="1" x14ac:dyDescent="0.4">
      <c r="A151" s="6">
        <f t="shared" si="20"/>
        <v>2022</v>
      </c>
      <c r="B151" s="6">
        <f t="shared" si="21"/>
        <v>6</v>
      </c>
      <c r="C151" s="7">
        <v>44713</v>
      </c>
      <c r="D151" s="6">
        <f t="shared" si="22"/>
        <v>3</v>
      </c>
      <c r="E151" s="6">
        <f t="shared" si="23"/>
        <v>23</v>
      </c>
      <c r="F151" s="6">
        <f t="shared" si="24"/>
        <v>5</v>
      </c>
      <c r="G151" s="6" t="str">
        <f t="shared" si="25"/>
        <v>06</v>
      </c>
      <c r="H151" s="6" t="str">
        <f t="shared" si="26"/>
        <v>06월 5주차</v>
      </c>
      <c r="I151" s="6" t="str">
        <f>H151&amp;" ("&amp;TEXT(C149,"m/dd")&amp;"~"&amp;TEXT(C155,"m/dd")&amp;")"</f>
        <v>06월 5주차 (5/30~6/05)</v>
      </c>
      <c r="J151" s="6" t="str">
        <f>A149&amp;"년 "&amp;WEEKNUM(C149,2)&amp;"주차"&amp;" ("&amp;TEXT(C149,"m/dd")&amp;"~"&amp;TEXT(C155,"m/dd")&amp;")"</f>
        <v>2022년 23주차 (5/30~6/05)</v>
      </c>
      <c r="K151" s="6">
        <f>YEAR(C149)</f>
        <v>2022</v>
      </c>
      <c r="L151" s="6">
        <f>WEEKNUM(C149,2)</f>
        <v>23</v>
      </c>
      <c r="O151" s="1" t="str">
        <f t="shared" si="27"/>
        <v>BXV</v>
      </c>
      <c r="P151" s="1" t="s">
        <v>676</v>
      </c>
      <c r="Q151" s="1" t="s">
        <v>121</v>
      </c>
      <c r="R151" s="1" t="s">
        <v>328</v>
      </c>
      <c r="S151" s="1">
        <v>31</v>
      </c>
      <c r="Z151" s="2"/>
      <c r="AA151" s="18"/>
      <c r="AS151" s="15" t="s">
        <v>79</v>
      </c>
      <c r="AT151" s="16" t="s">
        <v>455</v>
      </c>
    </row>
    <row r="152" spans="1:46" ht="17.5" thickBot="1" x14ac:dyDescent="0.4">
      <c r="A152" s="6">
        <f t="shared" si="20"/>
        <v>2022</v>
      </c>
      <c r="B152" s="6">
        <f t="shared" si="21"/>
        <v>6</v>
      </c>
      <c r="C152" s="7">
        <v>44714</v>
      </c>
      <c r="D152" s="6">
        <f t="shared" si="22"/>
        <v>4</v>
      </c>
      <c r="E152" s="6">
        <f t="shared" si="23"/>
        <v>23</v>
      </c>
      <c r="F152" s="6">
        <f t="shared" si="24"/>
        <v>5</v>
      </c>
      <c r="G152" s="6" t="str">
        <f t="shared" si="25"/>
        <v>06</v>
      </c>
      <c r="H152" s="6" t="str">
        <f t="shared" si="26"/>
        <v>06월 5주차</v>
      </c>
      <c r="I152" s="6" t="str">
        <f>H152&amp;" ("&amp;TEXT(C149,"m/dd")&amp;"~"&amp;TEXT(C155,"m/dd")&amp;")"</f>
        <v>06월 5주차 (5/30~6/05)</v>
      </c>
      <c r="J152" s="6" t="str">
        <f>A149&amp;"년 "&amp;WEEKNUM(C149,2)&amp;"주차"&amp;" ("&amp;TEXT(C149,"m/dd")&amp;"~"&amp;TEXT(C155,"m/dd")&amp;")"</f>
        <v>2022년 23주차 (5/30~6/05)</v>
      </c>
      <c r="K152" s="6">
        <f>YEAR(C149)</f>
        <v>2022</v>
      </c>
      <c r="L152" s="6">
        <f>WEEKNUM(C149,2)</f>
        <v>23</v>
      </c>
      <c r="O152" s="1" t="str">
        <f t="shared" si="27"/>
        <v>BXJ</v>
      </c>
      <c r="P152" s="1" t="s">
        <v>676</v>
      </c>
      <c r="Q152" s="1" t="s">
        <v>121</v>
      </c>
      <c r="R152" s="1" t="s">
        <v>61</v>
      </c>
      <c r="S152" s="1">
        <v>32</v>
      </c>
      <c r="Z152" s="2"/>
      <c r="AA152" s="18"/>
      <c r="AS152" s="15" t="s">
        <v>693</v>
      </c>
      <c r="AT152" s="16" t="s">
        <v>614</v>
      </c>
    </row>
    <row r="153" spans="1:46" ht="17.5" thickBot="1" x14ac:dyDescent="0.4">
      <c r="A153" s="6">
        <f t="shared" si="20"/>
        <v>2022</v>
      </c>
      <c r="B153" s="6">
        <f t="shared" si="21"/>
        <v>6</v>
      </c>
      <c r="C153" s="7">
        <v>44715</v>
      </c>
      <c r="D153" s="6">
        <f t="shared" si="22"/>
        <v>5</v>
      </c>
      <c r="E153" s="6">
        <f t="shared" si="23"/>
        <v>23</v>
      </c>
      <c r="F153" s="6">
        <f t="shared" si="24"/>
        <v>5</v>
      </c>
      <c r="G153" s="6" t="str">
        <f t="shared" si="25"/>
        <v>06</v>
      </c>
      <c r="H153" s="6" t="str">
        <f t="shared" si="26"/>
        <v>06월 5주차</v>
      </c>
      <c r="I153" s="6" t="str">
        <f>H153&amp;" ("&amp;TEXT(C149,"m/dd")&amp;"~"&amp;TEXT(C155,"m/dd")&amp;")"</f>
        <v>06월 5주차 (5/30~6/05)</v>
      </c>
      <c r="J153" s="6" t="str">
        <f>A149&amp;"년 "&amp;WEEKNUM(C149,2)&amp;"주차"&amp;" ("&amp;TEXT(C149,"m/dd")&amp;"~"&amp;TEXT(C155,"m/dd")&amp;")"</f>
        <v>2022년 23주차 (5/30~6/05)</v>
      </c>
      <c r="K153" s="6">
        <f>YEAR(C149)</f>
        <v>2022</v>
      </c>
      <c r="L153" s="6">
        <f>WEEKNUM(C149,2)</f>
        <v>23</v>
      </c>
      <c r="O153" s="1" t="str">
        <f t="shared" si="27"/>
        <v>BXH</v>
      </c>
      <c r="P153" s="1" t="s">
        <v>676</v>
      </c>
      <c r="Q153" s="1" t="s">
        <v>121</v>
      </c>
      <c r="R153" s="1" t="s">
        <v>154</v>
      </c>
      <c r="S153" s="1">
        <v>33</v>
      </c>
      <c r="Z153" s="8" t="s">
        <v>694</v>
      </c>
      <c r="AA153" s="18" t="s">
        <v>261</v>
      </c>
      <c r="AB153" s="1" t="s">
        <v>695</v>
      </c>
      <c r="AS153" s="15" t="s">
        <v>696</v>
      </c>
      <c r="AT153" s="16" t="s">
        <v>697</v>
      </c>
    </row>
    <row r="154" spans="1:46" ht="17.5" thickBot="1" x14ac:dyDescent="0.4">
      <c r="A154" s="6">
        <f t="shared" si="20"/>
        <v>2022</v>
      </c>
      <c r="B154" s="6">
        <f t="shared" si="21"/>
        <v>6</v>
      </c>
      <c r="C154" s="7">
        <v>44716</v>
      </c>
      <c r="D154" s="6">
        <f t="shared" si="22"/>
        <v>6</v>
      </c>
      <c r="E154" s="6">
        <f t="shared" si="23"/>
        <v>23</v>
      </c>
      <c r="F154" s="6">
        <f t="shared" si="24"/>
        <v>5</v>
      </c>
      <c r="G154" s="6" t="str">
        <f t="shared" si="25"/>
        <v>06</v>
      </c>
      <c r="H154" s="6" t="str">
        <f t="shared" si="26"/>
        <v>06월 5주차</v>
      </c>
      <c r="I154" s="6" t="str">
        <f>H154&amp;" ("&amp;TEXT(C149,"m/dd")&amp;"~"&amp;TEXT(C155,"m/dd")&amp;")"</f>
        <v>06월 5주차 (5/30~6/05)</v>
      </c>
      <c r="J154" s="6" t="str">
        <f>A149&amp;"년 "&amp;WEEKNUM(C149,2)&amp;"주차"&amp;" ("&amp;TEXT(C149,"m/dd")&amp;"~"&amp;TEXT(C155,"m/dd")&amp;")"</f>
        <v>2022년 23주차 (5/30~6/05)</v>
      </c>
      <c r="K154" s="6">
        <f>YEAR(C149)</f>
        <v>2022</v>
      </c>
      <c r="L154" s="6">
        <f>WEEKNUM(C149,2)</f>
        <v>23</v>
      </c>
      <c r="O154" s="1" t="str">
        <f t="shared" si="27"/>
        <v>BXP</v>
      </c>
      <c r="P154" s="1" t="s">
        <v>676</v>
      </c>
      <c r="Q154" s="1" t="s">
        <v>121</v>
      </c>
      <c r="R154" s="1" t="s">
        <v>31</v>
      </c>
      <c r="S154" s="1">
        <v>34</v>
      </c>
      <c r="Z154" s="8"/>
      <c r="AA154" s="18" t="s">
        <v>698</v>
      </c>
      <c r="AB154" s="1" t="s">
        <v>695</v>
      </c>
      <c r="AS154" s="15" t="s">
        <v>699</v>
      </c>
      <c r="AT154" s="16" t="s">
        <v>700</v>
      </c>
    </row>
    <row r="155" spans="1:46" ht="31.5" thickBot="1" x14ac:dyDescent="0.4">
      <c r="A155" s="6">
        <f t="shared" si="20"/>
        <v>2022</v>
      </c>
      <c r="B155" s="6">
        <f t="shared" si="21"/>
        <v>6</v>
      </c>
      <c r="C155" s="7">
        <v>44717</v>
      </c>
      <c r="D155" s="6">
        <f t="shared" si="22"/>
        <v>7</v>
      </c>
      <c r="E155" s="6">
        <f t="shared" si="23"/>
        <v>23</v>
      </c>
      <c r="F155" s="6">
        <f t="shared" si="24"/>
        <v>5</v>
      </c>
      <c r="G155" s="6" t="str">
        <f t="shared" si="25"/>
        <v>06</v>
      </c>
      <c r="H155" s="6" t="str">
        <f t="shared" si="26"/>
        <v>06월 5주차</v>
      </c>
      <c r="I155" s="6" t="str">
        <f>H155&amp;" ("&amp;TEXT(C149,"m/dd")&amp;"~"&amp;TEXT(C155,"m/dd")&amp;")"</f>
        <v>06월 5주차 (5/30~6/05)</v>
      </c>
      <c r="J155" s="6" t="str">
        <f>A149&amp;"년 "&amp;WEEKNUM(C149,2)&amp;"주차"&amp;" ("&amp;TEXT(C149,"m/dd")&amp;"~"&amp;TEXT(C155,"m/dd")&amp;")"</f>
        <v>2022년 23주차 (5/30~6/05)</v>
      </c>
      <c r="K155" s="6">
        <f>YEAR(C149)</f>
        <v>2022</v>
      </c>
      <c r="L155" s="6">
        <f>WEEKNUM(C149,2)</f>
        <v>23</v>
      </c>
      <c r="O155" s="1" t="str">
        <f t="shared" si="27"/>
        <v>BXX</v>
      </c>
      <c r="P155" s="1" t="s">
        <v>676</v>
      </c>
      <c r="Q155" s="1" t="s">
        <v>121</v>
      </c>
      <c r="R155" s="1" t="s">
        <v>216</v>
      </c>
      <c r="S155" s="1">
        <v>35</v>
      </c>
      <c r="Z155" s="8"/>
      <c r="AA155" s="8" t="s">
        <v>701</v>
      </c>
      <c r="AB155" s="1" t="s">
        <v>501</v>
      </c>
      <c r="AS155" s="15" t="s">
        <v>702</v>
      </c>
      <c r="AT155" s="16" t="s">
        <v>703</v>
      </c>
    </row>
    <row r="156" spans="1:46" ht="17.5" thickBot="1" x14ac:dyDescent="0.4">
      <c r="A156" s="6">
        <f t="shared" si="20"/>
        <v>2022</v>
      </c>
      <c r="B156" s="6">
        <f t="shared" si="21"/>
        <v>6</v>
      </c>
      <c r="C156" s="7">
        <v>44718</v>
      </c>
      <c r="D156" s="6">
        <f t="shared" si="22"/>
        <v>1</v>
      </c>
      <c r="E156" s="6">
        <f t="shared" si="23"/>
        <v>24</v>
      </c>
      <c r="F156" s="6">
        <f t="shared" si="24"/>
        <v>1</v>
      </c>
      <c r="G156" s="6" t="str">
        <f t="shared" si="25"/>
        <v>06</v>
      </c>
      <c r="H156" s="6" t="str">
        <f t="shared" si="26"/>
        <v>06월 1주차</v>
      </c>
      <c r="I156" s="6" t="str">
        <f>H156&amp;" ("&amp;TEXT(C156,"m/dd")&amp;"~"&amp;TEXT(C171,"m/dd")&amp;")"</f>
        <v>06월 1주차 (6/06~6/12)</v>
      </c>
      <c r="J156" s="6" t="str">
        <f>A156&amp;"년 "&amp;WEEKNUM(C156,2)&amp;"주차"&amp;" ("&amp;TEXT(C156,"m/dd")&amp;"~"&amp;TEXT(C171,"m/dd")&amp;")"</f>
        <v>2022년 24주차 (6/06~6/12)</v>
      </c>
      <c r="K156" s="6">
        <f>YEAR(C156)</f>
        <v>2022</v>
      </c>
      <c r="L156" s="6">
        <f>WEEKNUM(C156,2)</f>
        <v>24</v>
      </c>
      <c r="O156" s="1" t="str">
        <f t="shared" si="27"/>
        <v>BXG</v>
      </c>
      <c r="P156" s="1" t="s">
        <v>676</v>
      </c>
      <c r="Q156" s="1" t="s">
        <v>121</v>
      </c>
      <c r="R156" s="1" t="s">
        <v>211</v>
      </c>
      <c r="S156" s="1">
        <v>36</v>
      </c>
      <c r="Z156" s="2"/>
      <c r="AA156" s="8" t="s">
        <v>683</v>
      </c>
      <c r="AB156" s="1" t="s">
        <v>695</v>
      </c>
      <c r="AS156" s="15" t="s">
        <v>704</v>
      </c>
      <c r="AT156" s="16" t="s">
        <v>705</v>
      </c>
    </row>
    <row r="157" spans="1:46" ht="17.5" thickBot="1" x14ac:dyDescent="0.4">
      <c r="A157" s="6">
        <f t="shared" si="20"/>
        <v>2022</v>
      </c>
      <c r="B157" s="6">
        <f t="shared" si="21"/>
        <v>6</v>
      </c>
      <c r="C157" s="7">
        <v>44719</v>
      </c>
      <c r="D157" s="6">
        <f t="shared" si="22"/>
        <v>2</v>
      </c>
      <c r="E157" s="6">
        <f t="shared" si="23"/>
        <v>24</v>
      </c>
      <c r="F157" s="6">
        <f t="shared" si="24"/>
        <v>1</v>
      </c>
      <c r="G157" s="6" t="str">
        <f t="shared" si="25"/>
        <v>06</v>
      </c>
      <c r="H157" s="6" t="str">
        <f t="shared" si="26"/>
        <v>06월 1주차</v>
      </c>
      <c r="I157" s="6" t="str">
        <f>H157&amp;" ("&amp;TEXT(C156,"m/dd")&amp;"~"&amp;TEXT(C171,"m/dd")&amp;")"</f>
        <v>06월 1주차 (6/06~6/12)</v>
      </c>
      <c r="J157" s="6" t="str">
        <f>A156&amp;"년 "&amp;WEEKNUM(C156,2)&amp;"주차"&amp;" ("&amp;TEXT(C156,"m/dd")&amp;"~"&amp;TEXT(C171,"m/dd")&amp;")"</f>
        <v>2022년 24주차 (6/06~6/12)</v>
      </c>
      <c r="K157" s="6">
        <f>YEAR(C156)</f>
        <v>2022</v>
      </c>
      <c r="L157" s="6">
        <f>WEEKNUM(C156,2)</f>
        <v>24</v>
      </c>
      <c r="O157" s="1" t="str">
        <f t="shared" si="27"/>
        <v>BXW</v>
      </c>
      <c r="P157" s="1" t="s">
        <v>676</v>
      </c>
      <c r="Q157" s="1" t="s">
        <v>121</v>
      </c>
      <c r="R157" s="1" t="s">
        <v>335</v>
      </c>
      <c r="S157" s="1">
        <v>37</v>
      </c>
      <c r="Z157" s="2"/>
      <c r="AA157" s="8" t="s">
        <v>487</v>
      </c>
      <c r="AB157" s="1" t="s">
        <v>695</v>
      </c>
      <c r="AS157" s="15" t="s">
        <v>706</v>
      </c>
      <c r="AT157" s="16" t="s">
        <v>369</v>
      </c>
    </row>
    <row r="158" spans="1:46" ht="17.5" thickBot="1" x14ac:dyDescent="0.4">
      <c r="A158" s="6">
        <f t="shared" si="20"/>
        <v>2022</v>
      </c>
      <c r="B158" s="6">
        <f t="shared" si="21"/>
        <v>6</v>
      </c>
      <c r="C158" s="7">
        <v>44720</v>
      </c>
      <c r="D158" s="6">
        <f t="shared" si="22"/>
        <v>3</v>
      </c>
      <c r="E158" s="6">
        <f t="shared" si="23"/>
        <v>24</v>
      </c>
      <c r="F158" s="6">
        <f t="shared" si="24"/>
        <v>1</v>
      </c>
      <c r="G158" s="6" t="str">
        <f t="shared" si="25"/>
        <v>06</v>
      </c>
      <c r="H158" s="6" t="str">
        <f t="shared" si="26"/>
        <v>06월 1주차</v>
      </c>
      <c r="I158" s="6" t="str">
        <f>H158&amp;" ("&amp;TEXT(C156,"m/dd")&amp;"~"&amp;TEXT(C171,"m/dd")&amp;")"</f>
        <v>06월 1주차 (6/06~6/12)</v>
      </c>
      <c r="J158" s="6" t="str">
        <f>A156&amp;"년 "&amp;WEEKNUM(C156,2)&amp;"주차"&amp;" ("&amp;TEXT(C156,"m/dd")&amp;"~"&amp;TEXT(C171,"m/dd")&amp;")"</f>
        <v>2022년 24주차 (6/06~6/12)</v>
      </c>
      <c r="K158" s="6">
        <f>YEAR(C156)</f>
        <v>2022</v>
      </c>
      <c r="L158" s="6">
        <f>WEEKNUM(C156,2)</f>
        <v>24</v>
      </c>
      <c r="O158" s="1" t="str">
        <f t="shared" si="27"/>
        <v>TWF</v>
      </c>
      <c r="P158" s="1" t="s">
        <v>274</v>
      </c>
      <c r="Q158" s="1" t="s">
        <v>399</v>
      </c>
      <c r="R158" s="1" t="s">
        <v>44</v>
      </c>
      <c r="S158" s="1">
        <v>21</v>
      </c>
      <c r="Z158" s="2"/>
      <c r="AA158" s="8" t="s">
        <v>481</v>
      </c>
      <c r="AB158" s="1" t="s">
        <v>695</v>
      </c>
      <c r="AS158" s="15" t="s">
        <v>645</v>
      </c>
      <c r="AT158" s="16" t="s">
        <v>707</v>
      </c>
    </row>
    <row r="159" spans="1:46" ht="17.5" thickBot="1" x14ac:dyDescent="0.4">
      <c r="A159" s="6"/>
      <c r="B159" s="6"/>
      <c r="C159" s="7"/>
      <c r="D159" s="6"/>
      <c r="E159" s="6"/>
      <c r="F159" s="6"/>
      <c r="G159" s="6"/>
      <c r="H159" s="6"/>
      <c r="I159" s="6"/>
      <c r="J159" s="6"/>
      <c r="K159" s="6"/>
      <c r="L159" s="6"/>
      <c r="Z159" s="2"/>
      <c r="AA159" s="8" t="s">
        <v>494</v>
      </c>
      <c r="AB159" s="1" t="s">
        <v>695</v>
      </c>
      <c r="AS159" s="15" t="s">
        <v>708</v>
      </c>
      <c r="AT159" s="16" t="s">
        <v>709</v>
      </c>
    </row>
    <row r="160" spans="1:46" ht="17.5" thickBot="1" x14ac:dyDescent="0.4">
      <c r="A160" s="6"/>
      <c r="B160" s="6"/>
      <c r="C160" s="7"/>
      <c r="D160" s="6"/>
      <c r="E160" s="6"/>
      <c r="F160" s="6"/>
      <c r="G160" s="6"/>
      <c r="H160" s="6"/>
      <c r="I160" s="6"/>
      <c r="J160" s="6"/>
      <c r="K160" s="6"/>
      <c r="L160" s="6"/>
      <c r="Z160" s="2"/>
      <c r="AA160" s="8" t="s">
        <v>710</v>
      </c>
      <c r="AB160" s="1" t="s">
        <v>695</v>
      </c>
      <c r="AS160" s="15" t="s">
        <v>711</v>
      </c>
      <c r="AT160" s="16" t="s">
        <v>712</v>
      </c>
    </row>
    <row r="161" spans="1:46" ht="17.5" thickBot="1" x14ac:dyDescent="0.4">
      <c r="A161" s="6"/>
      <c r="B161" s="6"/>
      <c r="C161" s="7"/>
      <c r="D161" s="6"/>
      <c r="E161" s="6"/>
      <c r="F161" s="6"/>
      <c r="G161" s="6"/>
      <c r="H161" s="6"/>
      <c r="I161" s="6"/>
      <c r="J161" s="6"/>
      <c r="K161" s="6"/>
      <c r="L161" s="6"/>
      <c r="Z161" s="2"/>
      <c r="AA161" s="8" t="s">
        <v>670</v>
      </c>
      <c r="AB161" s="1" t="s">
        <v>695</v>
      </c>
      <c r="AS161" s="15" t="s">
        <v>713</v>
      </c>
      <c r="AT161" s="16" t="s">
        <v>714</v>
      </c>
    </row>
    <row r="162" spans="1:46" ht="17.5" thickBot="1" x14ac:dyDescent="0.4">
      <c r="A162" s="6"/>
      <c r="B162" s="6"/>
      <c r="C162" s="7"/>
      <c r="D162" s="6"/>
      <c r="E162" s="6"/>
      <c r="F162" s="6"/>
      <c r="G162" s="6"/>
      <c r="H162" s="6"/>
      <c r="I162" s="6"/>
      <c r="J162" s="6"/>
      <c r="K162" s="6"/>
      <c r="L162" s="6"/>
      <c r="Z162" s="2"/>
      <c r="AA162" s="8" t="s">
        <v>715</v>
      </c>
      <c r="AB162" s="1" t="s">
        <v>695</v>
      </c>
      <c r="AS162" s="15" t="s">
        <v>716</v>
      </c>
      <c r="AT162" s="16" t="s">
        <v>717</v>
      </c>
    </row>
    <row r="163" spans="1:46" ht="17.5" thickBot="1" x14ac:dyDescent="0.4">
      <c r="A163" s="6"/>
      <c r="B163" s="6"/>
      <c r="C163" s="7"/>
      <c r="D163" s="6"/>
      <c r="E163" s="6"/>
      <c r="F163" s="6"/>
      <c r="G163" s="6"/>
      <c r="H163" s="6"/>
      <c r="I163" s="6"/>
      <c r="J163" s="6"/>
      <c r="K163" s="6"/>
      <c r="L163" s="6"/>
      <c r="Z163" s="2"/>
      <c r="AA163" s="8" t="s">
        <v>613</v>
      </c>
      <c r="AB163" s="1" t="s">
        <v>695</v>
      </c>
      <c r="AS163" s="15" t="s">
        <v>718</v>
      </c>
      <c r="AT163" s="16" t="s">
        <v>719</v>
      </c>
    </row>
    <row r="164" spans="1:46" ht="17.5" thickBot="1" x14ac:dyDescent="0.4">
      <c r="A164" s="6"/>
      <c r="B164" s="6"/>
      <c r="C164" s="7"/>
      <c r="D164" s="6"/>
      <c r="E164" s="6"/>
      <c r="F164" s="6"/>
      <c r="G164" s="6"/>
      <c r="H164" s="6"/>
      <c r="I164" s="6"/>
      <c r="J164" s="6"/>
      <c r="K164" s="6"/>
      <c r="L164" s="6"/>
      <c r="Z164" s="2"/>
      <c r="AA164" s="8" t="s">
        <v>720</v>
      </c>
      <c r="AB164" s="1" t="s">
        <v>695</v>
      </c>
      <c r="AS164" s="15" t="s">
        <v>172</v>
      </c>
      <c r="AT164" s="16" t="s">
        <v>721</v>
      </c>
    </row>
    <row r="165" spans="1:46" ht="17.5" thickBot="1" x14ac:dyDescent="0.4">
      <c r="A165" s="6"/>
      <c r="B165" s="6"/>
      <c r="C165" s="7"/>
      <c r="D165" s="6"/>
      <c r="E165" s="6"/>
      <c r="F165" s="6"/>
      <c r="G165" s="6"/>
      <c r="H165" s="6"/>
      <c r="I165" s="6"/>
      <c r="J165" s="6"/>
      <c r="K165" s="6"/>
      <c r="L165" s="6"/>
      <c r="Z165" s="2"/>
      <c r="AA165" s="8" t="s">
        <v>651</v>
      </c>
      <c r="AB165" s="1" t="s">
        <v>695</v>
      </c>
      <c r="AS165" s="15" t="s">
        <v>722</v>
      </c>
      <c r="AT165" s="16" t="s">
        <v>723</v>
      </c>
    </row>
    <row r="166" spans="1:46" ht="17.5" thickBot="1" x14ac:dyDescent="0.4">
      <c r="A166" s="6"/>
      <c r="B166" s="6"/>
      <c r="C166" s="7"/>
      <c r="D166" s="6"/>
      <c r="E166" s="6"/>
      <c r="F166" s="6"/>
      <c r="G166" s="6"/>
      <c r="H166" s="6"/>
      <c r="I166" s="6"/>
      <c r="J166" s="6"/>
      <c r="K166" s="6"/>
      <c r="L166" s="6"/>
      <c r="Z166" s="2"/>
      <c r="AA166" t="s">
        <v>372</v>
      </c>
      <c r="AB166" s="1" t="s">
        <v>695</v>
      </c>
      <c r="AS166" s="15" t="s">
        <v>578</v>
      </c>
      <c r="AT166" s="16" t="s">
        <v>724</v>
      </c>
    </row>
    <row r="167" spans="1:46" ht="17.5" thickBot="1" x14ac:dyDescent="0.4">
      <c r="A167" s="6"/>
      <c r="B167" s="6"/>
      <c r="C167" s="7"/>
      <c r="D167" s="6"/>
      <c r="E167" s="6"/>
      <c r="F167" s="6"/>
      <c r="G167" s="6"/>
      <c r="H167" s="6"/>
      <c r="I167" s="6"/>
      <c r="J167" s="6"/>
      <c r="K167" s="6"/>
      <c r="L167" s="6"/>
      <c r="Z167" s="2"/>
      <c r="AA167" t="s">
        <v>725</v>
      </c>
      <c r="AB167" s="1" t="s">
        <v>695</v>
      </c>
      <c r="AS167" s="15" t="s">
        <v>726</v>
      </c>
      <c r="AT167" s="16" t="s">
        <v>152</v>
      </c>
    </row>
    <row r="168" spans="1:46" ht="17.5" thickBot="1" x14ac:dyDescent="0.4">
      <c r="A168" s="6">
        <f t="shared" si="20"/>
        <v>2022</v>
      </c>
      <c r="B168" s="6">
        <f t="shared" si="21"/>
        <v>6</v>
      </c>
      <c r="C168" s="7">
        <v>44721</v>
      </c>
      <c r="D168" s="6">
        <f t="shared" si="22"/>
        <v>4</v>
      </c>
      <c r="E168" s="6">
        <f t="shared" si="23"/>
        <v>24</v>
      </c>
      <c r="F168" s="6">
        <f t="shared" si="24"/>
        <v>1</v>
      </c>
      <c r="G168" s="6" t="str">
        <f t="shared" si="25"/>
        <v>06</v>
      </c>
      <c r="H168" s="6" t="str">
        <f t="shared" si="26"/>
        <v>06월 1주차</v>
      </c>
      <c r="I168" s="6" t="str">
        <f>H168&amp;" ("&amp;TEXT(C156,"m/dd")&amp;"~"&amp;TEXT(C171,"m/dd")&amp;")"</f>
        <v>06월 1주차 (6/06~6/12)</v>
      </c>
      <c r="J168" s="6" t="str">
        <f>A156&amp;"년 "&amp;WEEKNUM(C156,2)&amp;"주차"&amp;" ("&amp;TEXT(C156,"m/dd")&amp;"~"&amp;TEXT(C171,"m/dd")&amp;")"</f>
        <v>2022년 24주차 (6/06~6/12)</v>
      </c>
      <c r="K168" s="6">
        <f>YEAR(C156)</f>
        <v>2022</v>
      </c>
      <c r="L168" s="6">
        <f>WEEKNUM(C156,2)</f>
        <v>24</v>
      </c>
      <c r="O168" s="1" t="str">
        <f t="shared" si="27"/>
        <v>TWC</v>
      </c>
      <c r="P168" s="1" t="s">
        <v>274</v>
      </c>
      <c r="Q168" s="1" t="s">
        <v>399</v>
      </c>
      <c r="R168" s="1" t="s">
        <v>70</v>
      </c>
      <c r="S168" s="1">
        <v>22</v>
      </c>
      <c r="Z168" s="2"/>
      <c r="AA168" t="s">
        <v>727</v>
      </c>
      <c r="AB168" s="1" t="s">
        <v>695</v>
      </c>
      <c r="AS168" s="15" t="s">
        <v>728</v>
      </c>
      <c r="AT168" s="16" t="s">
        <v>729</v>
      </c>
    </row>
    <row r="169" spans="1:46" ht="17.5" thickBot="1" x14ac:dyDescent="0.4">
      <c r="A169" s="6">
        <f t="shared" si="20"/>
        <v>2022</v>
      </c>
      <c r="B169" s="6">
        <f t="shared" si="21"/>
        <v>6</v>
      </c>
      <c r="C169" s="7">
        <v>44722</v>
      </c>
      <c r="D169" s="6">
        <f t="shared" si="22"/>
        <v>5</v>
      </c>
      <c r="E169" s="6">
        <f t="shared" si="23"/>
        <v>24</v>
      </c>
      <c r="F169" s="6">
        <f t="shared" si="24"/>
        <v>1</v>
      </c>
      <c r="G169" s="6" t="str">
        <f t="shared" si="25"/>
        <v>06</v>
      </c>
      <c r="H169" s="6" t="str">
        <f t="shared" si="26"/>
        <v>06월 1주차</v>
      </c>
      <c r="I169" s="6" t="str">
        <f>H169&amp;" ("&amp;TEXT(C156,"m/dd")&amp;"~"&amp;TEXT(C171,"m/dd")&amp;")"</f>
        <v>06월 1주차 (6/06~6/12)</v>
      </c>
      <c r="J169" s="6" t="str">
        <f>A156&amp;"년 "&amp;WEEKNUM(C156,2)&amp;"주차"&amp;" ("&amp;TEXT(C156,"m/dd")&amp;"~"&amp;TEXT(C171,"m/dd")&amp;")"</f>
        <v>2022년 24주차 (6/06~6/12)</v>
      </c>
      <c r="K169" s="6">
        <f>YEAR(C156)</f>
        <v>2022</v>
      </c>
      <c r="L169" s="6">
        <f>WEEKNUM(C156,2)</f>
        <v>24</v>
      </c>
      <c r="O169" s="1" t="str">
        <f t="shared" si="27"/>
        <v>TWR</v>
      </c>
      <c r="P169" s="1" t="s">
        <v>274</v>
      </c>
      <c r="Q169" s="1" t="s">
        <v>399</v>
      </c>
      <c r="R169" s="1" t="s">
        <v>95</v>
      </c>
      <c r="S169" s="1">
        <v>23</v>
      </c>
      <c r="Z169" s="2"/>
      <c r="AA169" t="s">
        <v>730</v>
      </c>
      <c r="AB169" s="1" t="s">
        <v>695</v>
      </c>
      <c r="AS169" s="15" t="s">
        <v>731</v>
      </c>
      <c r="AT169" s="16" t="s">
        <v>732</v>
      </c>
    </row>
    <row r="170" spans="1:46" ht="17.5" thickBot="1" x14ac:dyDescent="0.4">
      <c r="A170" s="6">
        <f t="shared" si="20"/>
        <v>2022</v>
      </c>
      <c r="B170" s="6">
        <f t="shared" si="21"/>
        <v>6</v>
      </c>
      <c r="C170" s="7">
        <v>44723</v>
      </c>
      <c r="D170" s="6">
        <f t="shared" si="22"/>
        <v>6</v>
      </c>
      <c r="E170" s="6">
        <f t="shared" si="23"/>
        <v>24</v>
      </c>
      <c r="F170" s="6">
        <f t="shared" si="24"/>
        <v>1</v>
      </c>
      <c r="G170" s="6" t="str">
        <f t="shared" si="25"/>
        <v>06</v>
      </c>
      <c r="H170" s="6" t="str">
        <f t="shared" si="26"/>
        <v>06월 1주차</v>
      </c>
      <c r="I170" s="6" t="str">
        <f>H170&amp;" ("&amp;TEXT(C156,"m/dd")&amp;"~"&amp;TEXT(C171,"m/dd")&amp;")"</f>
        <v>06월 1주차 (6/06~6/12)</v>
      </c>
      <c r="J170" s="6" t="str">
        <f>A156&amp;"년 "&amp;WEEKNUM(C156,2)&amp;"주차"&amp;" ("&amp;TEXT(C156,"m/dd")&amp;"~"&amp;TEXT(C171,"m/dd")&amp;")"</f>
        <v>2022년 24주차 (6/06~6/12)</v>
      </c>
      <c r="K170" s="6">
        <f>YEAR(C156)</f>
        <v>2022</v>
      </c>
      <c r="L170" s="6">
        <f>WEEKNUM(C156,2)</f>
        <v>24</v>
      </c>
      <c r="O170" s="1" t="str">
        <f t="shared" si="27"/>
        <v>TWY</v>
      </c>
      <c r="P170" s="1" t="s">
        <v>274</v>
      </c>
      <c r="Q170" s="1" t="s">
        <v>121</v>
      </c>
      <c r="R170" s="1" t="s">
        <v>122</v>
      </c>
      <c r="S170" s="1">
        <v>24</v>
      </c>
      <c r="Z170" s="2"/>
      <c r="AA170" t="s">
        <v>658</v>
      </c>
      <c r="AB170" s="1" t="s">
        <v>695</v>
      </c>
      <c r="AS170" s="15" t="s">
        <v>733</v>
      </c>
      <c r="AT170" s="16" t="s">
        <v>734</v>
      </c>
    </row>
    <row r="171" spans="1:46" ht="17.5" thickBot="1" x14ac:dyDescent="0.4">
      <c r="A171" s="6">
        <f t="shared" si="20"/>
        <v>2022</v>
      </c>
      <c r="B171" s="6">
        <f t="shared" si="21"/>
        <v>6</v>
      </c>
      <c r="C171" s="7">
        <v>44724</v>
      </c>
      <c r="D171" s="6">
        <f t="shared" si="22"/>
        <v>7</v>
      </c>
      <c r="E171" s="6">
        <f t="shared" si="23"/>
        <v>24</v>
      </c>
      <c r="F171" s="6">
        <f t="shared" si="24"/>
        <v>1</v>
      </c>
      <c r="G171" s="6" t="str">
        <f t="shared" si="25"/>
        <v>06</v>
      </c>
      <c r="H171" s="6" t="str">
        <f t="shared" si="26"/>
        <v>06월 1주차</v>
      </c>
      <c r="I171" s="6" t="str">
        <f>H171&amp;" ("&amp;TEXT(C156,"m/dd")&amp;"~"&amp;TEXT(C171,"m/dd")&amp;")"</f>
        <v>06월 1주차 (6/06~6/12)</v>
      </c>
      <c r="J171" s="6" t="str">
        <f>A156&amp;"년 "&amp;WEEKNUM(C156,2)&amp;"주차"&amp;" ("&amp;TEXT(C156,"m/dd")&amp;"~"&amp;TEXT(C171,"m/dd")&amp;")"</f>
        <v>2022년 24주차 (6/06~6/12)</v>
      </c>
      <c r="K171" s="6">
        <f>YEAR(C156)</f>
        <v>2022</v>
      </c>
      <c r="L171" s="6">
        <f>WEEKNUM(C156,2)</f>
        <v>24</v>
      </c>
      <c r="O171" s="1" t="str">
        <f t="shared" si="27"/>
        <v>TWW</v>
      </c>
      <c r="P171" s="1" t="s">
        <v>274</v>
      </c>
      <c r="Q171" s="1" t="s">
        <v>121</v>
      </c>
      <c r="R171" s="1" t="s">
        <v>335</v>
      </c>
      <c r="S171" s="1">
        <v>25</v>
      </c>
      <c r="Z171" s="2"/>
      <c r="AA171" t="s">
        <v>730</v>
      </c>
      <c r="AB171" s="1" t="s">
        <v>695</v>
      </c>
      <c r="AS171" s="15" t="s">
        <v>33</v>
      </c>
      <c r="AT171" s="16" t="s">
        <v>735</v>
      </c>
    </row>
    <row r="172" spans="1:46" ht="17.5" thickBot="1" x14ac:dyDescent="0.4">
      <c r="A172" s="6">
        <f t="shared" si="20"/>
        <v>2022</v>
      </c>
      <c r="B172" s="6">
        <f t="shared" si="21"/>
        <v>6</v>
      </c>
      <c r="C172" s="7">
        <v>44725</v>
      </c>
      <c r="D172" s="6">
        <f t="shared" si="22"/>
        <v>1</v>
      </c>
      <c r="E172" s="6">
        <f t="shared" si="23"/>
        <v>25</v>
      </c>
      <c r="F172" s="6">
        <f t="shared" si="24"/>
        <v>2</v>
      </c>
      <c r="G172" s="6" t="str">
        <f t="shared" si="25"/>
        <v>06</v>
      </c>
      <c r="H172" s="6" t="str">
        <f t="shared" si="26"/>
        <v>06월 2주차</v>
      </c>
      <c r="I172" s="6" t="str">
        <f>H172&amp;" ("&amp;TEXT(C172,"m/dd")&amp;"~"&amp;TEXT(C178,"m/dd")&amp;")"</f>
        <v>06월 2주차 (6/13~6/19)</v>
      </c>
      <c r="J172" s="6" t="str">
        <f>A172&amp;"년 "&amp;WEEKNUM(C172,2)&amp;"주차"&amp;" ("&amp;TEXT(C172,"m/dd")&amp;"~"&amp;TEXT(C178,"m/dd")&amp;")"</f>
        <v>2022년 25주차 (6/13~6/19)</v>
      </c>
      <c r="K172" s="6">
        <f>YEAR(C172)</f>
        <v>2022</v>
      </c>
      <c r="L172" s="6">
        <f>WEEKNUM(C172,2)</f>
        <v>25</v>
      </c>
      <c r="O172" s="1" t="str">
        <f t="shared" si="27"/>
        <v>TWZ</v>
      </c>
      <c r="P172" s="1" t="s">
        <v>274</v>
      </c>
      <c r="Q172" s="1" t="s">
        <v>121</v>
      </c>
      <c r="R172" s="1" t="s">
        <v>104</v>
      </c>
      <c r="S172" s="1">
        <v>26</v>
      </c>
      <c r="Z172" s="2"/>
      <c r="AA172" t="s">
        <v>699</v>
      </c>
      <c r="AB172" s="1" t="s">
        <v>695</v>
      </c>
      <c r="AS172" s="15" t="s">
        <v>736</v>
      </c>
      <c r="AT172" s="16" t="s">
        <v>737</v>
      </c>
    </row>
    <row r="173" spans="1:46" ht="17.5" thickBot="1" x14ac:dyDescent="0.4">
      <c r="A173" s="6">
        <f t="shared" si="20"/>
        <v>2022</v>
      </c>
      <c r="B173" s="6">
        <f t="shared" si="21"/>
        <v>6</v>
      </c>
      <c r="C173" s="7">
        <v>44726</v>
      </c>
      <c r="D173" s="6">
        <f t="shared" si="22"/>
        <v>2</v>
      </c>
      <c r="E173" s="6">
        <f t="shared" si="23"/>
        <v>25</v>
      </c>
      <c r="F173" s="6">
        <f t="shared" si="24"/>
        <v>2</v>
      </c>
      <c r="G173" s="6" t="str">
        <f t="shared" si="25"/>
        <v>06</v>
      </c>
      <c r="H173" s="6" t="str">
        <f t="shared" si="26"/>
        <v>06월 2주차</v>
      </c>
      <c r="I173" s="6" t="str">
        <f>H173&amp;" ("&amp;TEXT(C172,"m/dd")&amp;"~"&amp;TEXT(C178,"m/dd")&amp;")"</f>
        <v>06월 2주차 (6/13~6/19)</v>
      </c>
      <c r="J173" s="6" t="str">
        <f>A172&amp;"년 "&amp;WEEKNUM(C172,2)&amp;"주차"&amp;" ("&amp;TEXT(C172,"m/dd")&amp;"~"&amp;TEXT(C178,"m/dd")&amp;")"</f>
        <v>2022년 25주차 (6/13~6/19)</v>
      </c>
      <c r="K173" s="6">
        <f>YEAR(C172)</f>
        <v>2022</v>
      </c>
      <c r="L173" s="6">
        <f>WEEKNUM(C172,2)</f>
        <v>25</v>
      </c>
      <c r="O173" s="1" t="str">
        <f t="shared" si="27"/>
        <v>TWV</v>
      </c>
      <c r="P173" s="1" t="s">
        <v>274</v>
      </c>
      <c r="Q173" s="1" t="s">
        <v>121</v>
      </c>
      <c r="R173" s="1" t="s">
        <v>328</v>
      </c>
      <c r="S173" s="1">
        <v>27</v>
      </c>
      <c r="Z173" s="2"/>
      <c r="AA173" t="s">
        <v>100</v>
      </c>
      <c r="AB173" s="1" t="s">
        <v>695</v>
      </c>
      <c r="AS173" s="15" t="s">
        <v>534</v>
      </c>
      <c r="AT173" s="16" t="s">
        <v>738</v>
      </c>
    </row>
    <row r="174" spans="1:46" ht="17.5" thickBot="1" x14ac:dyDescent="0.4">
      <c r="A174" s="6">
        <f t="shared" si="20"/>
        <v>2022</v>
      </c>
      <c r="B174" s="6">
        <f t="shared" si="21"/>
        <v>6</v>
      </c>
      <c r="C174" s="7">
        <v>44727</v>
      </c>
      <c r="D174" s="6">
        <f t="shared" si="22"/>
        <v>3</v>
      </c>
      <c r="E174" s="6">
        <f t="shared" si="23"/>
        <v>25</v>
      </c>
      <c r="F174" s="6">
        <f t="shared" si="24"/>
        <v>2</v>
      </c>
      <c r="G174" s="6" t="str">
        <f t="shared" si="25"/>
        <v>06</v>
      </c>
      <c r="H174" s="6" t="str">
        <f t="shared" si="26"/>
        <v>06월 2주차</v>
      </c>
      <c r="I174" s="6" t="str">
        <f>H174&amp;" ("&amp;TEXT(C172,"m/dd")&amp;"~"&amp;TEXT(C178,"m/dd")&amp;")"</f>
        <v>06월 2주차 (6/13~6/19)</v>
      </c>
      <c r="J174" s="6" t="str">
        <f>A172&amp;"년 "&amp;WEEKNUM(C172,2)&amp;"주차"&amp;" ("&amp;TEXT(C172,"m/dd")&amp;"~"&amp;TEXT(C178,"m/dd")&amp;")"</f>
        <v>2022년 25주차 (6/13~6/19)</v>
      </c>
      <c r="K174" s="6">
        <f>YEAR(C172)</f>
        <v>2022</v>
      </c>
      <c r="L174" s="6">
        <f>WEEKNUM(C172,2)</f>
        <v>25</v>
      </c>
      <c r="O174" s="1" t="str">
        <f t="shared" si="27"/>
        <v>TWS</v>
      </c>
      <c r="P174" s="1" t="s">
        <v>274</v>
      </c>
      <c r="Q174" s="1" t="s">
        <v>121</v>
      </c>
      <c r="R174" s="1" t="s">
        <v>145</v>
      </c>
      <c r="S174" s="1">
        <v>28</v>
      </c>
      <c r="Z174" s="2"/>
      <c r="AA174" t="s">
        <v>606</v>
      </c>
      <c r="AB174" s="1" t="s">
        <v>695</v>
      </c>
      <c r="AS174" s="15" t="s">
        <v>537</v>
      </c>
      <c r="AT174" s="16" t="s">
        <v>739</v>
      </c>
    </row>
    <row r="175" spans="1:46" ht="17.5" thickBot="1" x14ac:dyDescent="0.4">
      <c r="A175" s="6">
        <f t="shared" si="20"/>
        <v>2022</v>
      </c>
      <c r="B175" s="6">
        <f t="shared" si="21"/>
        <v>6</v>
      </c>
      <c r="C175" s="7">
        <v>44728</v>
      </c>
      <c r="D175" s="6">
        <f t="shared" si="22"/>
        <v>4</v>
      </c>
      <c r="E175" s="6">
        <f t="shared" si="23"/>
        <v>25</v>
      </c>
      <c r="F175" s="6">
        <f t="shared" si="24"/>
        <v>2</v>
      </c>
      <c r="G175" s="6" t="str">
        <f t="shared" si="25"/>
        <v>06</v>
      </c>
      <c r="H175" s="6" t="str">
        <f t="shared" si="26"/>
        <v>06월 2주차</v>
      </c>
      <c r="I175" s="6" t="str">
        <f>H175&amp;" ("&amp;TEXT(C172,"m/dd")&amp;"~"&amp;TEXT(C178,"m/dd")&amp;")"</f>
        <v>06월 2주차 (6/13~6/19)</v>
      </c>
      <c r="J175" s="6" t="str">
        <f>A172&amp;"년 "&amp;WEEKNUM(C172,2)&amp;"주차"&amp;" ("&amp;TEXT(C172,"m/dd")&amp;"~"&amp;TEXT(C178,"m/dd")&amp;")"</f>
        <v>2022년 25주차 (6/13~6/19)</v>
      </c>
      <c r="K175" s="6">
        <f>YEAR(C172)</f>
        <v>2022</v>
      </c>
      <c r="L175" s="6">
        <f>WEEKNUM(C172,2)</f>
        <v>25</v>
      </c>
      <c r="O175" s="1" t="str">
        <f t="shared" si="27"/>
        <v>TWP</v>
      </c>
      <c r="P175" s="1" t="s">
        <v>274</v>
      </c>
      <c r="Q175" s="1" t="s">
        <v>121</v>
      </c>
      <c r="R175" s="1" t="s">
        <v>31</v>
      </c>
      <c r="S175" s="1">
        <v>29</v>
      </c>
      <c r="Z175" s="2"/>
      <c r="AA175" t="s">
        <v>610</v>
      </c>
      <c r="AB175" s="1" t="s">
        <v>695</v>
      </c>
      <c r="AS175" s="15" t="s">
        <v>541</v>
      </c>
      <c r="AT175" s="16" t="s">
        <v>740</v>
      </c>
    </row>
    <row r="176" spans="1:46" ht="17.5" thickBot="1" x14ac:dyDescent="0.4">
      <c r="A176" s="6">
        <f t="shared" si="20"/>
        <v>2022</v>
      </c>
      <c r="B176" s="6">
        <f t="shared" si="21"/>
        <v>6</v>
      </c>
      <c r="C176" s="7">
        <v>44729</v>
      </c>
      <c r="D176" s="6">
        <f t="shared" si="22"/>
        <v>5</v>
      </c>
      <c r="E176" s="6">
        <f t="shared" si="23"/>
        <v>25</v>
      </c>
      <c r="F176" s="6">
        <f t="shared" si="24"/>
        <v>2</v>
      </c>
      <c r="G176" s="6" t="str">
        <f t="shared" si="25"/>
        <v>06</v>
      </c>
      <c r="H176" s="6" t="str">
        <f t="shared" si="26"/>
        <v>06월 2주차</v>
      </c>
      <c r="I176" s="6" t="str">
        <f>H176&amp;" ("&amp;TEXT(C172,"m/dd")&amp;"~"&amp;TEXT(C178,"m/dd")&amp;")"</f>
        <v>06월 2주차 (6/13~6/19)</v>
      </c>
      <c r="J176" s="6" t="str">
        <f>A172&amp;"년 "&amp;WEEKNUM(C172,2)&amp;"주차"&amp;" ("&amp;TEXT(C172,"m/dd")&amp;"~"&amp;TEXT(C178,"m/dd")&amp;")"</f>
        <v>2022년 25주차 (6/13~6/19)</v>
      </c>
      <c r="K176" s="6">
        <f>YEAR(C172)</f>
        <v>2022</v>
      </c>
      <c r="L176" s="6">
        <f>WEEKNUM(C172,2)</f>
        <v>25</v>
      </c>
      <c r="O176" s="1" t="str">
        <f t="shared" si="27"/>
        <v>TWO</v>
      </c>
      <c r="P176" s="1" t="s">
        <v>274</v>
      </c>
      <c r="Q176" s="1" t="s">
        <v>121</v>
      </c>
      <c r="R176" s="1" t="s">
        <v>112</v>
      </c>
      <c r="S176" s="1">
        <v>30</v>
      </c>
      <c r="Z176" s="2"/>
      <c r="AA176" t="s">
        <v>75</v>
      </c>
      <c r="AB176" s="1" t="s">
        <v>695</v>
      </c>
      <c r="AS176" s="15" t="s">
        <v>715</v>
      </c>
      <c r="AT176" s="16" t="s">
        <v>741</v>
      </c>
    </row>
    <row r="177" spans="1:46" ht="17.5" thickBot="1" x14ac:dyDescent="0.4">
      <c r="A177" s="6">
        <f t="shared" si="20"/>
        <v>2022</v>
      </c>
      <c r="B177" s="6">
        <f t="shared" si="21"/>
        <v>6</v>
      </c>
      <c r="C177" s="7">
        <v>44730</v>
      </c>
      <c r="D177" s="6">
        <f t="shared" si="22"/>
        <v>6</v>
      </c>
      <c r="E177" s="6">
        <f t="shared" si="23"/>
        <v>25</v>
      </c>
      <c r="F177" s="6">
        <f t="shared" si="24"/>
        <v>2</v>
      </c>
      <c r="G177" s="6" t="str">
        <f t="shared" si="25"/>
        <v>06</v>
      </c>
      <c r="H177" s="6" t="str">
        <f t="shared" si="26"/>
        <v>06월 2주차</v>
      </c>
      <c r="I177" s="6" t="str">
        <f>H177&amp;" ("&amp;TEXT(C172,"m/dd")&amp;"~"&amp;TEXT(C178,"m/dd")&amp;")"</f>
        <v>06월 2주차 (6/13~6/19)</v>
      </c>
      <c r="J177" s="6" t="str">
        <f>A172&amp;"년 "&amp;WEEKNUM(C172,2)&amp;"주차"&amp;" ("&amp;TEXT(C172,"m/dd")&amp;"~"&amp;TEXT(C178,"m/dd")&amp;")"</f>
        <v>2022년 25주차 (6/13~6/19)</v>
      </c>
      <c r="K177" s="6">
        <f>YEAR(C172)</f>
        <v>2022</v>
      </c>
      <c r="L177" s="6">
        <f>WEEKNUM(C172,2)</f>
        <v>25</v>
      </c>
      <c r="O177" s="1" t="str">
        <f t="shared" si="27"/>
        <v>TWN</v>
      </c>
      <c r="P177" s="1" t="s">
        <v>274</v>
      </c>
      <c r="Q177" s="1" t="s">
        <v>121</v>
      </c>
      <c r="R177" s="1" t="s">
        <v>198</v>
      </c>
      <c r="S177" s="1">
        <v>31</v>
      </c>
      <c r="Z177" s="2"/>
      <c r="AA177" t="s">
        <v>742</v>
      </c>
      <c r="AB177" s="1" t="s">
        <v>695</v>
      </c>
      <c r="AS177" s="15" t="s">
        <v>179</v>
      </c>
      <c r="AT177" s="16" t="s">
        <v>743</v>
      </c>
    </row>
    <row r="178" spans="1:46" ht="17.5" thickBot="1" x14ac:dyDescent="0.4">
      <c r="A178" s="6">
        <f t="shared" si="20"/>
        <v>2022</v>
      </c>
      <c r="B178" s="6">
        <f t="shared" si="21"/>
        <v>6</v>
      </c>
      <c r="C178" s="7">
        <v>44731</v>
      </c>
      <c r="D178" s="6">
        <f t="shared" si="22"/>
        <v>7</v>
      </c>
      <c r="E178" s="6">
        <f t="shared" si="23"/>
        <v>25</v>
      </c>
      <c r="F178" s="6">
        <f t="shared" si="24"/>
        <v>2</v>
      </c>
      <c r="G178" s="6" t="str">
        <f t="shared" si="25"/>
        <v>06</v>
      </c>
      <c r="H178" s="6" t="str">
        <f t="shared" si="26"/>
        <v>06월 2주차</v>
      </c>
      <c r="I178" s="6" t="str">
        <f>H178&amp;" ("&amp;TEXT(C172,"m/dd")&amp;"~"&amp;TEXT(C178,"m/dd")&amp;")"</f>
        <v>06월 2주차 (6/13~6/19)</v>
      </c>
      <c r="J178" s="6" t="str">
        <f>A172&amp;"년 "&amp;WEEKNUM(C172,2)&amp;"주차"&amp;" ("&amp;TEXT(C172,"m/dd")&amp;"~"&amp;TEXT(C178,"m/dd")&amp;")"</f>
        <v>2022년 25주차 (6/13~6/19)</v>
      </c>
      <c r="K178" s="6">
        <f>YEAR(C172)</f>
        <v>2022</v>
      </c>
      <c r="L178" s="6">
        <f>WEEKNUM(C172,2)</f>
        <v>25</v>
      </c>
      <c r="O178" s="1" t="str">
        <f t="shared" si="27"/>
        <v>TWM</v>
      </c>
      <c r="P178" s="1" t="s">
        <v>274</v>
      </c>
      <c r="Q178" s="1" t="s">
        <v>121</v>
      </c>
      <c r="R178" s="1" t="s">
        <v>137</v>
      </c>
      <c r="S178" s="1">
        <v>32</v>
      </c>
      <c r="Z178" s="2"/>
      <c r="AA178" t="s">
        <v>744</v>
      </c>
      <c r="AB178" s="1" t="s">
        <v>695</v>
      </c>
      <c r="AS178" s="15" t="s">
        <v>745</v>
      </c>
      <c r="AT178" s="16" t="s">
        <v>746</v>
      </c>
    </row>
    <row r="179" spans="1:46" ht="17.5" thickBot="1" x14ac:dyDescent="0.4">
      <c r="A179" s="6">
        <f t="shared" si="20"/>
        <v>2022</v>
      </c>
      <c r="B179" s="6">
        <f t="shared" si="21"/>
        <v>6</v>
      </c>
      <c r="C179" s="7">
        <v>44732</v>
      </c>
      <c r="D179" s="6">
        <f t="shared" si="22"/>
        <v>1</v>
      </c>
      <c r="E179" s="6">
        <f t="shared" si="23"/>
        <v>26</v>
      </c>
      <c r="F179" s="6">
        <f t="shared" si="24"/>
        <v>3</v>
      </c>
      <c r="G179" s="6" t="str">
        <f t="shared" si="25"/>
        <v>06</v>
      </c>
      <c r="H179" s="6" t="str">
        <f t="shared" si="26"/>
        <v>06월 3주차</v>
      </c>
      <c r="I179" s="6" t="str">
        <f>H179&amp;" ("&amp;TEXT(C179,"m/dd")&amp;"~"&amp;TEXT(C185,"m/dd")&amp;")"</f>
        <v>06월 3주차 (6/20~6/26)</v>
      </c>
      <c r="J179" s="6" t="str">
        <f>A179&amp;"년 "&amp;WEEKNUM(C179,2)&amp;"주차"&amp;" ("&amp;TEXT(C179,"m/dd")&amp;"~"&amp;TEXT(C185,"m/dd")&amp;")"</f>
        <v>2022년 26주차 (6/20~6/26)</v>
      </c>
      <c r="K179" s="6">
        <f>YEAR(C179)</f>
        <v>2022</v>
      </c>
      <c r="L179" s="6">
        <f>WEEKNUM(C179,2)</f>
        <v>26</v>
      </c>
      <c r="O179" s="1" t="str">
        <f t="shared" si="27"/>
        <v>TWL</v>
      </c>
      <c r="P179" s="1" t="s">
        <v>274</v>
      </c>
      <c r="Q179" s="1" t="s">
        <v>121</v>
      </c>
      <c r="R179" s="1" t="s">
        <v>178</v>
      </c>
      <c r="S179" s="1">
        <v>33</v>
      </c>
      <c r="Z179" s="2"/>
      <c r="AA179" s="25" t="s">
        <v>747</v>
      </c>
      <c r="AB179" s="1" t="s">
        <v>695</v>
      </c>
      <c r="AS179" s="15" t="s">
        <v>395</v>
      </c>
      <c r="AT179" s="16" t="s">
        <v>748</v>
      </c>
    </row>
    <row r="180" spans="1:46" ht="17.5" thickBot="1" x14ac:dyDescent="0.4">
      <c r="A180" s="6">
        <f t="shared" si="20"/>
        <v>2022</v>
      </c>
      <c r="B180" s="6">
        <f t="shared" si="21"/>
        <v>6</v>
      </c>
      <c r="C180" s="7">
        <v>44733</v>
      </c>
      <c r="D180" s="6">
        <f t="shared" si="22"/>
        <v>2</v>
      </c>
      <c r="E180" s="6">
        <f t="shared" si="23"/>
        <v>26</v>
      </c>
      <c r="F180" s="6">
        <f t="shared" si="24"/>
        <v>3</v>
      </c>
      <c r="G180" s="6" t="str">
        <f t="shared" si="25"/>
        <v>06</v>
      </c>
      <c r="H180" s="6" t="str">
        <f t="shared" si="26"/>
        <v>06월 3주차</v>
      </c>
      <c r="I180" s="6" t="str">
        <f>H180&amp;" ("&amp;TEXT(C179,"m/dd")&amp;"~"&amp;TEXT(C185,"m/dd")&amp;")"</f>
        <v>06월 3주차 (6/20~6/26)</v>
      </c>
      <c r="J180" s="6" t="str">
        <f>A179&amp;"년 "&amp;WEEKNUM(C179,2)&amp;"주차"&amp;" ("&amp;TEXT(C179,"m/dd")&amp;"~"&amp;TEXT(C185,"m/dd")&amp;")"</f>
        <v>2022년 26주차 (6/20~6/26)</v>
      </c>
      <c r="K180" s="6">
        <f>YEAR(C179)</f>
        <v>2022</v>
      </c>
      <c r="L180" s="6">
        <f>WEEKNUM(C179,2)</f>
        <v>26</v>
      </c>
      <c r="O180" s="1" t="str">
        <f t="shared" si="27"/>
        <v>TWK</v>
      </c>
      <c r="P180" s="1" t="s">
        <v>274</v>
      </c>
      <c r="Q180" s="1" t="s">
        <v>121</v>
      </c>
      <c r="R180" s="1" t="s">
        <v>171</v>
      </c>
      <c r="S180" s="1">
        <v>34</v>
      </c>
      <c r="Z180" s="2"/>
      <c r="AA180" s="8"/>
      <c r="AS180" s="15" t="s">
        <v>749</v>
      </c>
      <c r="AT180" s="16" t="s">
        <v>750</v>
      </c>
    </row>
    <row r="181" spans="1:46" ht="17.5" thickBot="1" x14ac:dyDescent="0.4">
      <c r="A181" s="6">
        <f t="shared" si="20"/>
        <v>2022</v>
      </c>
      <c r="B181" s="6">
        <f t="shared" si="21"/>
        <v>6</v>
      </c>
      <c r="C181" s="7">
        <v>44734</v>
      </c>
      <c r="D181" s="6">
        <f t="shared" si="22"/>
        <v>3</v>
      </c>
      <c r="E181" s="6">
        <f t="shared" si="23"/>
        <v>26</v>
      </c>
      <c r="F181" s="6">
        <f t="shared" si="24"/>
        <v>3</v>
      </c>
      <c r="G181" s="6" t="str">
        <f t="shared" si="25"/>
        <v>06</v>
      </c>
      <c r="H181" s="6" t="str">
        <f t="shared" si="26"/>
        <v>06월 3주차</v>
      </c>
      <c r="I181" s="6" t="str">
        <f>H181&amp;" ("&amp;TEXT(C179,"m/dd")&amp;"~"&amp;TEXT(C185,"m/dd")&amp;")"</f>
        <v>06월 3주차 (6/20~6/26)</v>
      </c>
      <c r="J181" s="6" t="str">
        <f>A179&amp;"년 "&amp;WEEKNUM(C179,2)&amp;"주차"&amp;" ("&amp;TEXT(C179,"m/dd")&amp;"~"&amp;TEXT(C185,"m/dd")&amp;")"</f>
        <v>2022년 26주차 (6/20~6/26)</v>
      </c>
      <c r="K181" s="6">
        <f>YEAR(C179)</f>
        <v>2022</v>
      </c>
      <c r="L181" s="6">
        <f>WEEKNUM(C179,2)</f>
        <v>26</v>
      </c>
      <c r="O181" s="1" t="str">
        <f t="shared" si="27"/>
        <v>TWH</v>
      </c>
      <c r="P181" s="1" t="s">
        <v>274</v>
      </c>
      <c r="Q181" s="1" t="s">
        <v>121</v>
      </c>
      <c r="R181" s="1" t="s">
        <v>154</v>
      </c>
      <c r="S181" s="1">
        <v>35</v>
      </c>
      <c r="Z181" s="2"/>
      <c r="AA181" s="8"/>
      <c r="AS181" s="15" t="s">
        <v>751</v>
      </c>
      <c r="AT181" s="16" t="s">
        <v>752</v>
      </c>
    </row>
    <row r="182" spans="1:46" ht="17.5" thickBot="1" x14ac:dyDescent="0.4">
      <c r="A182" s="6">
        <f t="shared" si="20"/>
        <v>2022</v>
      </c>
      <c r="B182" s="6">
        <f t="shared" si="21"/>
        <v>6</v>
      </c>
      <c r="C182" s="7">
        <v>44735</v>
      </c>
      <c r="D182" s="6">
        <f t="shared" si="22"/>
        <v>4</v>
      </c>
      <c r="E182" s="6">
        <f t="shared" si="23"/>
        <v>26</v>
      </c>
      <c r="F182" s="6">
        <f t="shared" si="24"/>
        <v>3</v>
      </c>
      <c r="G182" s="6" t="str">
        <f t="shared" si="25"/>
        <v>06</v>
      </c>
      <c r="H182" s="6" t="str">
        <f t="shared" si="26"/>
        <v>06월 3주차</v>
      </c>
      <c r="I182" s="6" t="str">
        <f>H182&amp;" ("&amp;TEXT(C179,"m/dd")&amp;"~"&amp;TEXT(C185,"m/dd")&amp;")"</f>
        <v>06월 3주차 (6/20~6/26)</v>
      </c>
      <c r="J182" s="6" t="str">
        <f>A179&amp;"년 "&amp;WEEKNUM(C179,2)&amp;"주차"&amp;" ("&amp;TEXT(C179,"m/dd")&amp;"~"&amp;TEXT(C185,"m/dd")&amp;")"</f>
        <v>2022년 26주차 (6/20~6/26)</v>
      </c>
      <c r="K182" s="6">
        <f>YEAR(C179)</f>
        <v>2022</v>
      </c>
      <c r="L182" s="6">
        <f>WEEKNUM(C179,2)</f>
        <v>26</v>
      </c>
      <c r="O182" s="1" t="str">
        <f t="shared" si="27"/>
        <v>TWD</v>
      </c>
      <c r="P182" s="1" t="s">
        <v>274</v>
      </c>
      <c r="Q182" s="1" t="s">
        <v>121</v>
      </c>
      <c r="R182" s="1" t="s">
        <v>78</v>
      </c>
      <c r="S182" s="1">
        <v>36</v>
      </c>
      <c r="Z182" s="2"/>
      <c r="AA182" s="8"/>
      <c r="AS182" s="15" t="s">
        <v>515</v>
      </c>
      <c r="AT182" s="16" t="s">
        <v>753</v>
      </c>
    </row>
    <row r="183" spans="1:46" ht="31.5" thickBot="1" x14ac:dyDescent="0.4">
      <c r="A183" s="6">
        <f t="shared" si="20"/>
        <v>2022</v>
      </c>
      <c r="B183" s="6">
        <f t="shared" si="21"/>
        <v>6</v>
      </c>
      <c r="C183" s="7">
        <v>44736</v>
      </c>
      <c r="D183" s="6">
        <f t="shared" si="22"/>
        <v>5</v>
      </c>
      <c r="E183" s="6">
        <f t="shared" si="23"/>
        <v>26</v>
      </c>
      <c r="F183" s="6">
        <f t="shared" si="24"/>
        <v>3</v>
      </c>
      <c r="G183" s="6" t="str">
        <f t="shared" si="25"/>
        <v>06</v>
      </c>
      <c r="H183" s="6" t="str">
        <f t="shared" si="26"/>
        <v>06월 3주차</v>
      </c>
      <c r="I183" s="6" t="str">
        <f>H183&amp;" ("&amp;TEXT(C179,"m/dd")&amp;"~"&amp;TEXT(C185,"m/dd")&amp;")"</f>
        <v>06월 3주차 (6/20~6/26)</v>
      </c>
      <c r="J183" s="6" t="str">
        <f>A179&amp;"년 "&amp;WEEKNUM(C179,2)&amp;"주차"&amp;" ("&amp;TEXT(C179,"m/dd")&amp;"~"&amp;TEXT(C185,"m/dd")&amp;")"</f>
        <v>2022년 26주차 (6/20~6/26)</v>
      </c>
      <c r="K183" s="6">
        <f>YEAR(C179)</f>
        <v>2022</v>
      </c>
      <c r="L183" s="6">
        <f>WEEKNUM(C179,2)</f>
        <v>26</v>
      </c>
      <c r="O183" s="1" t="str">
        <f t="shared" si="27"/>
        <v>TWB</v>
      </c>
      <c r="P183" s="1" t="s">
        <v>274</v>
      </c>
      <c r="Q183" s="1" t="s">
        <v>121</v>
      </c>
      <c r="R183" s="1" t="s">
        <v>129</v>
      </c>
      <c r="S183" s="1">
        <v>37</v>
      </c>
      <c r="Z183" s="2"/>
      <c r="AA183" s="8"/>
      <c r="AS183" s="15" t="s">
        <v>430</v>
      </c>
      <c r="AT183" s="16" t="s">
        <v>754</v>
      </c>
    </row>
    <row r="184" spans="1:46" ht="17.5" thickBot="1" x14ac:dyDescent="0.4">
      <c r="A184" s="6">
        <f t="shared" si="20"/>
        <v>2022</v>
      </c>
      <c r="B184" s="6">
        <f t="shared" si="21"/>
        <v>6</v>
      </c>
      <c r="C184" s="7">
        <v>44737</v>
      </c>
      <c r="D184" s="6">
        <f t="shared" si="22"/>
        <v>6</v>
      </c>
      <c r="E184" s="6">
        <f t="shared" si="23"/>
        <v>26</v>
      </c>
      <c r="F184" s="6">
        <f t="shared" si="24"/>
        <v>3</v>
      </c>
      <c r="G184" s="6" t="str">
        <f t="shared" si="25"/>
        <v>06</v>
      </c>
      <c r="H184" s="6" t="str">
        <f t="shared" si="26"/>
        <v>06월 3주차</v>
      </c>
      <c r="I184" s="6" t="str">
        <f>H184&amp;" ("&amp;TEXT(C179,"m/dd")&amp;"~"&amp;TEXT(C185,"m/dd")&amp;")"</f>
        <v>06월 3주차 (6/20~6/26)</v>
      </c>
      <c r="J184" s="6" t="str">
        <f>A179&amp;"년 "&amp;WEEKNUM(C179,2)&amp;"주차"&amp;" ("&amp;TEXT(C179,"m/dd")&amp;"~"&amp;TEXT(C185,"m/dd")&amp;")"</f>
        <v>2022년 26주차 (6/20~6/26)</v>
      </c>
      <c r="K184" s="6">
        <f>YEAR(C179)</f>
        <v>2022</v>
      </c>
      <c r="L184" s="6">
        <f>WEEKNUM(C179,2)</f>
        <v>26</v>
      </c>
      <c r="O184" s="1" t="str">
        <f t="shared" si="27"/>
        <v>TWA</v>
      </c>
      <c r="P184" s="1" t="s">
        <v>274</v>
      </c>
      <c r="Q184" s="1" t="s">
        <v>121</v>
      </c>
      <c r="R184" s="1" t="s">
        <v>52</v>
      </c>
      <c r="S184" s="1">
        <v>38</v>
      </c>
      <c r="Z184" s="8" t="s">
        <v>755</v>
      </c>
      <c r="AA184" s="8" t="s">
        <v>756</v>
      </c>
      <c r="AB184" s="1" t="s">
        <v>695</v>
      </c>
      <c r="AS184" s="15" t="s">
        <v>757</v>
      </c>
      <c r="AT184" s="16" t="s">
        <v>274</v>
      </c>
    </row>
    <row r="185" spans="1:46" ht="17.5" thickBot="1" x14ac:dyDescent="0.4">
      <c r="A185" s="6">
        <f t="shared" si="20"/>
        <v>2022</v>
      </c>
      <c r="B185" s="6">
        <f t="shared" si="21"/>
        <v>6</v>
      </c>
      <c r="C185" s="7">
        <v>44738</v>
      </c>
      <c r="D185" s="6">
        <f t="shared" si="22"/>
        <v>7</v>
      </c>
      <c r="E185" s="6">
        <f t="shared" si="23"/>
        <v>26</v>
      </c>
      <c r="F185" s="6">
        <f t="shared" si="24"/>
        <v>3</v>
      </c>
      <c r="G185" s="6" t="str">
        <f t="shared" si="25"/>
        <v>06</v>
      </c>
      <c r="H185" s="6" t="str">
        <f t="shared" si="26"/>
        <v>06월 3주차</v>
      </c>
      <c r="I185" s="6" t="str">
        <f>H185&amp;" ("&amp;TEXT(C179,"m/dd")&amp;"~"&amp;TEXT(C185,"m/dd")&amp;")"</f>
        <v>06월 3주차 (6/20~6/26)</v>
      </c>
      <c r="J185" s="6" t="str">
        <f>A179&amp;"년 "&amp;WEEKNUM(C179,2)&amp;"주차"&amp;" ("&amp;TEXT(C179,"m/dd")&amp;"~"&amp;TEXT(C185,"m/dd")&amp;")"</f>
        <v>2022년 26주차 (6/20~6/26)</v>
      </c>
      <c r="K185" s="6">
        <f>YEAR(C179)</f>
        <v>2022</v>
      </c>
      <c r="L185" s="6">
        <f>WEEKNUM(C179,2)</f>
        <v>26</v>
      </c>
      <c r="O185" s="1" t="str">
        <f t="shared" si="27"/>
        <v>TWI</v>
      </c>
      <c r="P185" s="1" t="s">
        <v>274</v>
      </c>
      <c r="Q185" s="1" t="s">
        <v>121</v>
      </c>
      <c r="R185" s="1" t="s">
        <v>86</v>
      </c>
      <c r="S185" s="1">
        <v>39</v>
      </c>
      <c r="Z185" s="2"/>
      <c r="AA185" s="8" t="s">
        <v>523</v>
      </c>
      <c r="AB185" s="1" t="s">
        <v>695</v>
      </c>
      <c r="AS185" s="15" t="s">
        <v>307</v>
      </c>
      <c r="AT185" s="16" t="s">
        <v>758</v>
      </c>
    </row>
    <row r="186" spans="1:46" ht="17.5" thickBot="1" x14ac:dyDescent="0.4">
      <c r="A186" s="6">
        <f t="shared" si="20"/>
        <v>2022</v>
      </c>
      <c r="B186" s="6">
        <f t="shared" si="21"/>
        <v>6</v>
      </c>
      <c r="C186" s="7">
        <v>44739</v>
      </c>
      <c r="D186" s="6">
        <f t="shared" si="22"/>
        <v>1</v>
      </c>
      <c r="E186" s="6">
        <f t="shared" si="23"/>
        <v>27</v>
      </c>
      <c r="F186" s="6">
        <f t="shared" si="24"/>
        <v>4</v>
      </c>
      <c r="G186" s="6" t="str">
        <f t="shared" si="25"/>
        <v>06</v>
      </c>
      <c r="H186" s="6" t="str">
        <f t="shared" si="26"/>
        <v>06월 4주차</v>
      </c>
      <c r="I186" s="6" t="str">
        <f>H186&amp;" ("&amp;TEXT(C186,"m/dd")&amp;"~"&amp;TEXT(C192,"m/dd")&amp;")"</f>
        <v>06월 4주차 (6/27~7/03)</v>
      </c>
      <c r="J186" s="6" t="str">
        <f>A186&amp;"년 "&amp;WEEKNUM(C186,2)&amp;"주차"&amp;" ("&amp;TEXT(C186,"m/dd")&amp;"~"&amp;TEXT(C192,"m/dd")&amp;")"</f>
        <v>2022년 27주차 (6/27~7/03)</v>
      </c>
      <c r="K186" s="6">
        <f>YEAR(C186)</f>
        <v>2022</v>
      </c>
      <c r="L186" s="6">
        <f>WEEKNUM(C186,2)</f>
        <v>27</v>
      </c>
      <c r="O186" s="1" t="str">
        <f t="shared" si="27"/>
        <v>TWG</v>
      </c>
      <c r="P186" s="1" t="s">
        <v>274</v>
      </c>
      <c r="Q186" s="1" t="s">
        <v>121</v>
      </c>
      <c r="R186" s="1" t="s">
        <v>211</v>
      </c>
      <c r="S186" s="1">
        <v>40</v>
      </c>
      <c r="Z186" s="2"/>
      <c r="AA186" s="8" t="s">
        <v>759</v>
      </c>
      <c r="AB186" s="1" t="s">
        <v>695</v>
      </c>
      <c r="AS186" s="15" t="s">
        <v>760</v>
      </c>
      <c r="AT186" s="16" t="s">
        <v>761</v>
      </c>
    </row>
    <row r="187" spans="1:46" ht="17.5" thickBot="1" x14ac:dyDescent="0.4">
      <c r="A187" s="6">
        <f t="shared" si="20"/>
        <v>2022</v>
      </c>
      <c r="B187" s="6">
        <f t="shared" si="21"/>
        <v>6</v>
      </c>
      <c r="C187" s="7">
        <v>44740</v>
      </c>
      <c r="D187" s="6">
        <f t="shared" si="22"/>
        <v>2</v>
      </c>
      <c r="E187" s="6">
        <f t="shared" si="23"/>
        <v>27</v>
      </c>
      <c r="F187" s="6">
        <f t="shared" si="24"/>
        <v>4</v>
      </c>
      <c r="G187" s="6" t="str">
        <f t="shared" si="25"/>
        <v>06</v>
      </c>
      <c r="H187" s="6" t="str">
        <f t="shared" si="26"/>
        <v>06월 4주차</v>
      </c>
      <c r="I187" s="6" t="str">
        <f>H187&amp;" ("&amp;TEXT(C186,"m/dd")&amp;"~"&amp;TEXT(C192,"m/dd")&amp;")"</f>
        <v>06월 4주차 (6/27~7/03)</v>
      </c>
      <c r="J187" s="6" t="str">
        <f>A186&amp;"년 "&amp;WEEKNUM(C186,2)&amp;"주차"&amp;" ("&amp;TEXT(C186,"m/dd")&amp;"~"&amp;TEXT(C192,"m/dd")&amp;")"</f>
        <v>2022년 27주차 (6/27~7/03)</v>
      </c>
      <c r="K187" s="6">
        <f>YEAR(C186)</f>
        <v>2022</v>
      </c>
      <c r="L187" s="6">
        <f>WEEKNUM(C186,2)</f>
        <v>27</v>
      </c>
      <c r="O187" s="1" t="str">
        <f t="shared" si="27"/>
        <v>TWJ</v>
      </c>
      <c r="P187" s="1" t="s">
        <v>274</v>
      </c>
      <c r="Q187" s="1" t="s">
        <v>121</v>
      </c>
      <c r="R187" s="1" t="s">
        <v>61</v>
      </c>
      <c r="S187" s="1">
        <v>41</v>
      </c>
      <c r="Z187" s="2"/>
      <c r="AA187" s="8" t="s">
        <v>693</v>
      </c>
      <c r="AB187" s="1" t="s">
        <v>695</v>
      </c>
      <c r="AS187" s="15" t="s">
        <v>155</v>
      </c>
      <c r="AT187" s="16" t="s">
        <v>762</v>
      </c>
    </row>
    <row r="188" spans="1:46" ht="17.5" thickBot="1" x14ac:dyDescent="0.4">
      <c r="A188" s="6">
        <f t="shared" si="20"/>
        <v>2022</v>
      </c>
      <c r="B188" s="6">
        <f t="shared" si="21"/>
        <v>6</v>
      </c>
      <c r="C188" s="7">
        <v>44741</v>
      </c>
      <c r="D188" s="6">
        <f t="shared" si="22"/>
        <v>3</v>
      </c>
      <c r="E188" s="6">
        <f t="shared" si="23"/>
        <v>27</v>
      </c>
      <c r="F188" s="6">
        <f t="shared" si="24"/>
        <v>4</v>
      </c>
      <c r="G188" s="6" t="str">
        <f t="shared" si="25"/>
        <v>06</v>
      </c>
      <c r="H188" s="6" t="str">
        <f t="shared" si="26"/>
        <v>06월 4주차</v>
      </c>
      <c r="I188" s="6" t="str">
        <f>H188&amp;" ("&amp;TEXT(C186,"m/dd")&amp;"~"&amp;TEXT(C192,"m/dd")&amp;")"</f>
        <v>06월 4주차 (6/27~7/03)</v>
      </c>
      <c r="J188" s="6" t="str">
        <f>A186&amp;"년 "&amp;WEEKNUM(C186,2)&amp;"주차"&amp;" ("&amp;TEXT(C186,"m/dd")&amp;"~"&amp;TEXT(C192,"m/dd")&amp;")"</f>
        <v>2022년 27주차 (6/27~7/03)</v>
      </c>
      <c r="K188" s="6">
        <f>YEAR(C186)</f>
        <v>2022</v>
      </c>
      <c r="L188" s="6">
        <f>WEEKNUM(C186,2)</f>
        <v>27</v>
      </c>
      <c r="O188" s="1" t="str">
        <f t="shared" si="27"/>
        <v>TWQ</v>
      </c>
      <c r="P188" s="1" t="s">
        <v>274</v>
      </c>
      <c r="Q188" s="1" t="s">
        <v>121</v>
      </c>
      <c r="R188" s="1" t="s">
        <v>191</v>
      </c>
      <c r="S188" s="1">
        <v>42</v>
      </c>
      <c r="Z188" s="2"/>
      <c r="AA188" s="8" t="s">
        <v>711</v>
      </c>
      <c r="AB188" s="1" t="s">
        <v>695</v>
      </c>
      <c r="AS188" s="15" t="s">
        <v>417</v>
      </c>
      <c r="AT188" s="16" t="s">
        <v>763</v>
      </c>
    </row>
    <row r="189" spans="1:46" ht="17.5" thickBot="1" x14ac:dyDescent="0.4">
      <c r="A189" s="6">
        <f t="shared" si="20"/>
        <v>2022</v>
      </c>
      <c r="B189" s="6">
        <f t="shared" si="21"/>
        <v>6</v>
      </c>
      <c r="C189" s="7">
        <v>44742</v>
      </c>
      <c r="D189" s="6">
        <f t="shared" si="22"/>
        <v>4</v>
      </c>
      <c r="E189" s="6">
        <f t="shared" si="23"/>
        <v>27</v>
      </c>
      <c r="F189" s="6">
        <f t="shared" si="24"/>
        <v>4</v>
      </c>
      <c r="G189" s="6" t="str">
        <f t="shared" si="25"/>
        <v>06</v>
      </c>
      <c r="H189" s="6" t="str">
        <f t="shared" si="26"/>
        <v>06월 4주차</v>
      </c>
      <c r="I189" s="6" t="str">
        <f>H189&amp;" ("&amp;TEXT(C186,"m/dd")&amp;"~"&amp;TEXT(C192,"m/dd")&amp;")"</f>
        <v>06월 4주차 (6/27~7/03)</v>
      </c>
      <c r="J189" s="6" t="str">
        <f>A186&amp;"년 "&amp;WEEKNUM(C186,2)&amp;"주차"&amp;" ("&amp;TEXT(C186,"m/dd")&amp;"~"&amp;TEXT(C192,"m/dd")&amp;")"</f>
        <v>2022년 27주차 (6/27~7/03)</v>
      </c>
      <c r="K189" s="6">
        <f>YEAR(C186)</f>
        <v>2022</v>
      </c>
      <c r="L189" s="6">
        <f>WEEKNUM(C186,2)</f>
        <v>27</v>
      </c>
      <c r="O189" s="1" t="str">
        <f t="shared" si="27"/>
        <v>TWE</v>
      </c>
      <c r="P189" s="1" t="s">
        <v>274</v>
      </c>
      <c r="Q189" s="1" t="s">
        <v>121</v>
      </c>
      <c r="R189" s="1" t="s">
        <v>163</v>
      </c>
      <c r="S189" s="1">
        <v>43</v>
      </c>
      <c r="Z189" s="2"/>
      <c r="AA189" s="8" t="s">
        <v>241</v>
      </c>
      <c r="AB189" s="1" t="s">
        <v>695</v>
      </c>
      <c r="AS189" s="15" t="s">
        <v>764</v>
      </c>
      <c r="AT189" s="16" t="s">
        <v>111</v>
      </c>
    </row>
    <row r="190" spans="1:46" ht="17.5" thickBot="1" x14ac:dyDescent="0.4">
      <c r="A190" s="6">
        <f t="shared" si="20"/>
        <v>2022</v>
      </c>
      <c r="B190" s="6">
        <f t="shared" si="21"/>
        <v>7</v>
      </c>
      <c r="C190" s="7">
        <v>44743</v>
      </c>
      <c r="D190" s="6">
        <f t="shared" si="22"/>
        <v>5</v>
      </c>
      <c r="E190" s="6">
        <f t="shared" si="23"/>
        <v>27</v>
      </c>
      <c r="F190" s="6">
        <f t="shared" si="24"/>
        <v>4</v>
      </c>
      <c r="G190" s="6" t="str">
        <f t="shared" si="25"/>
        <v>07</v>
      </c>
      <c r="H190" s="6" t="str">
        <f t="shared" si="26"/>
        <v>07월 4주차</v>
      </c>
      <c r="I190" s="6" t="str">
        <f>H190&amp;" ("&amp;TEXT(C186,"m/dd")&amp;"~"&amp;TEXT(C192,"m/dd")&amp;")"</f>
        <v>07월 4주차 (6/27~7/03)</v>
      </c>
      <c r="J190" s="6" t="str">
        <f>A186&amp;"년 "&amp;WEEKNUM(C186,2)&amp;"주차"&amp;" ("&amp;TEXT(C186,"m/dd")&amp;"~"&amp;TEXT(C192,"m/dd")&amp;")"</f>
        <v>2022년 27주차 (6/27~7/03)</v>
      </c>
      <c r="K190" s="6">
        <f>YEAR(C186)</f>
        <v>2022</v>
      </c>
      <c r="L190" s="6">
        <f>WEEKNUM(C186,2)</f>
        <v>27</v>
      </c>
      <c r="O190" s="1" t="str">
        <f t="shared" si="27"/>
        <v>TWT</v>
      </c>
      <c r="P190" s="1" t="s">
        <v>274</v>
      </c>
      <c r="Q190" s="1" t="s">
        <v>121</v>
      </c>
      <c r="R190" s="1" t="s">
        <v>204</v>
      </c>
      <c r="S190" s="1">
        <v>44</v>
      </c>
      <c r="Z190" s="2"/>
      <c r="AA190" s="8" t="s">
        <v>765</v>
      </c>
      <c r="AB190" s="1" t="s">
        <v>695</v>
      </c>
      <c r="AS190" s="15" t="s">
        <v>766</v>
      </c>
      <c r="AT190" s="16" t="s">
        <v>767</v>
      </c>
    </row>
    <row r="191" spans="1:46" ht="17.5" thickBot="1" x14ac:dyDescent="0.4">
      <c r="A191" s="6">
        <f t="shared" si="20"/>
        <v>2022</v>
      </c>
      <c r="B191" s="6">
        <f t="shared" si="21"/>
        <v>7</v>
      </c>
      <c r="C191" s="7">
        <v>44744</v>
      </c>
      <c r="D191" s="6">
        <f t="shared" si="22"/>
        <v>6</v>
      </c>
      <c r="E191" s="6">
        <f t="shared" si="23"/>
        <v>27</v>
      </c>
      <c r="F191" s="6">
        <f t="shared" si="24"/>
        <v>4</v>
      </c>
      <c r="G191" s="6" t="str">
        <f t="shared" si="25"/>
        <v>07</v>
      </c>
      <c r="H191" s="6" t="str">
        <f t="shared" si="26"/>
        <v>07월 4주차</v>
      </c>
      <c r="I191" s="6" t="str">
        <f>H191&amp;" ("&amp;TEXT(C186,"m/dd")&amp;"~"&amp;TEXT(C192,"m/dd")&amp;")"</f>
        <v>07월 4주차 (6/27~7/03)</v>
      </c>
      <c r="J191" s="6" t="str">
        <f>A186&amp;"년 "&amp;WEEKNUM(C186,2)&amp;"주차"&amp;" ("&amp;TEXT(C186,"m/dd")&amp;"~"&amp;TEXT(C192,"m/dd")&amp;")"</f>
        <v>2022년 27주차 (6/27~7/03)</v>
      </c>
      <c r="K191" s="6">
        <f>YEAR(C186)</f>
        <v>2022</v>
      </c>
      <c r="L191" s="6">
        <f>WEEKNUM(C186,2)</f>
        <v>27</v>
      </c>
      <c r="O191" s="1" t="str">
        <f t="shared" si="27"/>
        <v>YPJ</v>
      </c>
      <c r="P191" s="1" t="s">
        <v>451</v>
      </c>
      <c r="Q191" s="1" t="s">
        <v>399</v>
      </c>
      <c r="R191" s="1" t="s">
        <v>61</v>
      </c>
      <c r="S191" s="1">
        <v>21</v>
      </c>
      <c r="Z191" s="2"/>
      <c r="AA191" s="18" t="s">
        <v>83</v>
      </c>
      <c r="AB191" s="1" t="s">
        <v>695</v>
      </c>
      <c r="AS191" s="15" t="s">
        <v>232</v>
      </c>
      <c r="AT191" s="16" t="s">
        <v>768</v>
      </c>
    </row>
    <row r="192" spans="1:46" ht="17.5" thickBot="1" x14ac:dyDescent="0.4">
      <c r="A192" s="6">
        <f t="shared" si="20"/>
        <v>2022</v>
      </c>
      <c r="B192" s="6">
        <f t="shared" si="21"/>
        <v>7</v>
      </c>
      <c r="C192" s="7">
        <v>44745</v>
      </c>
      <c r="D192" s="6">
        <f t="shared" si="22"/>
        <v>7</v>
      </c>
      <c r="E192" s="6">
        <f t="shared" si="23"/>
        <v>27</v>
      </c>
      <c r="F192" s="6">
        <f t="shared" si="24"/>
        <v>4</v>
      </c>
      <c r="G192" s="6" t="str">
        <f t="shared" si="25"/>
        <v>07</v>
      </c>
      <c r="H192" s="6" t="str">
        <f t="shared" si="26"/>
        <v>07월 4주차</v>
      </c>
      <c r="I192" s="6" t="str">
        <f>H192&amp;" ("&amp;TEXT(C186,"m/dd")&amp;"~"&amp;TEXT(C192,"m/dd")&amp;")"</f>
        <v>07월 4주차 (6/27~7/03)</v>
      </c>
      <c r="J192" s="6" t="str">
        <f>A186&amp;"년 "&amp;WEEKNUM(C186,2)&amp;"주차"&amp;" ("&amp;TEXT(C186,"m/dd")&amp;"~"&amp;TEXT(C192,"m/dd")&amp;")"</f>
        <v>2022년 27주차 (6/27~7/03)</v>
      </c>
      <c r="K192" s="6">
        <f>YEAR(C186)</f>
        <v>2022</v>
      </c>
      <c r="L192" s="6">
        <f>WEEKNUM(C186,2)</f>
        <v>27</v>
      </c>
      <c r="O192" s="1" t="str">
        <f t="shared" si="27"/>
        <v>YPC</v>
      </c>
      <c r="P192" s="1" t="s">
        <v>451</v>
      </c>
      <c r="Q192" s="1" t="s">
        <v>399</v>
      </c>
      <c r="R192" s="1" t="s">
        <v>70</v>
      </c>
      <c r="S192" s="1">
        <v>22</v>
      </c>
      <c r="Z192" s="2"/>
      <c r="AA192" s="18" t="s">
        <v>691</v>
      </c>
      <c r="AB192" s="1" t="s">
        <v>695</v>
      </c>
      <c r="AS192" s="15" t="s">
        <v>769</v>
      </c>
      <c r="AT192" s="16" t="s">
        <v>770</v>
      </c>
    </row>
    <row r="193" spans="1:46" ht="17.5" thickBot="1" x14ac:dyDescent="0.4">
      <c r="A193" s="6">
        <f t="shared" si="20"/>
        <v>2022</v>
      </c>
      <c r="B193" s="6">
        <f t="shared" si="21"/>
        <v>7</v>
      </c>
      <c r="C193" s="7">
        <v>44746</v>
      </c>
      <c r="D193" s="6">
        <f t="shared" si="22"/>
        <v>1</v>
      </c>
      <c r="E193" s="6">
        <f t="shared" si="23"/>
        <v>28</v>
      </c>
      <c r="F193" s="6">
        <f t="shared" si="24"/>
        <v>1</v>
      </c>
      <c r="G193" s="6" t="str">
        <f t="shared" si="25"/>
        <v>07</v>
      </c>
      <c r="H193" s="6" t="str">
        <f t="shared" si="26"/>
        <v>07월 1주차</v>
      </c>
      <c r="I193" s="6" t="str">
        <f>H193&amp;" ("&amp;TEXT(C193,"m/dd")&amp;"~"&amp;TEXT(C199,"m/dd")&amp;")"</f>
        <v>07월 1주차 (7/04~7/10)</v>
      </c>
      <c r="J193" s="6" t="str">
        <f>A193&amp;"년 "&amp;WEEKNUM(C193,2)&amp;"주차"&amp;" ("&amp;TEXT(C193,"m/dd")&amp;"~"&amp;TEXT(C199,"m/dd")&amp;")"</f>
        <v>2022년 28주차 (7/04~7/10)</v>
      </c>
      <c r="K193" s="6">
        <f>YEAR(C193)</f>
        <v>2022</v>
      </c>
      <c r="L193" s="6">
        <f>WEEKNUM(C193,2)</f>
        <v>28</v>
      </c>
      <c r="O193" s="1" t="str">
        <f t="shared" si="27"/>
        <v>YPD</v>
      </c>
      <c r="P193" s="1" t="s">
        <v>451</v>
      </c>
      <c r="Q193" s="1" t="s">
        <v>399</v>
      </c>
      <c r="R193" s="1" t="s">
        <v>78</v>
      </c>
      <c r="S193" s="1">
        <v>23</v>
      </c>
      <c r="Z193" s="2"/>
      <c r="AA193" s="8"/>
      <c r="AS193" s="15" t="s">
        <v>598</v>
      </c>
      <c r="AT193" s="16" t="s">
        <v>771</v>
      </c>
    </row>
    <row r="194" spans="1:46" ht="17.5" thickBot="1" x14ac:dyDescent="0.4">
      <c r="A194" s="6">
        <f t="shared" si="20"/>
        <v>2022</v>
      </c>
      <c r="B194" s="6">
        <f t="shared" si="21"/>
        <v>7</v>
      </c>
      <c r="C194" s="7">
        <v>44747</v>
      </c>
      <c r="D194" s="6">
        <f t="shared" si="22"/>
        <v>2</v>
      </c>
      <c r="E194" s="6">
        <f t="shared" si="23"/>
        <v>28</v>
      </c>
      <c r="F194" s="6">
        <f t="shared" si="24"/>
        <v>1</v>
      </c>
      <c r="G194" s="6" t="str">
        <f t="shared" si="25"/>
        <v>07</v>
      </c>
      <c r="H194" s="6" t="str">
        <f t="shared" si="26"/>
        <v>07월 1주차</v>
      </c>
      <c r="I194" s="6" t="str">
        <f>H194&amp;" ("&amp;TEXT(C193,"m/dd")&amp;"~"&amp;TEXT(C199,"m/dd")&amp;")"</f>
        <v>07월 1주차 (7/04~7/10)</v>
      </c>
      <c r="J194" s="6" t="str">
        <f>A193&amp;"년 "&amp;WEEKNUM(C193,2)&amp;"주차"&amp;" ("&amp;TEXT(C193,"m/dd")&amp;"~"&amp;TEXT(C199,"m/dd")&amp;")"</f>
        <v>2022년 28주차 (7/04~7/10)</v>
      </c>
      <c r="K194" s="6">
        <f>YEAR(C193)</f>
        <v>2022</v>
      </c>
      <c r="L194" s="6">
        <f>WEEKNUM(C193,2)</f>
        <v>28</v>
      </c>
      <c r="O194" s="1" t="str">
        <f t="shared" si="27"/>
        <v>YPP</v>
      </c>
      <c r="P194" s="1" t="s">
        <v>451</v>
      </c>
      <c r="Q194" s="1" t="s">
        <v>399</v>
      </c>
      <c r="R194" s="1" t="s">
        <v>31</v>
      </c>
      <c r="S194" s="1">
        <v>24</v>
      </c>
      <c r="Z194" s="8" t="s">
        <v>772</v>
      </c>
      <c r="AA194" s="8" t="s">
        <v>655</v>
      </c>
      <c r="AB194" s="1" t="s">
        <v>34</v>
      </c>
      <c r="AS194" s="15" t="s">
        <v>773</v>
      </c>
      <c r="AT194" s="16" t="s">
        <v>774</v>
      </c>
    </row>
    <row r="195" spans="1:46" ht="17.5" thickBot="1" x14ac:dyDescent="0.4">
      <c r="A195" s="6">
        <f t="shared" si="20"/>
        <v>2022</v>
      </c>
      <c r="B195" s="6">
        <f t="shared" si="21"/>
        <v>7</v>
      </c>
      <c r="C195" s="7">
        <v>44748</v>
      </c>
      <c r="D195" s="6">
        <f t="shared" si="22"/>
        <v>3</v>
      </c>
      <c r="E195" s="6">
        <f t="shared" si="23"/>
        <v>28</v>
      </c>
      <c r="F195" s="6">
        <f t="shared" si="24"/>
        <v>1</v>
      </c>
      <c r="G195" s="6" t="str">
        <f t="shared" si="25"/>
        <v>07</v>
      </c>
      <c r="H195" s="6" t="str">
        <f t="shared" si="26"/>
        <v>07월 1주차</v>
      </c>
      <c r="I195" s="6" t="str">
        <f>H195&amp;" ("&amp;TEXT(C193,"m/dd")&amp;"~"&amp;TEXT(C199,"m/dd")&amp;")"</f>
        <v>07월 1주차 (7/04~7/10)</v>
      </c>
      <c r="J195" s="6" t="str">
        <f>A193&amp;"년 "&amp;WEEKNUM(C193,2)&amp;"주차"&amp;" ("&amp;TEXT(C193,"m/dd")&amp;"~"&amp;TEXT(C199,"m/dd")&amp;")"</f>
        <v>2022년 28주차 (7/04~7/10)</v>
      </c>
      <c r="K195" s="6">
        <f>YEAR(C193)</f>
        <v>2022</v>
      </c>
      <c r="L195" s="6">
        <f>WEEKNUM(C193,2)</f>
        <v>28</v>
      </c>
      <c r="O195" s="1" t="str">
        <f t="shared" si="27"/>
        <v>YPR</v>
      </c>
      <c r="P195" s="1" t="s">
        <v>451</v>
      </c>
      <c r="Q195" s="1" t="s">
        <v>399</v>
      </c>
      <c r="R195" s="1" t="s">
        <v>95</v>
      </c>
      <c r="S195" s="1">
        <v>25</v>
      </c>
      <c r="Z195" s="2"/>
      <c r="AA195" s="8" t="s">
        <v>775</v>
      </c>
      <c r="AB195" s="1" t="s">
        <v>695</v>
      </c>
      <c r="AS195" s="15" t="s">
        <v>510</v>
      </c>
      <c r="AT195" s="16" t="s">
        <v>776</v>
      </c>
    </row>
    <row r="196" spans="1:46" ht="17.5" thickBot="1" x14ac:dyDescent="0.4">
      <c r="A196" s="6">
        <f t="shared" si="20"/>
        <v>2022</v>
      </c>
      <c r="B196" s="6">
        <f t="shared" si="21"/>
        <v>7</v>
      </c>
      <c r="C196" s="7">
        <v>44749</v>
      </c>
      <c r="D196" s="6">
        <f t="shared" si="22"/>
        <v>4</v>
      </c>
      <c r="E196" s="6">
        <f t="shared" si="23"/>
        <v>28</v>
      </c>
      <c r="F196" s="6">
        <f t="shared" si="24"/>
        <v>1</v>
      </c>
      <c r="G196" s="6" t="str">
        <f t="shared" si="25"/>
        <v>07</v>
      </c>
      <c r="H196" s="6" t="str">
        <f t="shared" si="26"/>
        <v>07월 1주차</v>
      </c>
      <c r="I196" s="6" t="str">
        <f>H196&amp;" ("&amp;TEXT(C193,"m/dd")&amp;"~"&amp;TEXT(C199,"m/dd")&amp;")"</f>
        <v>07월 1주차 (7/04~7/10)</v>
      </c>
      <c r="J196" s="6" t="str">
        <f>A193&amp;"년 "&amp;WEEKNUM(C193,2)&amp;"주차"&amp;" ("&amp;TEXT(C193,"m/dd")&amp;"~"&amp;TEXT(C199,"m/dd")&amp;")"</f>
        <v>2022년 28주차 (7/04~7/10)</v>
      </c>
      <c r="K196" s="6">
        <f>YEAR(C193)</f>
        <v>2022</v>
      </c>
      <c r="L196" s="6">
        <f>WEEKNUM(C193,2)</f>
        <v>28</v>
      </c>
      <c r="O196" s="1" t="str">
        <f t="shared" si="27"/>
        <v>YPZ</v>
      </c>
      <c r="P196" s="1" t="s">
        <v>451</v>
      </c>
      <c r="Q196" s="1" t="s">
        <v>399</v>
      </c>
      <c r="R196" s="1" t="s">
        <v>104</v>
      </c>
      <c r="S196" s="1">
        <v>26</v>
      </c>
      <c r="Z196" s="2"/>
      <c r="AA196" s="8" t="s">
        <v>407</v>
      </c>
      <c r="AB196" s="1" t="s">
        <v>695</v>
      </c>
      <c r="AS196" s="15" t="s">
        <v>775</v>
      </c>
      <c r="AT196" s="16" t="s">
        <v>59</v>
      </c>
    </row>
    <row r="197" spans="1:46" ht="17.5" thickBot="1" x14ac:dyDescent="0.4">
      <c r="A197" s="6">
        <f t="shared" si="20"/>
        <v>2022</v>
      </c>
      <c r="B197" s="6">
        <f t="shared" si="21"/>
        <v>7</v>
      </c>
      <c r="C197" s="7">
        <v>44750</v>
      </c>
      <c r="D197" s="6">
        <f t="shared" si="22"/>
        <v>5</v>
      </c>
      <c r="E197" s="6">
        <f t="shared" si="23"/>
        <v>28</v>
      </c>
      <c r="F197" s="6">
        <f t="shared" si="24"/>
        <v>1</v>
      </c>
      <c r="G197" s="6" t="str">
        <f t="shared" si="25"/>
        <v>07</v>
      </c>
      <c r="H197" s="6" t="str">
        <f t="shared" si="26"/>
        <v>07월 1주차</v>
      </c>
      <c r="I197" s="6" t="str">
        <f>H197&amp;" ("&amp;TEXT(C193,"m/dd")&amp;"~"&amp;TEXT(C199,"m/dd")&amp;")"</f>
        <v>07월 1주차 (7/04~7/10)</v>
      </c>
      <c r="J197" s="6" t="str">
        <f>A193&amp;"년 "&amp;WEEKNUM(C193,2)&amp;"주차"&amp;" ("&amp;TEXT(C193,"m/dd")&amp;"~"&amp;TEXT(C199,"m/dd")&amp;")"</f>
        <v>2022년 28주차 (7/04~7/10)</v>
      </c>
      <c r="K197" s="6">
        <f>YEAR(C193)</f>
        <v>2022</v>
      </c>
      <c r="L197" s="6">
        <f>WEEKNUM(C193,2)</f>
        <v>28</v>
      </c>
      <c r="O197" s="1" t="str">
        <f t="shared" si="27"/>
        <v>YPT</v>
      </c>
      <c r="P197" s="1" t="s">
        <v>451</v>
      </c>
      <c r="Q197" s="1" t="s">
        <v>399</v>
      </c>
      <c r="R197" s="1" t="s">
        <v>204</v>
      </c>
      <c r="S197" s="1">
        <v>27</v>
      </c>
      <c r="Z197" s="8" t="s">
        <v>777</v>
      </c>
      <c r="AA197" s="8" t="s">
        <v>453</v>
      </c>
      <c r="AB197" s="1" t="s">
        <v>695</v>
      </c>
      <c r="AS197" s="15" t="s">
        <v>113</v>
      </c>
      <c r="AT197" s="16" t="s">
        <v>29</v>
      </c>
    </row>
    <row r="198" spans="1:46" ht="17.5" thickBot="1" x14ac:dyDescent="0.4">
      <c r="A198" s="6">
        <f t="shared" si="20"/>
        <v>2022</v>
      </c>
      <c r="B198" s="6">
        <f t="shared" si="21"/>
        <v>7</v>
      </c>
      <c r="C198" s="7">
        <v>44751</v>
      </c>
      <c r="D198" s="6">
        <f t="shared" si="22"/>
        <v>6</v>
      </c>
      <c r="E198" s="6">
        <f t="shared" si="23"/>
        <v>28</v>
      </c>
      <c r="F198" s="6">
        <f t="shared" si="24"/>
        <v>1</v>
      </c>
      <c r="G198" s="6" t="str">
        <f t="shared" si="25"/>
        <v>07</v>
      </c>
      <c r="H198" s="6" t="str">
        <f t="shared" si="26"/>
        <v>07월 1주차</v>
      </c>
      <c r="I198" s="6" t="str">
        <f>H198&amp;" ("&amp;TEXT(C193,"m/dd")&amp;"~"&amp;TEXT(C199,"m/dd")&amp;")"</f>
        <v>07월 1주차 (7/04~7/10)</v>
      </c>
      <c r="J198" s="6" t="str">
        <f>A193&amp;"년 "&amp;WEEKNUM(C193,2)&amp;"주차"&amp;" ("&amp;TEXT(C193,"m/dd")&amp;"~"&amp;TEXT(C199,"m/dd")&amp;")"</f>
        <v>2022년 28주차 (7/04~7/10)</v>
      </c>
      <c r="K198" s="6">
        <f>YEAR(C193)</f>
        <v>2022</v>
      </c>
      <c r="L198" s="6">
        <f>WEEKNUM(C193,2)</f>
        <v>28</v>
      </c>
      <c r="O198" s="1" t="str">
        <f t="shared" si="27"/>
        <v>YPY</v>
      </c>
      <c r="P198" s="1" t="s">
        <v>451</v>
      </c>
      <c r="Q198" s="1" t="s">
        <v>121</v>
      </c>
      <c r="R198" s="1" t="s">
        <v>122</v>
      </c>
      <c r="S198" s="1">
        <v>28</v>
      </c>
      <c r="Z198" s="2"/>
      <c r="AA198" s="8" t="s">
        <v>564</v>
      </c>
      <c r="AB198" s="1" t="s">
        <v>695</v>
      </c>
      <c r="AS198" s="15" t="s">
        <v>710</v>
      </c>
      <c r="AT198" s="16" t="s">
        <v>604</v>
      </c>
    </row>
    <row r="199" spans="1:46" ht="17.5" thickBot="1" x14ac:dyDescent="0.4">
      <c r="A199" s="6">
        <f t="shared" si="20"/>
        <v>2022</v>
      </c>
      <c r="B199" s="6">
        <f t="shared" si="21"/>
        <v>7</v>
      </c>
      <c r="C199" s="7">
        <v>44752</v>
      </c>
      <c r="D199" s="6">
        <f t="shared" si="22"/>
        <v>7</v>
      </c>
      <c r="E199" s="6">
        <f t="shared" si="23"/>
        <v>28</v>
      </c>
      <c r="F199" s="6">
        <f t="shared" si="24"/>
        <v>1</v>
      </c>
      <c r="G199" s="6" t="str">
        <f t="shared" si="25"/>
        <v>07</v>
      </c>
      <c r="H199" s="6" t="str">
        <f t="shared" si="26"/>
        <v>07월 1주차</v>
      </c>
      <c r="I199" s="6" t="str">
        <f>H199&amp;" ("&amp;TEXT(C193,"m/dd")&amp;"~"&amp;TEXT(C199,"m/dd")&amp;")"</f>
        <v>07월 1주차 (7/04~7/10)</v>
      </c>
      <c r="J199" s="6" t="str">
        <f>A193&amp;"년 "&amp;WEEKNUM(C193,2)&amp;"주차"&amp;" ("&amp;TEXT(C193,"m/dd")&amp;"~"&amp;TEXT(C199,"m/dd")&amp;")"</f>
        <v>2022년 28주차 (7/04~7/10)</v>
      </c>
      <c r="K199" s="6">
        <f>YEAR(C193)</f>
        <v>2022</v>
      </c>
      <c r="L199" s="6">
        <f>WEEKNUM(C193,2)</f>
        <v>28</v>
      </c>
      <c r="O199" s="1" t="str">
        <f t="shared" si="27"/>
        <v>YPB</v>
      </c>
      <c r="P199" s="1" t="s">
        <v>451</v>
      </c>
      <c r="Q199" s="1" t="s">
        <v>121</v>
      </c>
      <c r="R199" s="1" t="s">
        <v>129</v>
      </c>
      <c r="S199" s="1">
        <v>29</v>
      </c>
      <c r="Z199" s="2"/>
      <c r="AA199" s="8" t="s">
        <v>766</v>
      </c>
      <c r="AB199" s="1" t="s">
        <v>695</v>
      </c>
      <c r="AS199" s="15" t="s">
        <v>348</v>
      </c>
      <c r="AT199" s="16" t="s">
        <v>778</v>
      </c>
    </row>
    <row r="200" spans="1:46" ht="17.5" thickBot="1" x14ac:dyDescent="0.4">
      <c r="A200" s="6">
        <f t="shared" si="20"/>
        <v>2022</v>
      </c>
      <c r="B200" s="6">
        <f t="shared" si="21"/>
        <v>7</v>
      </c>
      <c r="C200" s="7">
        <v>44753</v>
      </c>
      <c r="D200" s="6">
        <f t="shared" si="22"/>
        <v>1</v>
      </c>
      <c r="E200" s="6">
        <f t="shared" si="23"/>
        <v>29</v>
      </c>
      <c r="F200" s="6">
        <f t="shared" si="24"/>
        <v>2</v>
      </c>
      <c r="G200" s="6" t="str">
        <f t="shared" si="25"/>
        <v>07</v>
      </c>
      <c r="H200" s="6" t="str">
        <f t="shared" si="26"/>
        <v>07월 2주차</v>
      </c>
      <c r="I200" s="6" t="str">
        <f>H200&amp;" ("&amp;TEXT(C200,"m/dd")&amp;"~"&amp;TEXT(C206,"m/dd")&amp;")"</f>
        <v>07월 2주차 (7/11~7/17)</v>
      </c>
      <c r="J200" s="6" t="str">
        <f>A200&amp;"년 "&amp;WEEKNUM(C200,2)&amp;"주차"&amp;" ("&amp;TEXT(C200,"m/dd")&amp;"~"&amp;TEXT(C206,"m/dd")&amp;")"</f>
        <v>2022년 29주차 (7/11~7/17)</v>
      </c>
      <c r="K200" s="6">
        <f>YEAR(C200)</f>
        <v>2022</v>
      </c>
      <c r="L200" s="6">
        <f>WEEKNUM(C200,2)</f>
        <v>29</v>
      </c>
      <c r="O200" s="1" t="str">
        <f t="shared" si="27"/>
        <v>YPM</v>
      </c>
      <c r="P200" s="1" t="s">
        <v>451</v>
      </c>
      <c r="Q200" s="1" t="s">
        <v>121</v>
      </c>
      <c r="R200" s="1" t="s">
        <v>137</v>
      </c>
      <c r="S200" s="1">
        <v>30</v>
      </c>
      <c r="Z200" s="2"/>
      <c r="AA200" s="8" t="s">
        <v>779</v>
      </c>
      <c r="AB200" s="1" t="s">
        <v>695</v>
      </c>
      <c r="AS200" s="15" t="s">
        <v>759</v>
      </c>
      <c r="AT200" s="16" t="s">
        <v>780</v>
      </c>
    </row>
    <row r="201" spans="1:46" ht="17.5" thickBot="1" x14ac:dyDescent="0.4">
      <c r="A201" s="6">
        <f t="shared" si="20"/>
        <v>2022</v>
      </c>
      <c r="B201" s="6">
        <f t="shared" si="21"/>
        <v>7</v>
      </c>
      <c r="C201" s="7">
        <v>44754</v>
      </c>
      <c r="D201" s="6">
        <f t="shared" si="22"/>
        <v>2</v>
      </c>
      <c r="E201" s="6">
        <f t="shared" si="23"/>
        <v>29</v>
      </c>
      <c r="F201" s="6">
        <f t="shared" si="24"/>
        <v>2</v>
      </c>
      <c r="G201" s="6" t="str">
        <f t="shared" si="25"/>
        <v>07</v>
      </c>
      <c r="H201" s="6" t="str">
        <f t="shared" si="26"/>
        <v>07월 2주차</v>
      </c>
      <c r="I201" s="6" t="str">
        <f>H201&amp;" ("&amp;TEXT(C200,"m/dd")&amp;"~"&amp;TEXT(C206,"m/dd")&amp;")"</f>
        <v>07월 2주차 (7/11~7/17)</v>
      </c>
      <c r="J201" s="6" t="str">
        <f>A200&amp;"년 "&amp;WEEKNUM(C200,2)&amp;"주차"&amp;" ("&amp;TEXT(C200,"m/dd")&amp;"~"&amp;TEXT(C206,"m/dd")&amp;")"</f>
        <v>2022년 29주차 (7/11~7/17)</v>
      </c>
      <c r="K201" s="6">
        <f>YEAR(C200)</f>
        <v>2022</v>
      </c>
      <c r="L201" s="6">
        <f>WEEKNUM(C200,2)</f>
        <v>29</v>
      </c>
      <c r="O201" s="1" t="str">
        <f t="shared" si="27"/>
        <v>YPH</v>
      </c>
      <c r="P201" s="1" t="s">
        <v>451</v>
      </c>
      <c r="Q201" s="1" t="s">
        <v>121</v>
      </c>
      <c r="R201" s="1" t="s">
        <v>154</v>
      </c>
      <c r="S201" s="1">
        <v>31</v>
      </c>
      <c r="AA201" s="8" t="s">
        <v>781</v>
      </c>
      <c r="AB201" s="1" t="s">
        <v>695</v>
      </c>
      <c r="AS201" s="15" t="s">
        <v>782</v>
      </c>
      <c r="AT201" s="16" t="s">
        <v>783</v>
      </c>
    </row>
    <row r="202" spans="1:46" ht="17.5" thickBot="1" x14ac:dyDescent="0.4">
      <c r="A202" s="6">
        <f t="shared" si="20"/>
        <v>2022</v>
      </c>
      <c r="B202" s="6">
        <f t="shared" si="21"/>
        <v>7</v>
      </c>
      <c r="C202" s="7">
        <v>44755</v>
      </c>
      <c r="D202" s="6">
        <f t="shared" si="22"/>
        <v>3</v>
      </c>
      <c r="E202" s="6">
        <f t="shared" si="23"/>
        <v>29</v>
      </c>
      <c r="F202" s="6">
        <f t="shared" si="24"/>
        <v>2</v>
      </c>
      <c r="G202" s="6" t="str">
        <f t="shared" si="25"/>
        <v>07</v>
      </c>
      <c r="H202" s="6" t="str">
        <f t="shared" si="26"/>
        <v>07월 2주차</v>
      </c>
      <c r="I202" s="6" t="str">
        <f>H202&amp;" ("&amp;TEXT(C200,"m/dd")&amp;"~"&amp;TEXT(C206,"m/dd")&amp;")"</f>
        <v>07월 2주차 (7/11~7/17)</v>
      </c>
      <c r="J202" s="6" t="str">
        <f>A200&amp;"년 "&amp;WEEKNUM(C200,2)&amp;"주차"&amp;" ("&amp;TEXT(C200,"m/dd")&amp;"~"&amp;TEXT(C206,"m/dd")&amp;")"</f>
        <v>2022년 29주차 (7/11~7/17)</v>
      </c>
      <c r="K202" s="6">
        <f>YEAR(C200)</f>
        <v>2022</v>
      </c>
      <c r="L202" s="6">
        <f>WEEKNUM(C200,2)</f>
        <v>29</v>
      </c>
      <c r="O202" s="1" t="str">
        <f t="shared" si="27"/>
        <v>YPE</v>
      </c>
      <c r="P202" s="1" t="s">
        <v>451</v>
      </c>
      <c r="Q202" s="1" t="s">
        <v>121</v>
      </c>
      <c r="R202" s="1" t="s">
        <v>163</v>
      </c>
      <c r="S202" s="1">
        <v>32</v>
      </c>
      <c r="AA202" s="17" t="s">
        <v>784</v>
      </c>
      <c r="AB202" s="1" t="s">
        <v>695</v>
      </c>
      <c r="AS202" s="15" t="s">
        <v>785</v>
      </c>
      <c r="AT202" s="16" t="s">
        <v>77</v>
      </c>
    </row>
    <row r="203" spans="1:46" ht="17.5" thickBot="1" x14ac:dyDescent="0.4">
      <c r="A203" s="6">
        <f t="shared" ref="A203:A266" si="28">YEAR(C203)</f>
        <v>2022</v>
      </c>
      <c r="B203" s="6">
        <f t="shared" ref="B203:B266" si="29">MONTH(C203)</f>
        <v>7</v>
      </c>
      <c r="C203" s="7">
        <v>44756</v>
      </c>
      <c r="D203" s="6">
        <f t="shared" ref="D203:D266" si="30">WEEKDAY(C203,2)</f>
        <v>4</v>
      </c>
      <c r="E203" s="6">
        <f t="shared" ref="E203:E266" si="31">WEEKNUM(C203,2)</f>
        <v>29</v>
      </c>
      <c r="F203" s="6">
        <f t="shared" ref="F203:F266" si="32">WEEKNUM(DATE(YEAR(C203),1,DAY(C203-WEEKDAY(C203,2)+1)),WEEKDAY(DATE(YEAR(C203),1,1),11)+10)</f>
        <v>2</v>
      </c>
      <c r="G203" s="6" t="str">
        <f t="shared" ref="G203:G266" si="33">IF(LEN(B203)=1,_xlfn.CONCAT(0,B203),B203)</f>
        <v>07</v>
      </c>
      <c r="H203" s="6" t="str">
        <f t="shared" ref="H203:H266" si="34">G203&amp;"월 "&amp;F203&amp;"주차"</f>
        <v>07월 2주차</v>
      </c>
      <c r="I203" s="6" t="str">
        <f>H203&amp;" ("&amp;TEXT(C200,"m/dd")&amp;"~"&amp;TEXT(C206,"m/dd")&amp;")"</f>
        <v>07월 2주차 (7/11~7/17)</v>
      </c>
      <c r="J203" s="6" t="str">
        <f>A200&amp;"년 "&amp;WEEKNUM(C200,2)&amp;"주차"&amp;" ("&amp;TEXT(C200,"m/dd")&amp;"~"&amp;TEXT(C206,"m/dd")&amp;")"</f>
        <v>2022년 29주차 (7/11~7/17)</v>
      </c>
      <c r="K203" s="6">
        <f>YEAR(C200)</f>
        <v>2022</v>
      </c>
      <c r="L203" s="6">
        <f>WEEKNUM(C200,2)</f>
        <v>29</v>
      </c>
      <c r="O203" s="1" t="str">
        <f t="shared" si="27"/>
        <v>YPL</v>
      </c>
      <c r="P203" s="1" t="s">
        <v>451</v>
      </c>
      <c r="Q203" s="1" t="s">
        <v>121</v>
      </c>
      <c r="R203" s="1" t="s">
        <v>178</v>
      </c>
      <c r="S203" s="1">
        <v>33</v>
      </c>
      <c r="AA203" s="17" t="s">
        <v>663</v>
      </c>
      <c r="AB203" s="1" t="s">
        <v>695</v>
      </c>
      <c r="AS203" s="15" t="s">
        <v>779</v>
      </c>
      <c r="AT203" s="16" t="s">
        <v>786</v>
      </c>
    </row>
    <row r="204" spans="1:46" ht="17.5" thickBot="1" x14ac:dyDescent="0.4">
      <c r="A204" s="6">
        <f t="shared" si="28"/>
        <v>2022</v>
      </c>
      <c r="B204" s="6">
        <f t="shared" si="29"/>
        <v>7</v>
      </c>
      <c r="C204" s="7">
        <v>44757</v>
      </c>
      <c r="D204" s="6">
        <f t="shared" si="30"/>
        <v>5</v>
      </c>
      <c r="E204" s="6">
        <f t="shared" si="31"/>
        <v>29</v>
      </c>
      <c r="F204" s="6">
        <f t="shared" si="32"/>
        <v>2</v>
      </c>
      <c r="G204" s="6" t="str">
        <f t="shared" si="33"/>
        <v>07</v>
      </c>
      <c r="H204" s="6" t="str">
        <f t="shared" si="34"/>
        <v>07월 2주차</v>
      </c>
      <c r="I204" s="6" t="str">
        <f>H204&amp;" ("&amp;TEXT(C200,"m/dd")&amp;"~"&amp;TEXT(C206,"m/dd")&amp;")"</f>
        <v>07월 2주차 (7/11~7/17)</v>
      </c>
      <c r="J204" s="6" t="str">
        <f>A200&amp;"년 "&amp;WEEKNUM(C200,2)&amp;"주차"&amp;" ("&amp;TEXT(C200,"m/dd")&amp;"~"&amp;TEXT(C206,"m/dd")&amp;")"</f>
        <v>2022년 29주차 (7/11~7/17)</v>
      </c>
      <c r="K204" s="6">
        <f>YEAR(C200)</f>
        <v>2022</v>
      </c>
      <c r="L204" s="6">
        <f>WEEKNUM(C200,2)</f>
        <v>29</v>
      </c>
      <c r="O204" s="1" t="str">
        <f t="shared" ref="O204:O253" si="35">P204&amp;R204</f>
        <v>YPQ</v>
      </c>
      <c r="P204" s="1" t="s">
        <v>451</v>
      </c>
      <c r="Q204" s="1" t="s">
        <v>121</v>
      </c>
      <c r="R204" s="1" t="s">
        <v>191</v>
      </c>
      <c r="S204" s="1">
        <v>34</v>
      </c>
      <c r="AA204" s="17" t="s">
        <v>787</v>
      </c>
      <c r="AB204" s="1" t="s">
        <v>695</v>
      </c>
      <c r="AS204" s="15" t="s">
        <v>400</v>
      </c>
      <c r="AT204" s="16" t="s">
        <v>788</v>
      </c>
    </row>
    <row r="205" spans="1:46" ht="31.5" thickBot="1" x14ac:dyDescent="0.4">
      <c r="A205" s="6">
        <f t="shared" si="28"/>
        <v>2022</v>
      </c>
      <c r="B205" s="6">
        <f t="shared" si="29"/>
        <v>7</v>
      </c>
      <c r="C205" s="7">
        <v>44758</v>
      </c>
      <c r="D205" s="6">
        <f t="shared" si="30"/>
        <v>6</v>
      </c>
      <c r="E205" s="6">
        <f t="shared" si="31"/>
        <v>29</v>
      </c>
      <c r="F205" s="6">
        <f t="shared" si="32"/>
        <v>2</v>
      </c>
      <c r="G205" s="6" t="str">
        <f t="shared" si="33"/>
        <v>07</v>
      </c>
      <c r="H205" s="6" t="str">
        <f t="shared" si="34"/>
        <v>07월 2주차</v>
      </c>
      <c r="I205" s="6" t="str">
        <f>H205&amp;" ("&amp;TEXT(C200,"m/dd")&amp;"~"&amp;TEXT(C206,"m/dd")&amp;")"</f>
        <v>07월 2주차 (7/11~7/17)</v>
      </c>
      <c r="J205" s="6" t="str">
        <f>A200&amp;"년 "&amp;WEEKNUM(C200,2)&amp;"주차"&amp;" ("&amp;TEXT(C200,"m/dd")&amp;"~"&amp;TEXT(C206,"m/dd")&amp;")"</f>
        <v>2022년 29주차 (7/11~7/17)</v>
      </c>
      <c r="K205" s="6">
        <f>YEAR(C200)</f>
        <v>2022</v>
      </c>
      <c r="L205" s="6">
        <f>WEEKNUM(C200,2)</f>
        <v>29</v>
      </c>
      <c r="O205" s="1" t="str">
        <f t="shared" si="35"/>
        <v>YPN</v>
      </c>
      <c r="P205" s="1" t="s">
        <v>451</v>
      </c>
      <c r="Q205" s="1" t="s">
        <v>121</v>
      </c>
      <c r="R205" s="1" t="s">
        <v>198</v>
      </c>
      <c r="S205" s="1">
        <v>35</v>
      </c>
      <c r="AA205" s="17" t="s">
        <v>722</v>
      </c>
      <c r="AB205" s="1" t="s">
        <v>695</v>
      </c>
      <c r="AS205" s="15" t="s">
        <v>789</v>
      </c>
      <c r="AT205" s="16" t="s">
        <v>790</v>
      </c>
    </row>
    <row r="206" spans="1:46" ht="17.5" thickBot="1" x14ac:dyDescent="0.4">
      <c r="A206" s="6">
        <f t="shared" si="28"/>
        <v>2022</v>
      </c>
      <c r="B206" s="6">
        <f t="shared" si="29"/>
        <v>7</v>
      </c>
      <c r="C206" s="7">
        <v>44759</v>
      </c>
      <c r="D206" s="6">
        <f t="shared" si="30"/>
        <v>7</v>
      </c>
      <c r="E206" s="6">
        <f t="shared" si="31"/>
        <v>29</v>
      </c>
      <c r="F206" s="6">
        <f t="shared" si="32"/>
        <v>2</v>
      </c>
      <c r="G206" s="6" t="str">
        <f t="shared" si="33"/>
        <v>07</v>
      </c>
      <c r="H206" s="6" t="str">
        <f t="shared" si="34"/>
        <v>07월 2주차</v>
      </c>
      <c r="I206" s="6" t="str">
        <f>H206&amp;" ("&amp;TEXT(C200,"m/dd")&amp;"~"&amp;TEXT(C206,"m/dd")&amp;")"</f>
        <v>07월 2주차 (7/11~7/17)</v>
      </c>
      <c r="J206" s="6" t="str">
        <f>A200&amp;"년 "&amp;WEEKNUM(C200,2)&amp;"주차"&amp;" ("&amp;TEXT(C200,"m/dd")&amp;"~"&amp;TEXT(C206,"m/dd")&amp;")"</f>
        <v>2022년 29주차 (7/11~7/17)</v>
      </c>
      <c r="K206" s="6">
        <f>YEAR(C200)</f>
        <v>2022</v>
      </c>
      <c r="L206" s="6">
        <f>WEEKNUM(C200,2)</f>
        <v>29</v>
      </c>
      <c r="O206" s="1" t="str">
        <f t="shared" si="35"/>
        <v>YPS</v>
      </c>
      <c r="P206" s="1" t="s">
        <v>451</v>
      </c>
      <c r="Q206" s="1" t="s">
        <v>121</v>
      </c>
      <c r="R206" s="1" t="s">
        <v>145</v>
      </c>
      <c r="S206" s="1">
        <v>36</v>
      </c>
      <c r="AA206" s="18" t="s">
        <v>691</v>
      </c>
      <c r="AB206" s="1" t="s">
        <v>695</v>
      </c>
      <c r="AS206" s="15" t="s">
        <v>698</v>
      </c>
      <c r="AT206" s="16" t="s">
        <v>791</v>
      </c>
    </row>
    <row r="207" spans="1:46" ht="17.5" thickBot="1" x14ac:dyDescent="0.4">
      <c r="A207" s="6">
        <f t="shared" si="28"/>
        <v>2022</v>
      </c>
      <c r="B207" s="6">
        <f t="shared" si="29"/>
        <v>7</v>
      </c>
      <c r="C207" s="7">
        <v>44760</v>
      </c>
      <c r="D207" s="6">
        <f t="shared" si="30"/>
        <v>1</v>
      </c>
      <c r="E207" s="6">
        <f t="shared" si="31"/>
        <v>30</v>
      </c>
      <c r="F207" s="6">
        <f t="shared" si="32"/>
        <v>3</v>
      </c>
      <c r="G207" s="6" t="str">
        <f t="shared" si="33"/>
        <v>07</v>
      </c>
      <c r="H207" s="6" t="str">
        <f t="shared" si="34"/>
        <v>07월 3주차</v>
      </c>
      <c r="I207" s="6" t="str">
        <f>H207&amp;" ("&amp;TEXT(C207,"m/dd")&amp;"~"&amp;TEXT(C213,"m/dd")&amp;")"</f>
        <v>07월 3주차 (7/18~7/24)</v>
      </c>
      <c r="J207" s="6" t="str">
        <f>A207&amp;"년 "&amp;WEEKNUM(C207,2)&amp;"주차"&amp;" ("&amp;TEXT(C207,"m/dd")&amp;"~"&amp;TEXT(C213,"m/dd")&amp;")"</f>
        <v>2022년 30주차 (7/18~7/24)</v>
      </c>
      <c r="K207" s="6">
        <f>YEAR(C207)</f>
        <v>2022</v>
      </c>
      <c r="L207" s="6">
        <f>WEEKNUM(C207,2)</f>
        <v>30</v>
      </c>
      <c r="O207" s="1" t="str">
        <f t="shared" si="35"/>
        <v>YPA</v>
      </c>
      <c r="P207" s="1" t="s">
        <v>451</v>
      </c>
      <c r="Q207" s="1" t="s">
        <v>121</v>
      </c>
      <c r="R207" s="1" t="s">
        <v>52</v>
      </c>
      <c r="S207" s="1">
        <v>37</v>
      </c>
      <c r="AA207" s="18" t="s">
        <v>83</v>
      </c>
      <c r="AB207" s="1" t="s">
        <v>695</v>
      </c>
      <c r="AS207" s="15" t="s">
        <v>792</v>
      </c>
      <c r="AT207" s="16" t="s">
        <v>793</v>
      </c>
    </row>
    <row r="208" spans="1:46" ht="17.5" thickBot="1" x14ac:dyDescent="0.4">
      <c r="A208" s="6">
        <f t="shared" si="28"/>
        <v>2022</v>
      </c>
      <c r="B208" s="6">
        <f t="shared" si="29"/>
        <v>7</v>
      </c>
      <c r="C208" s="7">
        <v>44761</v>
      </c>
      <c r="D208" s="6">
        <f t="shared" si="30"/>
        <v>2</v>
      </c>
      <c r="E208" s="6">
        <f t="shared" si="31"/>
        <v>30</v>
      </c>
      <c r="F208" s="6">
        <f t="shared" si="32"/>
        <v>3</v>
      </c>
      <c r="G208" s="6" t="str">
        <f t="shared" si="33"/>
        <v>07</v>
      </c>
      <c r="H208" s="6" t="str">
        <f t="shared" si="34"/>
        <v>07월 3주차</v>
      </c>
      <c r="I208" s="6" t="str">
        <f>H208&amp;" ("&amp;TEXT(C207,"m/dd")&amp;"~"&amp;TEXT(C213,"m/dd")&amp;")"</f>
        <v>07월 3주차 (7/18~7/24)</v>
      </c>
      <c r="J208" s="6" t="str">
        <f>A207&amp;"년 "&amp;WEEKNUM(C207,2)&amp;"주차"&amp;" ("&amp;TEXT(C207,"m/dd")&amp;"~"&amp;TEXT(C213,"m/dd")&amp;")"</f>
        <v>2022년 30주차 (7/18~7/24)</v>
      </c>
      <c r="K208" s="6">
        <f>YEAR(C207)</f>
        <v>2022</v>
      </c>
      <c r="L208" s="6">
        <f>WEEKNUM(C207,2)</f>
        <v>30</v>
      </c>
      <c r="O208" s="1" t="str">
        <f t="shared" si="35"/>
        <v>YPF</v>
      </c>
      <c r="P208" s="1" t="s">
        <v>451</v>
      </c>
      <c r="Q208" s="1" t="s">
        <v>121</v>
      </c>
      <c r="R208" s="1" t="s">
        <v>44</v>
      </c>
      <c r="S208" s="1">
        <v>38</v>
      </c>
      <c r="AA208" s="18" t="s">
        <v>538</v>
      </c>
      <c r="AB208" s="1" t="s">
        <v>695</v>
      </c>
      <c r="AS208" s="15" t="s">
        <v>666</v>
      </c>
      <c r="AT208" s="16" t="s">
        <v>794</v>
      </c>
    </row>
    <row r="209" spans="1:46" ht="17.5" thickBot="1" x14ac:dyDescent="0.4">
      <c r="A209" s="6">
        <f t="shared" si="28"/>
        <v>2022</v>
      </c>
      <c r="B209" s="6">
        <f t="shared" si="29"/>
        <v>7</v>
      </c>
      <c r="C209" s="7">
        <v>44762</v>
      </c>
      <c r="D209" s="6">
        <f t="shared" si="30"/>
        <v>3</v>
      </c>
      <c r="E209" s="6">
        <f t="shared" si="31"/>
        <v>30</v>
      </c>
      <c r="F209" s="6">
        <f t="shared" si="32"/>
        <v>3</v>
      </c>
      <c r="G209" s="6" t="str">
        <f t="shared" si="33"/>
        <v>07</v>
      </c>
      <c r="H209" s="6" t="str">
        <f t="shared" si="34"/>
        <v>07월 3주차</v>
      </c>
      <c r="I209" s="6" t="str">
        <f>H209&amp;" ("&amp;TEXT(C207,"m/dd")&amp;"~"&amp;TEXT(C213,"m/dd")&amp;")"</f>
        <v>07월 3주차 (7/18~7/24)</v>
      </c>
      <c r="J209" s="6" t="str">
        <f>A207&amp;"년 "&amp;WEEKNUM(C207,2)&amp;"주차"&amp;" ("&amp;TEXT(C207,"m/dd")&amp;"~"&amp;TEXT(C213,"m/dd")&amp;")"</f>
        <v>2022년 30주차 (7/18~7/24)</v>
      </c>
      <c r="K209" s="6">
        <f>YEAR(C207)</f>
        <v>2022</v>
      </c>
      <c r="L209" s="6">
        <f>WEEKNUM(C207,2)</f>
        <v>30</v>
      </c>
      <c r="O209" s="1" t="str">
        <f t="shared" si="35"/>
        <v>YPK</v>
      </c>
      <c r="P209" s="1" t="s">
        <v>451</v>
      </c>
      <c r="Q209" s="1" t="s">
        <v>121</v>
      </c>
      <c r="R209" s="1" t="s">
        <v>171</v>
      </c>
      <c r="S209" s="1">
        <v>39</v>
      </c>
      <c r="AA209" s="18" t="s">
        <v>503</v>
      </c>
      <c r="AB209" s="1" t="s">
        <v>695</v>
      </c>
      <c r="AS209" s="15" t="s">
        <v>795</v>
      </c>
      <c r="AT209" s="16" t="s">
        <v>796</v>
      </c>
    </row>
    <row r="210" spans="1:46" ht="17.5" thickBot="1" x14ac:dyDescent="0.4">
      <c r="A210" s="6">
        <f t="shared" si="28"/>
        <v>2022</v>
      </c>
      <c r="B210" s="6">
        <f t="shared" si="29"/>
        <v>7</v>
      </c>
      <c r="C210" s="7">
        <v>44763</v>
      </c>
      <c r="D210" s="6">
        <f t="shared" si="30"/>
        <v>4</v>
      </c>
      <c r="E210" s="6">
        <f t="shared" si="31"/>
        <v>30</v>
      </c>
      <c r="F210" s="6">
        <f t="shared" si="32"/>
        <v>3</v>
      </c>
      <c r="G210" s="6" t="str">
        <f t="shared" si="33"/>
        <v>07</v>
      </c>
      <c r="H210" s="6" t="str">
        <f t="shared" si="34"/>
        <v>07월 3주차</v>
      </c>
      <c r="I210" s="6" t="str">
        <f>H210&amp;" ("&amp;TEXT(C207,"m/dd")&amp;"~"&amp;TEXT(C213,"m/dd")&amp;")"</f>
        <v>07월 3주차 (7/18~7/24)</v>
      </c>
      <c r="J210" s="6" t="str">
        <f>A207&amp;"년 "&amp;WEEKNUM(C207,2)&amp;"주차"&amp;" ("&amp;TEXT(C207,"m/dd")&amp;"~"&amp;TEXT(C213,"m/dd")&amp;")"</f>
        <v>2022년 30주차 (7/18~7/24)</v>
      </c>
      <c r="K210" s="6">
        <f>YEAR(C207)</f>
        <v>2022</v>
      </c>
      <c r="L210" s="6">
        <f>WEEKNUM(C207,2)</f>
        <v>30</v>
      </c>
      <c r="O210" s="1" t="str">
        <f t="shared" si="35"/>
        <v>YPV</v>
      </c>
      <c r="P210" s="1" t="s">
        <v>451</v>
      </c>
      <c r="Q210" s="1" t="s">
        <v>121</v>
      </c>
      <c r="R210" s="1" t="s">
        <v>328</v>
      </c>
      <c r="S210" s="1">
        <v>40</v>
      </c>
      <c r="AA210" t="s">
        <v>624</v>
      </c>
      <c r="AB210" s="1" t="s">
        <v>695</v>
      </c>
      <c r="AS210" s="15" t="s">
        <v>797</v>
      </c>
      <c r="AT210" s="16" t="s">
        <v>798</v>
      </c>
    </row>
    <row r="211" spans="1:46" ht="17.5" thickBot="1" x14ac:dyDescent="0.4">
      <c r="A211" s="6">
        <f t="shared" si="28"/>
        <v>2022</v>
      </c>
      <c r="B211" s="6">
        <f t="shared" si="29"/>
        <v>7</v>
      </c>
      <c r="C211" s="7">
        <v>44764</v>
      </c>
      <c r="D211" s="6">
        <f t="shared" si="30"/>
        <v>5</v>
      </c>
      <c r="E211" s="6">
        <f t="shared" si="31"/>
        <v>30</v>
      </c>
      <c r="F211" s="6">
        <f t="shared" si="32"/>
        <v>3</v>
      </c>
      <c r="G211" s="6" t="str">
        <f t="shared" si="33"/>
        <v>07</v>
      </c>
      <c r="H211" s="6" t="str">
        <f t="shared" si="34"/>
        <v>07월 3주차</v>
      </c>
      <c r="I211" s="6" t="str">
        <f>H211&amp;" ("&amp;TEXT(C207,"m/dd")&amp;"~"&amp;TEXT(C213,"m/dd")&amp;")"</f>
        <v>07월 3주차 (7/18~7/24)</v>
      </c>
      <c r="J211" s="6" t="str">
        <f>A207&amp;"년 "&amp;WEEKNUM(C207,2)&amp;"주차"&amp;" ("&amp;TEXT(C207,"m/dd")&amp;"~"&amp;TEXT(C213,"m/dd")&amp;")"</f>
        <v>2022년 30주차 (7/18~7/24)</v>
      </c>
      <c r="K211" s="6">
        <f>YEAR(C207)</f>
        <v>2022</v>
      </c>
      <c r="L211" s="6">
        <f>WEEKNUM(C207,2)</f>
        <v>30</v>
      </c>
      <c r="O211" s="1" t="str">
        <f t="shared" si="35"/>
        <v>YPO</v>
      </c>
      <c r="P211" s="1" t="s">
        <v>451</v>
      </c>
      <c r="Q211" s="1" t="s">
        <v>121</v>
      </c>
      <c r="R211" s="1" t="s">
        <v>112</v>
      </c>
      <c r="S211" s="1">
        <v>41</v>
      </c>
      <c r="AA211" t="s">
        <v>49</v>
      </c>
      <c r="AB211" s="1" t="s">
        <v>695</v>
      </c>
      <c r="AS211" s="15" t="s">
        <v>799</v>
      </c>
      <c r="AT211" s="16" t="s">
        <v>51</v>
      </c>
    </row>
    <row r="212" spans="1:46" ht="17.5" thickBot="1" x14ac:dyDescent="0.4">
      <c r="A212" s="6">
        <f t="shared" si="28"/>
        <v>2022</v>
      </c>
      <c r="B212" s="6">
        <f t="shared" si="29"/>
        <v>7</v>
      </c>
      <c r="C212" s="7">
        <v>44765</v>
      </c>
      <c r="D212" s="6">
        <f t="shared" si="30"/>
        <v>6</v>
      </c>
      <c r="E212" s="6">
        <f t="shared" si="31"/>
        <v>30</v>
      </c>
      <c r="F212" s="6">
        <f t="shared" si="32"/>
        <v>3</v>
      </c>
      <c r="G212" s="6" t="str">
        <f t="shared" si="33"/>
        <v>07</v>
      </c>
      <c r="H212" s="6" t="str">
        <f t="shared" si="34"/>
        <v>07월 3주차</v>
      </c>
      <c r="I212" s="6" t="str">
        <f>H212&amp;" ("&amp;TEXT(C207,"m/dd")&amp;"~"&amp;TEXT(C213,"m/dd")&amp;")"</f>
        <v>07월 3주차 (7/18~7/24)</v>
      </c>
      <c r="J212" s="6" t="str">
        <f>A207&amp;"년 "&amp;WEEKNUM(C207,2)&amp;"주차"&amp;" ("&amp;TEXT(C207,"m/dd")&amp;"~"&amp;TEXT(C213,"m/dd")&amp;")"</f>
        <v>2022년 30주차 (7/18~7/24)</v>
      </c>
      <c r="K212" s="6">
        <f>YEAR(C207)</f>
        <v>2022</v>
      </c>
      <c r="L212" s="6">
        <f>WEEKNUM(C207,2)</f>
        <v>30</v>
      </c>
      <c r="O212" s="1" t="str">
        <f t="shared" si="35"/>
        <v>YPG</v>
      </c>
      <c r="P212" s="1" t="s">
        <v>451</v>
      </c>
      <c r="Q212" s="1" t="s">
        <v>121</v>
      </c>
      <c r="R212" s="1" t="s">
        <v>211</v>
      </c>
      <c r="S212" s="1">
        <v>42</v>
      </c>
      <c r="AS212" s="15" t="s">
        <v>601</v>
      </c>
      <c r="AT212" s="16" t="s">
        <v>800</v>
      </c>
    </row>
    <row r="213" spans="1:46" ht="17.5" thickBot="1" x14ac:dyDescent="0.4">
      <c r="A213" s="6">
        <f t="shared" si="28"/>
        <v>2022</v>
      </c>
      <c r="B213" s="6">
        <f t="shared" si="29"/>
        <v>7</v>
      </c>
      <c r="C213" s="7">
        <v>44766</v>
      </c>
      <c r="D213" s="6">
        <f t="shared" si="30"/>
        <v>7</v>
      </c>
      <c r="E213" s="6">
        <f t="shared" si="31"/>
        <v>30</v>
      </c>
      <c r="F213" s="6">
        <f t="shared" si="32"/>
        <v>3</v>
      </c>
      <c r="G213" s="6" t="str">
        <f t="shared" si="33"/>
        <v>07</v>
      </c>
      <c r="H213" s="6" t="str">
        <f t="shared" si="34"/>
        <v>07월 3주차</v>
      </c>
      <c r="I213" s="6" t="str">
        <f>H213&amp;" ("&amp;TEXT(C207,"m/dd")&amp;"~"&amp;TEXT(C213,"m/dd")&amp;")"</f>
        <v>07월 3주차 (7/18~7/24)</v>
      </c>
      <c r="J213" s="6" t="str">
        <f>A207&amp;"년 "&amp;WEEKNUM(C207,2)&amp;"주차"&amp;" ("&amp;TEXT(C207,"m/dd")&amp;"~"&amp;TEXT(C213,"m/dd")&amp;")"</f>
        <v>2022년 30주차 (7/18~7/24)</v>
      </c>
      <c r="K213" s="6">
        <f>YEAR(C207)</f>
        <v>2022</v>
      </c>
      <c r="L213" s="6">
        <f>WEEKNUM(C207,2)</f>
        <v>30</v>
      </c>
      <c r="O213" s="1" t="str">
        <f t="shared" si="35"/>
        <v>RSY</v>
      </c>
      <c r="P213" s="1" t="s">
        <v>603</v>
      </c>
      <c r="Q213" s="1" t="s">
        <v>121</v>
      </c>
      <c r="R213" s="1" t="s">
        <v>122</v>
      </c>
      <c r="S213" s="1">
        <v>21</v>
      </c>
      <c r="AS213" s="15" t="s">
        <v>669</v>
      </c>
      <c r="AT213" s="16" t="s">
        <v>801</v>
      </c>
    </row>
    <row r="214" spans="1:46" ht="17.5" thickBot="1" x14ac:dyDescent="0.4">
      <c r="A214" s="6">
        <f t="shared" si="28"/>
        <v>2022</v>
      </c>
      <c r="B214" s="6">
        <f t="shared" si="29"/>
        <v>7</v>
      </c>
      <c r="C214" s="7">
        <v>44767</v>
      </c>
      <c r="D214" s="6">
        <f t="shared" si="30"/>
        <v>1</v>
      </c>
      <c r="E214" s="6">
        <f t="shared" si="31"/>
        <v>31</v>
      </c>
      <c r="F214" s="6">
        <f t="shared" si="32"/>
        <v>4</v>
      </c>
      <c r="G214" s="6" t="str">
        <f t="shared" si="33"/>
        <v>07</v>
      </c>
      <c r="H214" s="6" t="str">
        <f t="shared" si="34"/>
        <v>07월 4주차</v>
      </c>
      <c r="I214" s="6" t="str">
        <f>H214&amp;" ("&amp;TEXT(C214,"m/dd")&amp;"~"&amp;TEXT(C220,"m/dd")&amp;")"</f>
        <v>07월 4주차 (7/25~7/31)</v>
      </c>
      <c r="J214" s="6" t="str">
        <f>A214&amp;"년 "&amp;WEEKNUM(C214,2)&amp;"주차"&amp;" ("&amp;TEXT(C214,"m/dd")&amp;"~"&amp;TEXT(C220,"m/dd")&amp;")"</f>
        <v>2022년 31주차 (7/25~7/31)</v>
      </c>
      <c r="K214" s="6">
        <f>YEAR(C214)</f>
        <v>2022</v>
      </c>
      <c r="L214" s="6">
        <f>WEEKNUM(C214,2)</f>
        <v>31</v>
      </c>
      <c r="O214" s="1" t="str">
        <f t="shared" si="35"/>
        <v>RSB</v>
      </c>
      <c r="P214" s="1" t="s">
        <v>603</v>
      </c>
      <c r="Q214" s="1" t="s">
        <v>121</v>
      </c>
      <c r="R214" s="1" t="s">
        <v>129</v>
      </c>
      <c r="S214" s="1">
        <v>22</v>
      </c>
      <c r="AS214" s="15" t="s">
        <v>802</v>
      </c>
      <c r="AT214" s="16" t="s">
        <v>803</v>
      </c>
    </row>
    <row r="215" spans="1:46" ht="17.5" thickBot="1" x14ac:dyDescent="0.4">
      <c r="A215" s="6">
        <f t="shared" si="28"/>
        <v>2022</v>
      </c>
      <c r="B215" s="6">
        <f t="shared" si="29"/>
        <v>7</v>
      </c>
      <c r="C215" s="7">
        <v>44768</v>
      </c>
      <c r="D215" s="6">
        <f t="shared" si="30"/>
        <v>2</v>
      </c>
      <c r="E215" s="6">
        <f t="shared" si="31"/>
        <v>31</v>
      </c>
      <c r="F215" s="6">
        <f t="shared" si="32"/>
        <v>4</v>
      </c>
      <c r="G215" s="6" t="str">
        <f t="shared" si="33"/>
        <v>07</v>
      </c>
      <c r="H215" s="6" t="str">
        <f t="shared" si="34"/>
        <v>07월 4주차</v>
      </c>
      <c r="I215" s="6" t="str">
        <f>H215&amp;" ("&amp;TEXT(C214,"m/dd")&amp;"~"&amp;TEXT(C220,"m/dd")&amp;")"</f>
        <v>07월 4주차 (7/25~7/31)</v>
      </c>
      <c r="J215" s="6" t="str">
        <f>A214&amp;"년 "&amp;WEEKNUM(C214,2)&amp;"주차"&amp;" ("&amp;TEXT(C214,"m/dd")&amp;"~"&amp;TEXT(C220,"m/dd")&amp;")"</f>
        <v>2022년 31주차 (7/25~7/31)</v>
      </c>
      <c r="K215" s="6">
        <f>YEAR(C214)</f>
        <v>2022</v>
      </c>
      <c r="L215" s="6">
        <f>WEEKNUM(C214,2)</f>
        <v>31</v>
      </c>
      <c r="O215" s="1" t="str">
        <f t="shared" si="35"/>
        <v>RSM</v>
      </c>
      <c r="P215" s="1" t="s">
        <v>603</v>
      </c>
      <c r="Q215" s="1" t="s">
        <v>121</v>
      </c>
      <c r="R215" s="1" t="s">
        <v>137</v>
      </c>
      <c r="S215" s="1">
        <v>23</v>
      </c>
      <c r="AS215" s="15" t="s">
        <v>605</v>
      </c>
      <c r="AT215" s="16" t="s">
        <v>804</v>
      </c>
    </row>
    <row r="216" spans="1:46" ht="17.5" thickBot="1" x14ac:dyDescent="0.4">
      <c r="A216" s="6">
        <f t="shared" si="28"/>
        <v>2022</v>
      </c>
      <c r="B216" s="6">
        <f t="shared" si="29"/>
        <v>7</v>
      </c>
      <c r="C216" s="7">
        <v>44769</v>
      </c>
      <c r="D216" s="6">
        <f t="shared" si="30"/>
        <v>3</v>
      </c>
      <c r="E216" s="6">
        <f t="shared" si="31"/>
        <v>31</v>
      </c>
      <c r="F216" s="6">
        <f t="shared" si="32"/>
        <v>4</v>
      </c>
      <c r="G216" s="6" t="str">
        <f t="shared" si="33"/>
        <v>07</v>
      </c>
      <c r="H216" s="6" t="str">
        <f t="shared" si="34"/>
        <v>07월 4주차</v>
      </c>
      <c r="I216" s="6" t="str">
        <f>H216&amp;" ("&amp;TEXT(C214,"m/dd")&amp;"~"&amp;TEXT(C220,"m/dd")&amp;")"</f>
        <v>07월 4주차 (7/25~7/31)</v>
      </c>
      <c r="J216" s="6" t="str">
        <f>A214&amp;"년 "&amp;WEEKNUM(C214,2)&amp;"주차"&amp;" ("&amp;TEXT(C214,"m/dd")&amp;"~"&amp;TEXT(C220,"m/dd")&amp;")"</f>
        <v>2022년 31주차 (7/25~7/31)</v>
      </c>
      <c r="K216" s="6">
        <f>YEAR(C214)</f>
        <v>2022</v>
      </c>
      <c r="L216" s="6">
        <f>WEEKNUM(C214,2)</f>
        <v>31</v>
      </c>
      <c r="O216" s="1" t="str">
        <f t="shared" si="35"/>
        <v>RSH</v>
      </c>
      <c r="P216" s="1" t="s">
        <v>603</v>
      </c>
      <c r="Q216" s="1" t="s">
        <v>121</v>
      </c>
      <c r="R216" s="1" t="s">
        <v>154</v>
      </c>
      <c r="S216" s="1">
        <v>24</v>
      </c>
      <c r="AS216" s="15" t="s">
        <v>62</v>
      </c>
      <c r="AT216" s="16" t="s">
        <v>805</v>
      </c>
    </row>
    <row r="217" spans="1:46" ht="17.5" thickBot="1" x14ac:dyDescent="0.4">
      <c r="A217" s="6">
        <f t="shared" si="28"/>
        <v>2022</v>
      </c>
      <c r="B217" s="6">
        <f t="shared" si="29"/>
        <v>7</v>
      </c>
      <c r="C217" s="7">
        <v>44770</v>
      </c>
      <c r="D217" s="6">
        <f t="shared" si="30"/>
        <v>4</v>
      </c>
      <c r="E217" s="6">
        <f t="shared" si="31"/>
        <v>31</v>
      </c>
      <c r="F217" s="6">
        <f t="shared" si="32"/>
        <v>4</v>
      </c>
      <c r="G217" s="6" t="str">
        <f t="shared" si="33"/>
        <v>07</v>
      </c>
      <c r="H217" s="6" t="str">
        <f t="shared" si="34"/>
        <v>07월 4주차</v>
      </c>
      <c r="I217" s="6" t="str">
        <f>H217&amp;" ("&amp;TEXT(C214,"m/dd")&amp;"~"&amp;TEXT(C220,"m/dd")&amp;")"</f>
        <v>07월 4주차 (7/25~7/31)</v>
      </c>
      <c r="J217" s="6" t="str">
        <f>A214&amp;"년 "&amp;WEEKNUM(C214,2)&amp;"주차"&amp;" ("&amp;TEXT(C214,"m/dd")&amp;"~"&amp;TEXT(C220,"m/dd")&amp;")"</f>
        <v>2022년 31주차 (7/25~7/31)</v>
      </c>
      <c r="K217" s="6">
        <f>YEAR(C214)</f>
        <v>2022</v>
      </c>
      <c r="L217" s="6">
        <f>WEEKNUM(C214,2)</f>
        <v>31</v>
      </c>
      <c r="O217" s="1" t="str">
        <f t="shared" si="35"/>
        <v>RSE</v>
      </c>
      <c r="P217" s="1" t="s">
        <v>603</v>
      </c>
      <c r="Q217" s="1" t="s">
        <v>121</v>
      </c>
      <c r="R217" s="1" t="s">
        <v>163</v>
      </c>
      <c r="S217" s="1">
        <v>25</v>
      </c>
      <c r="AS217" s="15" t="s">
        <v>576</v>
      </c>
      <c r="AT217" s="16" t="s">
        <v>806</v>
      </c>
    </row>
    <row r="218" spans="1:46" ht="31.5" thickBot="1" x14ac:dyDescent="0.4">
      <c r="A218" s="6">
        <f t="shared" si="28"/>
        <v>2022</v>
      </c>
      <c r="B218" s="6">
        <f t="shared" si="29"/>
        <v>7</v>
      </c>
      <c r="C218" s="7">
        <v>44771</v>
      </c>
      <c r="D218" s="6">
        <f t="shared" si="30"/>
        <v>5</v>
      </c>
      <c r="E218" s="6">
        <f t="shared" si="31"/>
        <v>31</v>
      </c>
      <c r="F218" s="6">
        <f t="shared" si="32"/>
        <v>4</v>
      </c>
      <c r="G218" s="6" t="str">
        <f t="shared" si="33"/>
        <v>07</v>
      </c>
      <c r="H218" s="6" t="str">
        <f t="shared" si="34"/>
        <v>07월 4주차</v>
      </c>
      <c r="I218" s="6" t="str">
        <f>H218&amp;" ("&amp;TEXT(C214,"m/dd")&amp;"~"&amp;TEXT(C220,"m/dd")&amp;")"</f>
        <v>07월 4주차 (7/25~7/31)</v>
      </c>
      <c r="J218" s="6" t="str">
        <f>A214&amp;"년 "&amp;WEEKNUM(C214,2)&amp;"주차"&amp;" ("&amp;TEXT(C214,"m/dd")&amp;"~"&amp;TEXT(C220,"m/dd")&amp;")"</f>
        <v>2022년 31주차 (7/25~7/31)</v>
      </c>
      <c r="K218" s="6">
        <f>YEAR(C214)</f>
        <v>2022</v>
      </c>
      <c r="L218" s="6">
        <f>WEEKNUM(C214,2)</f>
        <v>31</v>
      </c>
      <c r="O218" s="1" t="str">
        <f t="shared" si="35"/>
        <v>RSQ</v>
      </c>
      <c r="P218" s="1" t="s">
        <v>603</v>
      </c>
      <c r="Q218" s="1" t="s">
        <v>121</v>
      </c>
      <c r="R218" s="1" t="s">
        <v>191</v>
      </c>
      <c r="S218" s="1">
        <v>26</v>
      </c>
      <c r="AS218" s="15" t="s">
        <v>756</v>
      </c>
      <c r="AT218" s="16" t="s">
        <v>807</v>
      </c>
    </row>
    <row r="219" spans="1:46" ht="17.5" thickBot="1" x14ac:dyDescent="0.4">
      <c r="A219" s="6">
        <f t="shared" si="28"/>
        <v>2022</v>
      </c>
      <c r="B219" s="6">
        <f t="shared" si="29"/>
        <v>7</v>
      </c>
      <c r="C219" s="7">
        <v>44772</v>
      </c>
      <c r="D219" s="6">
        <f t="shared" si="30"/>
        <v>6</v>
      </c>
      <c r="E219" s="6">
        <f t="shared" si="31"/>
        <v>31</v>
      </c>
      <c r="F219" s="6">
        <f t="shared" si="32"/>
        <v>4</v>
      </c>
      <c r="G219" s="6" t="str">
        <f t="shared" si="33"/>
        <v>07</v>
      </c>
      <c r="H219" s="6" t="str">
        <f t="shared" si="34"/>
        <v>07월 4주차</v>
      </c>
      <c r="I219" s="6" t="str">
        <f>H219&amp;" ("&amp;TEXT(C214,"m/dd")&amp;"~"&amp;TEXT(C220,"m/dd")&amp;")"</f>
        <v>07월 4주차 (7/25~7/31)</v>
      </c>
      <c r="J219" s="6" t="str">
        <f>A214&amp;"년 "&amp;WEEKNUM(C214,2)&amp;"주차"&amp;" ("&amp;TEXT(C214,"m/dd")&amp;"~"&amp;TEXT(C220,"m/dd")&amp;")"</f>
        <v>2022년 31주차 (7/25~7/31)</v>
      </c>
      <c r="K219" s="6">
        <f>YEAR(C214)</f>
        <v>2022</v>
      </c>
      <c r="L219" s="6">
        <f>WEEKNUM(C214,2)</f>
        <v>31</v>
      </c>
      <c r="O219" s="1" t="str">
        <f t="shared" si="35"/>
        <v>RSK</v>
      </c>
      <c r="P219" s="1" t="s">
        <v>603</v>
      </c>
      <c r="Q219" s="1" t="s">
        <v>121</v>
      </c>
      <c r="R219" s="1" t="s">
        <v>171</v>
      </c>
      <c r="S219" s="1">
        <v>27</v>
      </c>
      <c r="AS219" s="15" t="s">
        <v>808</v>
      </c>
      <c r="AT219" s="16" t="s">
        <v>493</v>
      </c>
    </row>
    <row r="220" spans="1:46" ht="17.5" thickBot="1" x14ac:dyDescent="0.4">
      <c r="A220" s="6">
        <f t="shared" si="28"/>
        <v>2022</v>
      </c>
      <c r="B220" s="6">
        <f t="shared" si="29"/>
        <v>7</v>
      </c>
      <c r="C220" s="7">
        <v>44773</v>
      </c>
      <c r="D220" s="6">
        <f t="shared" si="30"/>
        <v>7</v>
      </c>
      <c r="E220" s="6">
        <f t="shared" si="31"/>
        <v>31</v>
      </c>
      <c r="F220" s="6">
        <f t="shared" si="32"/>
        <v>4</v>
      </c>
      <c r="G220" s="6" t="str">
        <f t="shared" si="33"/>
        <v>07</v>
      </c>
      <c r="H220" s="6" t="str">
        <f t="shared" si="34"/>
        <v>07월 4주차</v>
      </c>
      <c r="I220" s="6" t="str">
        <f>H220&amp;" ("&amp;TEXT(C214,"m/dd")&amp;"~"&amp;TEXT(C220,"m/dd")&amp;")"</f>
        <v>07월 4주차 (7/25~7/31)</v>
      </c>
      <c r="J220" s="6" t="str">
        <f>A214&amp;"년 "&amp;WEEKNUM(C214,2)&amp;"주차"&amp;" ("&amp;TEXT(C214,"m/dd")&amp;"~"&amp;TEXT(C220,"m/dd")&amp;")"</f>
        <v>2022년 31주차 (7/25~7/31)</v>
      </c>
      <c r="K220" s="6">
        <f>YEAR(C214)</f>
        <v>2022</v>
      </c>
      <c r="L220" s="6">
        <f>WEEKNUM(C214,2)</f>
        <v>31</v>
      </c>
      <c r="O220" s="1" t="str">
        <f t="shared" si="35"/>
        <v>RSS</v>
      </c>
      <c r="P220" s="1" t="s">
        <v>603</v>
      </c>
      <c r="Q220" s="1" t="s">
        <v>121</v>
      </c>
      <c r="R220" s="1" t="s">
        <v>145</v>
      </c>
      <c r="S220" s="1">
        <v>28</v>
      </c>
      <c r="AS220" s="15" t="s">
        <v>297</v>
      </c>
      <c r="AT220" s="16" t="s">
        <v>203</v>
      </c>
    </row>
    <row r="221" spans="1:46" ht="17.5" thickBot="1" x14ac:dyDescent="0.4">
      <c r="A221" s="6">
        <f t="shared" si="28"/>
        <v>2022</v>
      </c>
      <c r="B221" s="6">
        <f t="shared" si="29"/>
        <v>8</v>
      </c>
      <c r="C221" s="7">
        <v>44774</v>
      </c>
      <c r="D221" s="6">
        <f t="shared" si="30"/>
        <v>1</v>
      </c>
      <c r="E221" s="6">
        <f t="shared" si="31"/>
        <v>32</v>
      </c>
      <c r="F221" s="6">
        <f t="shared" si="32"/>
        <v>1</v>
      </c>
      <c r="G221" s="6" t="str">
        <f t="shared" si="33"/>
        <v>08</v>
      </c>
      <c r="H221" s="6" t="str">
        <f t="shared" si="34"/>
        <v>08월 1주차</v>
      </c>
      <c r="I221" s="6" t="str">
        <f>H221&amp;" ("&amp;TEXT(C221,"m/dd")&amp;"~"&amp;TEXT(C227,"m/dd")&amp;")"</f>
        <v>08월 1주차 (8/01~8/07)</v>
      </c>
      <c r="J221" s="6" t="str">
        <f>A221&amp;"년 "&amp;WEEKNUM(C221,2)&amp;"주차"&amp;" ("&amp;TEXT(C221,"m/dd")&amp;"~"&amp;TEXT(C227,"m/dd")&amp;")"</f>
        <v>2022년 32주차 (8/01~8/07)</v>
      </c>
      <c r="K221" s="6">
        <f>YEAR(C221)</f>
        <v>2022</v>
      </c>
      <c r="L221" s="6">
        <f>WEEKNUM(C221,2)</f>
        <v>32</v>
      </c>
      <c r="O221" s="1" t="str">
        <f t="shared" si="35"/>
        <v>RSO</v>
      </c>
      <c r="P221" s="1" t="s">
        <v>603</v>
      </c>
      <c r="Q221" s="1" t="s">
        <v>121</v>
      </c>
      <c r="R221" s="1" t="s">
        <v>112</v>
      </c>
      <c r="S221" s="1">
        <v>29</v>
      </c>
      <c r="AS221" s="15" t="s">
        <v>809</v>
      </c>
      <c r="AT221" s="16" t="s">
        <v>326</v>
      </c>
    </row>
    <row r="222" spans="1:46" ht="17.5" thickBot="1" x14ac:dyDescent="0.4">
      <c r="A222" s="6">
        <f t="shared" si="28"/>
        <v>2022</v>
      </c>
      <c r="B222" s="6">
        <f t="shared" si="29"/>
        <v>8</v>
      </c>
      <c r="C222" s="7">
        <v>44775</v>
      </c>
      <c r="D222" s="6">
        <f t="shared" si="30"/>
        <v>2</v>
      </c>
      <c r="E222" s="6">
        <f t="shared" si="31"/>
        <v>32</v>
      </c>
      <c r="F222" s="6">
        <f t="shared" si="32"/>
        <v>1</v>
      </c>
      <c r="G222" s="6" t="str">
        <f t="shared" si="33"/>
        <v>08</v>
      </c>
      <c r="H222" s="6" t="str">
        <f t="shared" si="34"/>
        <v>08월 1주차</v>
      </c>
      <c r="I222" s="6" t="str">
        <f>H222&amp;" ("&amp;TEXT(C221,"m/dd")&amp;"~"&amp;TEXT(C227,"m/dd")&amp;")"</f>
        <v>08월 1주차 (8/01~8/07)</v>
      </c>
      <c r="J222" s="6" t="str">
        <f>A221&amp;"년 "&amp;WEEKNUM(C221,2)&amp;"주차"&amp;" ("&amp;TEXT(C221,"m/dd")&amp;"~"&amp;TEXT(C227,"m/dd")&amp;")"</f>
        <v>2022년 32주차 (8/01~8/07)</v>
      </c>
      <c r="K222" s="6">
        <f>YEAR(C221)</f>
        <v>2022</v>
      </c>
      <c r="L222" s="6">
        <f>WEEKNUM(C221,2)</f>
        <v>32</v>
      </c>
      <c r="O222" s="1" t="str">
        <f t="shared" si="35"/>
        <v>RSL</v>
      </c>
      <c r="P222" s="1" t="s">
        <v>603</v>
      </c>
      <c r="Q222" s="1" t="s">
        <v>121</v>
      </c>
      <c r="R222" s="1" t="s">
        <v>178</v>
      </c>
      <c r="S222" s="1">
        <v>30</v>
      </c>
      <c r="AS222" s="15" t="s">
        <v>662</v>
      </c>
      <c r="AT222" s="16" t="s">
        <v>810</v>
      </c>
    </row>
    <row r="223" spans="1:46" ht="17.5" thickBot="1" x14ac:dyDescent="0.4">
      <c r="A223" s="6">
        <f t="shared" si="28"/>
        <v>2022</v>
      </c>
      <c r="B223" s="6">
        <f t="shared" si="29"/>
        <v>8</v>
      </c>
      <c r="C223" s="7">
        <v>44776</v>
      </c>
      <c r="D223" s="6">
        <f t="shared" si="30"/>
        <v>3</v>
      </c>
      <c r="E223" s="6">
        <f t="shared" si="31"/>
        <v>32</v>
      </c>
      <c r="F223" s="6">
        <f t="shared" si="32"/>
        <v>1</v>
      </c>
      <c r="G223" s="6" t="str">
        <f t="shared" si="33"/>
        <v>08</v>
      </c>
      <c r="H223" s="6" t="str">
        <f t="shared" si="34"/>
        <v>08월 1주차</v>
      </c>
      <c r="I223" s="6" t="str">
        <f>H223&amp;" ("&amp;TEXT(C221,"m/dd")&amp;"~"&amp;TEXT(C227,"m/dd")&amp;")"</f>
        <v>08월 1주차 (8/01~8/07)</v>
      </c>
      <c r="J223" s="6" t="str">
        <f>A221&amp;"년 "&amp;WEEKNUM(C221,2)&amp;"주차"&amp;" ("&amp;TEXT(C221,"m/dd")&amp;"~"&amp;TEXT(C227,"m/dd")&amp;")"</f>
        <v>2022년 32주차 (8/01~8/07)</v>
      </c>
      <c r="K223" s="6">
        <f>YEAR(C221)</f>
        <v>2022</v>
      </c>
      <c r="L223" s="6">
        <f>WEEKNUM(C221,2)</f>
        <v>32</v>
      </c>
      <c r="O223" s="1" t="str">
        <f t="shared" si="35"/>
        <v>RSW</v>
      </c>
      <c r="P223" s="1" t="s">
        <v>603</v>
      </c>
      <c r="Q223" s="1" t="s">
        <v>121</v>
      </c>
      <c r="R223" s="1" t="s">
        <v>335</v>
      </c>
      <c r="S223" s="1">
        <v>31</v>
      </c>
      <c r="AS223" s="15" t="s">
        <v>609</v>
      </c>
      <c r="AT223" s="16" t="s">
        <v>811</v>
      </c>
    </row>
    <row r="224" spans="1:46" ht="17.5" thickBot="1" x14ac:dyDescent="0.4">
      <c r="A224" s="6">
        <f t="shared" si="28"/>
        <v>2022</v>
      </c>
      <c r="B224" s="6">
        <f t="shared" si="29"/>
        <v>8</v>
      </c>
      <c r="C224" s="7">
        <v>44777</v>
      </c>
      <c r="D224" s="6">
        <f t="shared" si="30"/>
        <v>4</v>
      </c>
      <c r="E224" s="6">
        <f t="shared" si="31"/>
        <v>32</v>
      </c>
      <c r="F224" s="6">
        <f t="shared" si="32"/>
        <v>1</v>
      </c>
      <c r="G224" s="6" t="str">
        <f t="shared" si="33"/>
        <v>08</v>
      </c>
      <c r="H224" s="6" t="str">
        <f t="shared" si="34"/>
        <v>08월 1주차</v>
      </c>
      <c r="I224" s="6" t="str">
        <f>H224&amp;" ("&amp;TEXT(C221,"m/dd")&amp;"~"&amp;TEXT(C227,"m/dd")&amp;")"</f>
        <v>08월 1주차 (8/01~8/07)</v>
      </c>
      <c r="J224" s="6" t="str">
        <f>A221&amp;"년 "&amp;WEEKNUM(C221,2)&amp;"주차"&amp;" ("&amp;TEXT(C221,"m/dd")&amp;"~"&amp;TEXT(C227,"m/dd")&amp;")"</f>
        <v>2022년 32주차 (8/01~8/07)</v>
      </c>
      <c r="K224" s="6">
        <f>YEAR(C221)</f>
        <v>2022</v>
      </c>
      <c r="L224" s="6">
        <f>WEEKNUM(C221,2)</f>
        <v>32</v>
      </c>
      <c r="O224" s="1" t="str">
        <f t="shared" si="35"/>
        <v>RST</v>
      </c>
      <c r="P224" s="1" t="s">
        <v>603</v>
      </c>
      <c r="Q224" s="1" t="s">
        <v>121</v>
      </c>
      <c r="R224" s="1" t="s">
        <v>204</v>
      </c>
      <c r="S224" s="1">
        <v>32</v>
      </c>
      <c r="AS224" s="15" t="s">
        <v>641</v>
      </c>
      <c r="AT224" s="16" t="s">
        <v>812</v>
      </c>
    </row>
    <row r="225" spans="1:46" ht="17.5" thickBot="1" x14ac:dyDescent="0.4">
      <c r="A225" s="6">
        <f t="shared" si="28"/>
        <v>2022</v>
      </c>
      <c r="B225" s="6">
        <f t="shared" si="29"/>
        <v>8</v>
      </c>
      <c r="C225" s="7">
        <v>44778</v>
      </c>
      <c r="D225" s="6">
        <f t="shared" si="30"/>
        <v>5</v>
      </c>
      <c r="E225" s="6">
        <f t="shared" si="31"/>
        <v>32</v>
      </c>
      <c r="F225" s="6">
        <f t="shared" si="32"/>
        <v>1</v>
      </c>
      <c r="G225" s="6" t="str">
        <f t="shared" si="33"/>
        <v>08</v>
      </c>
      <c r="H225" s="6" t="str">
        <f t="shared" si="34"/>
        <v>08월 1주차</v>
      </c>
      <c r="I225" s="6" t="str">
        <f>H225&amp;" ("&amp;TEXT(C221,"m/dd")&amp;"~"&amp;TEXT(C227,"m/dd")&amp;")"</f>
        <v>08월 1주차 (8/01~8/07)</v>
      </c>
      <c r="J225" s="6" t="str">
        <f>A221&amp;"년 "&amp;WEEKNUM(C221,2)&amp;"주차"&amp;" ("&amp;TEXT(C221,"m/dd")&amp;"~"&amp;TEXT(C227,"m/dd")&amp;")"</f>
        <v>2022년 32주차 (8/01~8/07)</v>
      </c>
      <c r="K225" s="6">
        <f>YEAR(C221)</f>
        <v>2022</v>
      </c>
      <c r="L225" s="6">
        <f>WEEKNUM(C221,2)</f>
        <v>32</v>
      </c>
      <c r="O225" s="1" t="str">
        <f t="shared" si="35"/>
        <v>RSR</v>
      </c>
      <c r="P225" s="1" t="s">
        <v>603</v>
      </c>
      <c r="Q225" s="1" t="s">
        <v>121</v>
      </c>
      <c r="R225" s="1" t="s">
        <v>95</v>
      </c>
      <c r="S225" s="1">
        <v>33</v>
      </c>
      <c r="AS225" s="15" t="s">
        <v>217</v>
      </c>
      <c r="AT225" s="16" t="s">
        <v>583</v>
      </c>
    </row>
    <row r="226" spans="1:46" ht="17.5" thickBot="1" x14ac:dyDescent="0.4">
      <c r="A226" s="6">
        <f t="shared" si="28"/>
        <v>2022</v>
      </c>
      <c r="B226" s="6">
        <f t="shared" si="29"/>
        <v>8</v>
      </c>
      <c r="C226" s="7">
        <v>44779</v>
      </c>
      <c r="D226" s="6">
        <f t="shared" si="30"/>
        <v>6</v>
      </c>
      <c r="E226" s="6">
        <f t="shared" si="31"/>
        <v>32</v>
      </c>
      <c r="F226" s="6">
        <f t="shared" si="32"/>
        <v>1</v>
      </c>
      <c r="G226" s="6" t="str">
        <f t="shared" si="33"/>
        <v>08</v>
      </c>
      <c r="H226" s="6" t="str">
        <f t="shared" si="34"/>
        <v>08월 1주차</v>
      </c>
      <c r="I226" s="6" t="str">
        <f>H226&amp;" ("&amp;TEXT(C221,"m/dd")&amp;"~"&amp;TEXT(C227,"m/dd")&amp;")"</f>
        <v>08월 1주차 (8/01~8/07)</v>
      </c>
      <c r="J226" s="6" t="str">
        <f>A221&amp;"년 "&amp;WEEKNUM(C221,2)&amp;"주차"&amp;" ("&amp;TEXT(C221,"m/dd")&amp;"~"&amp;TEXT(C227,"m/dd")&amp;")"</f>
        <v>2022년 32주차 (8/01~8/07)</v>
      </c>
      <c r="K226" s="6">
        <f>YEAR(C221)</f>
        <v>2022</v>
      </c>
      <c r="L226" s="6">
        <f>WEEKNUM(C221,2)</f>
        <v>32</v>
      </c>
      <c r="O226" s="1" t="str">
        <f t="shared" si="35"/>
        <v>RSU</v>
      </c>
      <c r="P226" s="1" t="s">
        <v>603</v>
      </c>
      <c r="Q226" s="1" t="s">
        <v>121</v>
      </c>
      <c r="R226" s="1" t="s">
        <v>185</v>
      </c>
      <c r="S226" s="1">
        <v>34</v>
      </c>
      <c r="AS226" s="15" t="s">
        <v>730</v>
      </c>
      <c r="AT226" s="16" t="s">
        <v>813</v>
      </c>
    </row>
    <row r="227" spans="1:46" ht="17.5" thickBot="1" x14ac:dyDescent="0.4">
      <c r="A227" s="6">
        <f t="shared" si="28"/>
        <v>2022</v>
      </c>
      <c r="B227" s="6">
        <f t="shared" si="29"/>
        <v>8</v>
      </c>
      <c r="C227" s="7">
        <v>44780</v>
      </c>
      <c r="D227" s="6">
        <f t="shared" si="30"/>
        <v>7</v>
      </c>
      <c r="E227" s="6">
        <f t="shared" si="31"/>
        <v>32</v>
      </c>
      <c r="F227" s="6">
        <f t="shared" si="32"/>
        <v>1</v>
      </c>
      <c r="G227" s="6" t="str">
        <f t="shared" si="33"/>
        <v>08</v>
      </c>
      <c r="H227" s="6" t="str">
        <f t="shared" si="34"/>
        <v>08월 1주차</v>
      </c>
      <c r="I227" s="6" t="str">
        <f>H227&amp;" ("&amp;TEXT(C221,"m/dd")&amp;"~"&amp;TEXT(C227,"m/dd")&amp;")"</f>
        <v>08월 1주차 (8/01~8/07)</v>
      </c>
      <c r="J227" s="6" t="str">
        <f>A221&amp;"년 "&amp;WEEKNUM(C221,2)&amp;"주차"&amp;" ("&amp;TEXT(C221,"m/dd")&amp;"~"&amp;TEXT(C227,"m/dd")&amp;")"</f>
        <v>2022년 32주차 (8/01~8/07)</v>
      </c>
      <c r="K227" s="6">
        <f>YEAR(C221)</f>
        <v>2022</v>
      </c>
      <c r="L227" s="6">
        <f>WEEKNUM(C221,2)</f>
        <v>32</v>
      </c>
      <c r="O227" s="1" t="str">
        <f t="shared" si="35"/>
        <v>RSI</v>
      </c>
      <c r="P227" s="1" t="s">
        <v>603</v>
      </c>
      <c r="Q227" s="1" t="s">
        <v>121</v>
      </c>
      <c r="R227" s="1" t="s">
        <v>86</v>
      </c>
      <c r="S227" s="1">
        <v>35</v>
      </c>
      <c r="AS227" s="15" t="s">
        <v>765</v>
      </c>
      <c r="AT227" s="16" t="s">
        <v>814</v>
      </c>
    </row>
    <row r="228" spans="1:46" ht="17.5" thickBot="1" x14ac:dyDescent="0.4">
      <c r="A228" s="6">
        <f t="shared" si="28"/>
        <v>2022</v>
      </c>
      <c r="B228" s="6">
        <f t="shared" si="29"/>
        <v>8</v>
      </c>
      <c r="C228" s="7">
        <v>44781</v>
      </c>
      <c r="D228" s="6">
        <f t="shared" si="30"/>
        <v>1</v>
      </c>
      <c r="E228" s="6">
        <f t="shared" si="31"/>
        <v>33</v>
      </c>
      <c r="F228" s="6">
        <f t="shared" si="32"/>
        <v>2</v>
      </c>
      <c r="G228" s="6" t="str">
        <f t="shared" si="33"/>
        <v>08</v>
      </c>
      <c r="H228" s="6" t="str">
        <f t="shared" si="34"/>
        <v>08월 2주차</v>
      </c>
      <c r="I228" s="6" t="str">
        <f>H228&amp;" ("&amp;TEXT(C228,"m/dd")&amp;"~"&amp;TEXT(C234,"m/dd")&amp;")"</f>
        <v>08월 2주차 (8/08~8/14)</v>
      </c>
      <c r="J228" s="6" t="str">
        <f>A228&amp;"년 "&amp;WEEKNUM(C228,2)&amp;"주차"&amp;" ("&amp;TEXT(C228,"m/dd")&amp;"~"&amp;TEXT(C234,"m/dd")&amp;")"</f>
        <v>2022년 33주차 (8/08~8/14)</v>
      </c>
      <c r="K228" s="6">
        <f>YEAR(C228)</f>
        <v>2022</v>
      </c>
      <c r="L228" s="6">
        <f>WEEKNUM(C228,2)</f>
        <v>33</v>
      </c>
      <c r="O228" s="1" t="str">
        <f t="shared" si="35"/>
        <v>RSX</v>
      </c>
      <c r="P228" s="1" t="s">
        <v>603</v>
      </c>
      <c r="Q228" s="1" t="s">
        <v>121</v>
      </c>
      <c r="R228" s="1" t="s">
        <v>216</v>
      </c>
      <c r="S228" s="1">
        <v>36</v>
      </c>
      <c r="AS228" s="15" t="s">
        <v>781</v>
      </c>
      <c r="AT228" s="16" t="s">
        <v>399</v>
      </c>
    </row>
    <row r="229" spans="1:46" ht="17.5" thickBot="1" x14ac:dyDescent="0.4">
      <c r="A229" s="6">
        <f t="shared" si="28"/>
        <v>2022</v>
      </c>
      <c r="B229" s="6">
        <f t="shared" si="29"/>
        <v>8</v>
      </c>
      <c r="C229" s="7">
        <v>44782</v>
      </c>
      <c r="D229" s="6">
        <f t="shared" si="30"/>
        <v>2</v>
      </c>
      <c r="E229" s="6">
        <f t="shared" si="31"/>
        <v>33</v>
      </c>
      <c r="F229" s="6">
        <f t="shared" si="32"/>
        <v>2</v>
      </c>
      <c r="G229" s="6" t="str">
        <f t="shared" si="33"/>
        <v>08</v>
      </c>
      <c r="H229" s="6" t="str">
        <f t="shared" si="34"/>
        <v>08월 2주차</v>
      </c>
      <c r="I229" s="6" t="str">
        <f>H229&amp;" ("&amp;TEXT(C228,"m/dd")&amp;"~"&amp;TEXT(C234,"m/dd")&amp;")"</f>
        <v>08월 2주차 (8/08~8/14)</v>
      </c>
      <c r="J229" s="6" t="str">
        <f>A228&amp;"년 "&amp;WEEKNUM(C228,2)&amp;"주차"&amp;" ("&amp;TEXT(C228,"m/dd")&amp;"~"&amp;TEXT(C234,"m/dd")&amp;")"</f>
        <v>2022년 33주차 (8/08~8/14)</v>
      </c>
      <c r="K229" s="6">
        <f>YEAR(C228)</f>
        <v>2022</v>
      </c>
      <c r="L229" s="6">
        <f>WEEKNUM(C228,2)</f>
        <v>33</v>
      </c>
      <c r="O229" s="1" t="str">
        <f t="shared" si="35"/>
        <v>RSA</v>
      </c>
      <c r="P229" s="1" t="s">
        <v>603</v>
      </c>
      <c r="Q229" s="1" t="s">
        <v>121</v>
      </c>
      <c r="R229" s="1" t="s">
        <v>52</v>
      </c>
      <c r="S229" s="1">
        <v>37</v>
      </c>
      <c r="AS229" s="15" t="s">
        <v>555</v>
      </c>
      <c r="AT229" s="16" t="s">
        <v>815</v>
      </c>
    </row>
    <row r="230" spans="1:46" ht="17.5" thickBot="1" x14ac:dyDescent="0.4">
      <c r="A230" s="6">
        <f t="shared" si="28"/>
        <v>2022</v>
      </c>
      <c r="B230" s="6">
        <f t="shared" si="29"/>
        <v>8</v>
      </c>
      <c r="C230" s="7">
        <v>44783</v>
      </c>
      <c r="D230" s="6">
        <f t="shared" si="30"/>
        <v>3</v>
      </c>
      <c r="E230" s="6">
        <f t="shared" si="31"/>
        <v>33</v>
      </c>
      <c r="F230" s="6">
        <f t="shared" si="32"/>
        <v>2</v>
      </c>
      <c r="G230" s="6" t="str">
        <f t="shared" si="33"/>
        <v>08</v>
      </c>
      <c r="H230" s="6" t="str">
        <f t="shared" si="34"/>
        <v>08월 2주차</v>
      </c>
      <c r="I230" s="6" t="str">
        <f>H230&amp;" ("&amp;TEXT(C228,"m/dd")&amp;"~"&amp;TEXT(C234,"m/dd")&amp;")"</f>
        <v>08월 2주차 (8/08~8/14)</v>
      </c>
      <c r="J230" s="6" t="str">
        <f>A228&amp;"년 "&amp;WEEKNUM(C228,2)&amp;"주차"&amp;" ("&amp;TEXT(C228,"m/dd")&amp;"~"&amp;TEXT(C234,"m/dd")&amp;")"</f>
        <v>2022년 33주차 (8/08~8/14)</v>
      </c>
      <c r="K230" s="6">
        <f>YEAR(C228)</f>
        <v>2022</v>
      </c>
      <c r="L230" s="6">
        <f>WEEKNUM(C228,2)</f>
        <v>33</v>
      </c>
      <c r="O230" s="1" t="str">
        <f t="shared" si="35"/>
        <v>RSV</v>
      </c>
      <c r="P230" s="1" t="s">
        <v>603</v>
      </c>
      <c r="Q230" s="1" t="s">
        <v>121</v>
      </c>
      <c r="R230" s="1" t="s">
        <v>328</v>
      </c>
      <c r="S230" s="1">
        <v>38</v>
      </c>
      <c r="AS230" s="15" t="s">
        <v>665</v>
      </c>
      <c r="AT230" s="16" t="s">
        <v>505</v>
      </c>
    </row>
    <row r="231" spans="1:46" ht="17.5" thickBot="1" x14ac:dyDescent="0.4">
      <c r="A231" s="6">
        <f t="shared" si="28"/>
        <v>2022</v>
      </c>
      <c r="B231" s="6">
        <f t="shared" si="29"/>
        <v>8</v>
      </c>
      <c r="C231" s="7">
        <v>44784</v>
      </c>
      <c r="D231" s="6">
        <f t="shared" si="30"/>
        <v>4</v>
      </c>
      <c r="E231" s="6">
        <f t="shared" si="31"/>
        <v>33</v>
      </c>
      <c r="F231" s="6">
        <f t="shared" si="32"/>
        <v>2</v>
      </c>
      <c r="G231" s="6" t="str">
        <f t="shared" si="33"/>
        <v>08</v>
      </c>
      <c r="H231" s="6" t="str">
        <f t="shared" si="34"/>
        <v>08월 2주차</v>
      </c>
      <c r="I231" s="6" t="str">
        <f>H231&amp;" ("&amp;TEXT(C228,"m/dd")&amp;"~"&amp;TEXT(C234,"m/dd")&amp;")"</f>
        <v>08월 2주차 (8/08~8/14)</v>
      </c>
      <c r="J231" s="6" t="str">
        <f>A228&amp;"년 "&amp;WEEKNUM(C228,2)&amp;"주차"&amp;" ("&amp;TEXT(C228,"m/dd")&amp;"~"&amp;TEXT(C234,"m/dd")&amp;")"</f>
        <v>2022년 33주차 (8/08~8/14)</v>
      </c>
      <c r="K231" s="6">
        <f>YEAR(C228)</f>
        <v>2022</v>
      </c>
      <c r="L231" s="6">
        <f>WEEKNUM(C228,2)</f>
        <v>33</v>
      </c>
      <c r="O231" s="1" t="str">
        <f t="shared" si="35"/>
        <v>RSG</v>
      </c>
      <c r="P231" s="1" t="s">
        <v>603</v>
      </c>
      <c r="Q231" s="1" t="s">
        <v>121</v>
      </c>
      <c r="R231" s="1" t="s">
        <v>211</v>
      </c>
      <c r="S231" s="1">
        <v>39</v>
      </c>
      <c r="AS231" s="15" t="s">
        <v>701</v>
      </c>
      <c r="AT231" s="16" t="s">
        <v>816</v>
      </c>
    </row>
    <row r="232" spans="1:46" ht="17.5" thickBot="1" x14ac:dyDescent="0.4">
      <c r="A232" s="6">
        <f t="shared" si="28"/>
        <v>2022</v>
      </c>
      <c r="B232" s="6">
        <f t="shared" si="29"/>
        <v>8</v>
      </c>
      <c r="C232" s="7">
        <v>44785</v>
      </c>
      <c r="D232" s="6">
        <f t="shared" si="30"/>
        <v>5</v>
      </c>
      <c r="E232" s="6">
        <f t="shared" si="31"/>
        <v>33</v>
      </c>
      <c r="F232" s="6">
        <f t="shared" si="32"/>
        <v>2</v>
      </c>
      <c r="G232" s="6" t="str">
        <f t="shared" si="33"/>
        <v>08</v>
      </c>
      <c r="H232" s="6" t="str">
        <f t="shared" si="34"/>
        <v>08월 2주차</v>
      </c>
      <c r="I232" s="6" t="str">
        <f>H232&amp;" ("&amp;TEXT(C228,"m/dd")&amp;"~"&amp;TEXT(C234,"m/dd")&amp;")"</f>
        <v>08월 2주차 (8/08~8/14)</v>
      </c>
      <c r="J232" s="6" t="str">
        <f>A228&amp;"년 "&amp;WEEKNUM(C228,2)&amp;"주차"&amp;" ("&amp;TEXT(C228,"m/dd")&amp;"~"&amp;TEXT(C234,"m/dd")&amp;")"</f>
        <v>2022년 33주차 (8/08~8/14)</v>
      </c>
      <c r="K232" s="6">
        <f>YEAR(C228)</f>
        <v>2022</v>
      </c>
      <c r="L232" s="6">
        <f>WEEKNUM(C228,2)</f>
        <v>33</v>
      </c>
      <c r="O232" s="1" t="str">
        <f t="shared" si="35"/>
        <v>RSN</v>
      </c>
      <c r="P232" s="1" t="s">
        <v>603</v>
      </c>
      <c r="Q232" s="1" t="s">
        <v>121</v>
      </c>
      <c r="R232" s="1" t="s">
        <v>198</v>
      </c>
      <c r="S232" s="1">
        <v>40</v>
      </c>
      <c r="AS232" s="15" t="s">
        <v>817</v>
      </c>
      <c r="AT232" s="16" t="s">
        <v>818</v>
      </c>
    </row>
    <row r="233" spans="1:46" ht="17.5" thickBot="1" x14ac:dyDescent="0.4">
      <c r="A233" s="6">
        <f t="shared" si="28"/>
        <v>2022</v>
      </c>
      <c r="B233" s="6">
        <f t="shared" si="29"/>
        <v>8</v>
      </c>
      <c r="C233" s="7">
        <v>44786</v>
      </c>
      <c r="D233" s="6">
        <f t="shared" si="30"/>
        <v>6</v>
      </c>
      <c r="E233" s="6">
        <f t="shared" si="31"/>
        <v>33</v>
      </c>
      <c r="F233" s="6">
        <f t="shared" si="32"/>
        <v>2</v>
      </c>
      <c r="G233" s="6" t="str">
        <f t="shared" si="33"/>
        <v>08</v>
      </c>
      <c r="H233" s="6" t="str">
        <f t="shared" si="34"/>
        <v>08월 2주차</v>
      </c>
      <c r="I233" s="6" t="str">
        <f>H233&amp;" ("&amp;TEXT(C228,"m/dd")&amp;"~"&amp;TEXT(C234,"m/dd")&amp;")"</f>
        <v>08월 2주차 (8/08~8/14)</v>
      </c>
      <c r="J233" s="6" t="str">
        <f>A228&amp;"년 "&amp;WEEKNUM(C228,2)&amp;"주차"&amp;" ("&amp;TEXT(C228,"m/dd")&amp;"~"&amp;TEXT(C234,"m/dd")&amp;")"</f>
        <v>2022년 33주차 (8/08~8/14)</v>
      </c>
      <c r="K233" s="6">
        <f>YEAR(C228)</f>
        <v>2022</v>
      </c>
      <c r="L233" s="6">
        <f>WEEKNUM(C228,2)</f>
        <v>33</v>
      </c>
      <c r="O233" s="1" t="str">
        <f t="shared" si="35"/>
        <v>RSD</v>
      </c>
      <c r="P233" s="1" t="s">
        <v>603</v>
      </c>
      <c r="Q233" s="1" t="s">
        <v>121</v>
      </c>
      <c r="R233" s="1" t="s">
        <v>78</v>
      </c>
      <c r="S233" s="1">
        <v>41</v>
      </c>
      <c r="AS233" s="15" t="s">
        <v>819</v>
      </c>
      <c r="AT233" s="16" t="s">
        <v>820</v>
      </c>
    </row>
    <row r="234" spans="1:46" ht="17.5" thickBot="1" x14ac:dyDescent="0.4">
      <c r="A234" s="6">
        <f t="shared" si="28"/>
        <v>2022</v>
      </c>
      <c r="B234" s="6">
        <f t="shared" si="29"/>
        <v>8</v>
      </c>
      <c r="C234" s="7">
        <v>44787</v>
      </c>
      <c r="D234" s="6">
        <f t="shared" si="30"/>
        <v>7</v>
      </c>
      <c r="E234" s="6">
        <f t="shared" si="31"/>
        <v>33</v>
      </c>
      <c r="F234" s="6">
        <f t="shared" si="32"/>
        <v>2</v>
      </c>
      <c r="G234" s="6" t="str">
        <f t="shared" si="33"/>
        <v>08</v>
      </c>
      <c r="H234" s="6" t="str">
        <f t="shared" si="34"/>
        <v>08월 2주차</v>
      </c>
      <c r="I234" s="6" t="str">
        <f>H234&amp;" ("&amp;TEXT(C228,"m/dd")&amp;"~"&amp;TEXT(C234,"m/dd")&amp;")"</f>
        <v>08월 2주차 (8/08~8/14)</v>
      </c>
      <c r="J234" s="6" t="str">
        <f>A228&amp;"년 "&amp;WEEKNUM(C228,2)&amp;"주차"&amp;" ("&amp;TEXT(C228,"m/dd")&amp;"~"&amp;TEXT(C234,"m/dd")&amp;")"</f>
        <v>2022년 33주차 (8/08~8/14)</v>
      </c>
      <c r="K234" s="6">
        <f>YEAR(C228)</f>
        <v>2022</v>
      </c>
      <c r="L234" s="6">
        <f>WEEKNUM(C228,2)</f>
        <v>33</v>
      </c>
      <c r="O234" s="1" t="str">
        <f t="shared" si="35"/>
        <v>ETC</v>
      </c>
      <c r="P234" s="1" t="s">
        <v>455</v>
      </c>
      <c r="Q234" s="1" t="s">
        <v>60</v>
      </c>
      <c r="R234" s="1" t="s">
        <v>70</v>
      </c>
      <c r="S234" s="1">
        <v>21</v>
      </c>
      <c r="AS234" s="15" t="s">
        <v>784</v>
      </c>
      <c r="AT234" s="16" t="s">
        <v>821</v>
      </c>
    </row>
    <row r="235" spans="1:46" ht="17.5" thickBot="1" x14ac:dyDescent="0.4">
      <c r="A235" s="6">
        <f t="shared" si="28"/>
        <v>2022</v>
      </c>
      <c r="B235" s="6">
        <f t="shared" si="29"/>
        <v>8</v>
      </c>
      <c r="C235" s="7">
        <v>44788</v>
      </c>
      <c r="D235" s="6">
        <f t="shared" si="30"/>
        <v>1</v>
      </c>
      <c r="E235" s="6">
        <f t="shared" si="31"/>
        <v>34</v>
      </c>
      <c r="F235" s="6">
        <f t="shared" si="32"/>
        <v>3</v>
      </c>
      <c r="G235" s="6" t="str">
        <f t="shared" si="33"/>
        <v>08</v>
      </c>
      <c r="H235" s="6" t="str">
        <f t="shared" si="34"/>
        <v>08월 3주차</v>
      </c>
      <c r="I235" s="6" t="str">
        <f>H235&amp;" ("&amp;TEXT(C235,"m/dd")&amp;"~"&amp;TEXT(C241,"m/dd")&amp;")"</f>
        <v>08월 3주차 (8/15~8/21)</v>
      </c>
      <c r="J235" s="6" t="str">
        <f>A235&amp;"년 "&amp;WEEKNUM(C235,2)&amp;"주차"&amp;" ("&amp;TEXT(C235,"m/dd")&amp;"~"&amp;TEXT(C241,"m/dd")&amp;")"</f>
        <v>2022년 34주차 (8/15~8/21)</v>
      </c>
      <c r="K235" s="6">
        <f>YEAR(C235)</f>
        <v>2022</v>
      </c>
      <c r="L235" s="6">
        <f>WEEKNUM(C235,2)</f>
        <v>34</v>
      </c>
      <c r="O235" s="1" t="str">
        <f t="shared" si="35"/>
        <v>ETJ</v>
      </c>
      <c r="P235" s="1" t="s">
        <v>455</v>
      </c>
      <c r="Q235" s="1" t="s">
        <v>60</v>
      </c>
      <c r="R235" s="1" t="s">
        <v>61</v>
      </c>
      <c r="S235" s="1">
        <v>22</v>
      </c>
      <c r="AS235" s="15" t="s">
        <v>822</v>
      </c>
      <c r="AT235" s="16" t="s">
        <v>823</v>
      </c>
    </row>
    <row r="236" spans="1:46" ht="17.5" thickBot="1" x14ac:dyDescent="0.4">
      <c r="A236" s="6">
        <f t="shared" si="28"/>
        <v>2022</v>
      </c>
      <c r="B236" s="6">
        <f t="shared" si="29"/>
        <v>8</v>
      </c>
      <c r="C236" s="7">
        <v>44789</v>
      </c>
      <c r="D236" s="6">
        <f t="shared" si="30"/>
        <v>2</v>
      </c>
      <c r="E236" s="6">
        <f t="shared" si="31"/>
        <v>34</v>
      </c>
      <c r="F236" s="6">
        <f t="shared" si="32"/>
        <v>3</v>
      </c>
      <c r="G236" s="6" t="str">
        <f t="shared" si="33"/>
        <v>08</v>
      </c>
      <c r="H236" s="6" t="str">
        <f t="shared" si="34"/>
        <v>08월 3주차</v>
      </c>
      <c r="I236" s="6" t="str">
        <f>H236&amp;" ("&amp;TEXT(C235,"m/dd")&amp;"~"&amp;TEXT(C241,"m/dd")&amp;")"</f>
        <v>08월 3주차 (8/15~8/21)</v>
      </c>
      <c r="J236" s="6" t="str">
        <f>A235&amp;"년 "&amp;WEEKNUM(C235,2)&amp;"주차"&amp;" ("&amp;TEXT(C235,"m/dd")&amp;"~"&amp;TEXT(C241,"m/dd")&amp;")"</f>
        <v>2022년 34주차 (8/15~8/21)</v>
      </c>
      <c r="K236" s="6">
        <f>YEAR(C235)</f>
        <v>2022</v>
      </c>
      <c r="L236" s="6">
        <f>WEEKNUM(C235,2)</f>
        <v>34</v>
      </c>
      <c r="O236" s="1" t="str">
        <f t="shared" si="35"/>
        <v>ETD</v>
      </c>
      <c r="P236" s="1" t="s">
        <v>455</v>
      </c>
      <c r="Q236" s="1" t="s">
        <v>60</v>
      </c>
      <c r="R236" s="1" t="s">
        <v>78</v>
      </c>
      <c r="S236" s="1">
        <v>23</v>
      </c>
      <c r="AS236" s="15" t="s">
        <v>824</v>
      </c>
      <c r="AT236" s="16" t="s">
        <v>825</v>
      </c>
    </row>
    <row r="237" spans="1:46" ht="17.5" thickBot="1" x14ac:dyDescent="0.4">
      <c r="A237" s="6">
        <f t="shared" si="28"/>
        <v>2022</v>
      </c>
      <c r="B237" s="6">
        <f t="shared" si="29"/>
        <v>8</v>
      </c>
      <c r="C237" s="7">
        <v>44790</v>
      </c>
      <c r="D237" s="6">
        <f t="shared" si="30"/>
        <v>3</v>
      </c>
      <c r="E237" s="6">
        <f t="shared" si="31"/>
        <v>34</v>
      </c>
      <c r="F237" s="6">
        <f t="shared" si="32"/>
        <v>3</v>
      </c>
      <c r="G237" s="6" t="str">
        <f t="shared" si="33"/>
        <v>08</v>
      </c>
      <c r="H237" s="6" t="str">
        <f t="shared" si="34"/>
        <v>08월 3주차</v>
      </c>
      <c r="I237" s="6" t="str">
        <f>H237&amp;" ("&amp;TEXT(C235,"m/dd")&amp;"~"&amp;TEXT(C241,"m/dd")&amp;")"</f>
        <v>08월 3주차 (8/15~8/21)</v>
      </c>
      <c r="J237" s="6" t="str">
        <f>A235&amp;"년 "&amp;WEEKNUM(C235,2)&amp;"주차"&amp;" ("&amp;TEXT(C235,"m/dd")&amp;"~"&amp;TEXT(C241,"m/dd")&amp;")"</f>
        <v>2022년 34주차 (8/15~8/21)</v>
      </c>
      <c r="K237" s="6">
        <f>YEAR(C235)</f>
        <v>2022</v>
      </c>
      <c r="L237" s="6">
        <f>WEEKNUM(C235,2)</f>
        <v>34</v>
      </c>
      <c r="O237" s="1" t="str">
        <f t="shared" si="35"/>
        <v>ETP</v>
      </c>
      <c r="P237" s="1" t="s">
        <v>455</v>
      </c>
      <c r="Q237" s="1" t="s">
        <v>60</v>
      </c>
      <c r="R237" s="1" t="s">
        <v>31</v>
      </c>
      <c r="S237" s="1">
        <v>24</v>
      </c>
      <c r="AS237" s="15" t="s">
        <v>826</v>
      </c>
      <c r="AT237" s="16" t="s">
        <v>827</v>
      </c>
    </row>
    <row r="238" spans="1:46" ht="17.5" thickBot="1" x14ac:dyDescent="0.4">
      <c r="A238" s="6">
        <f t="shared" si="28"/>
        <v>2022</v>
      </c>
      <c r="B238" s="6">
        <f t="shared" si="29"/>
        <v>8</v>
      </c>
      <c r="C238" s="7">
        <v>44791</v>
      </c>
      <c r="D238" s="6">
        <f t="shared" si="30"/>
        <v>4</v>
      </c>
      <c r="E238" s="6">
        <f t="shared" si="31"/>
        <v>34</v>
      </c>
      <c r="F238" s="6">
        <f t="shared" si="32"/>
        <v>3</v>
      </c>
      <c r="G238" s="6" t="str">
        <f t="shared" si="33"/>
        <v>08</v>
      </c>
      <c r="H238" s="6" t="str">
        <f t="shared" si="34"/>
        <v>08월 3주차</v>
      </c>
      <c r="I238" s="6" t="str">
        <f>H238&amp;" ("&amp;TEXT(C235,"m/dd")&amp;"~"&amp;TEXT(C241,"m/dd")&amp;")"</f>
        <v>08월 3주차 (8/15~8/21)</v>
      </c>
      <c r="J238" s="6" t="str">
        <f>A235&amp;"년 "&amp;WEEKNUM(C235,2)&amp;"주차"&amp;" ("&amp;TEXT(C235,"m/dd")&amp;"~"&amp;TEXT(C241,"m/dd")&amp;")"</f>
        <v>2022년 34주차 (8/15~8/21)</v>
      </c>
      <c r="K238" s="6">
        <f>YEAR(C235)</f>
        <v>2022</v>
      </c>
      <c r="L238" s="6">
        <f>WEEKNUM(C235,2)</f>
        <v>34</v>
      </c>
      <c r="O238" s="1" t="str">
        <f t="shared" si="35"/>
        <v>ETR</v>
      </c>
      <c r="P238" s="1" t="s">
        <v>455</v>
      </c>
      <c r="Q238" s="1" t="s">
        <v>60</v>
      </c>
      <c r="R238" s="1" t="s">
        <v>95</v>
      </c>
      <c r="S238" s="1">
        <v>25</v>
      </c>
      <c r="AS238" s="15" t="s">
        <v>787</v>
      </c>
      <c r="AT238" s="16" t="s">
        <v>60</v>
      </c>
    </row>
    <row r="239" spans="1:46" ht="17.5" thickBot="1" x14ac:dyDescent="0.4">
      <c r="A239" s="6">
        <f t="shared" si="28"/>
        <v>2022</v>
      </c>
      <c r="B239" s="6">
        <f t="shared" si="29"/>
        <v>8</v>
      </c>
      <c r="C239" s="7">
        <v>44792</v>
      </c>
      <c r="D239" s="6">
        <f t="shared" si="30"/>
        <v>5</v>
      </c>
      <c r="E239" s="6">
        <f t="shared" si="31"/>
        <v>34</v>
      </c>
      <c r="F239" s="6">
        <f t="shared" si="32"/>
        <v>3</v>
      </c>
      <c r="G239" s="6" t="str">
        <f t="shared" si="33"/>
        <v>08</v>
      </c>
      <c r="H239" s="6" t="str">
        <f t="shared" si="34"/>
        <v>08월 3주차</v>
      </c>
      <c r="I239" s="6" t="str">
        <f>H239&amp;" ("&amp;TEXT(C235,"m/dd")&amp;"~"&amp;TEXT(C241,"m/dd")&amp;")"</f>
        <v>08월 3주차 (8/15~8/21)</v>
      </c>
      <c r="J239" s="6" t="str">
        <f>A235&amp;"년 "&amp;WEEKNUM(C235,2)&amp;"주차"&amp;" ("&amp;TEXT(C235,"m/dd")&amp;"~"&amp;TEXT(C241,"m/dd")&amp;")"</f>
        <v>2022년 34주차 (8/15~8/21)</v>
      </c>
      <c r="K239" s="6">
        <f>YEAR(C235)</f>
        <v>2022</v>
      </c>
      <c r="L239" s="6">
        <f>WEEKNUM(C235,2)</f>
        <v>34</v>
      </c>
      <c r="O239" s="1" t="str">
        <f t="shared" si="35"/>
        <v>ETY</v>
      </c>
      <c r="P239" s="1" t="s">
        <v>455</v>
      </c>
      <c r="Q239" s="1" t="s">
        <v>121</v>
      </c>
      <c r="R239" s="1" t="s">
        <v>122</v>
      </c>
      <c r="S239" s="1">
        <v>31</v>
      </c>
      <c r="AS239" s="15" t="s">
        <v>828</v>
      </c>
      <c r="AT239" s="16" t="s">
        <v>30</v>
      </c>
    </row>
    <row r="240" spans="1:46" ht="17.5" thickBot="1" x14ac:dyDescent="0.4">
      <c r="A240" s="6">
        <f t="shared" si="28"/>
        <v>2022</v>
      </c>
      <c r="B240" s="6">
        <f t="shared" si="29"/>
        <v>8</v>
      </c>
      <c r="C240" s="7">
        <v>44793</v>
      </c>
      <c r="D240" s="6">
        <f t="shared" si="30"/>
        <v>6</v>
      </c>
      <c r="E240" s="6">
        <f t="shared" si="31"/>
        <v>34</v>
      </c>
      <c r="F240" s="6">
        <f t="shared" si="32"/>
        <v>3</v>
      </c>
      <c r="G240" s="6" t="str">
        <f t="shared" si="33"/>
        <v>08</v>
      </c>
      <c r="H240" s="6" t="str">
        <f t="shared" si="34"/>
        <v>08월 3주차</v>
      </c>
      <c r="I240" s="6" t="str">
        <f>H240&amp;" ("&amp;TEXT(C235,"m/dd")&amp;"~"&amp;TEXT(C241,"m/dd")&amp;")"</f>
        <v>08월 3주차 (8/15~8/21)</v>
      </c>
      <c r="J240" s="6" t="str">
        <f>A235&amp;"년 "&amp;WEEKNUM(C235,2)&amp;"주차"&amp;" ("&amp;TEXT(C235,"m/dd")&amp;"~"&amp;TEXT(C241,"m/dd")&amp;")"</f>
        <v>2022년 34주차 (8/15~8/21)</v>
      </c>
      <c r="K240" s="6">
        <f>YEAR(C235)</f>
        <v>2022</v>
      </c>
      <c r="L240" s="6">
        <f>WEEKNUM(C235,2)</f>
        <v>34</v>
      </c>
      <c r="O240" s="1" t="str">
        <f t="shared" si="35"/>
        <v>ETG</v>
      </c>
      <c r="P240" s="1" t="s">
        <v>455</v>
      </c>
      <c r="Q240" s="1" t="s">
        <v>121</v>
      </c>
      <c r="R240" s="1" t="s">
        <v>211</v>
      </c>
      <c r="S240" s="1">
        <v>32</v>
      </c>
      <c r="AS240" s="15" t="s">
        <v>829</v>
      </c>
      <c r="AT240" s="16" t="s">
        <v>830</v>
      </c>
    </row>
    <row r="241" spans="1:46" ht="31.5" thickBot="1" x14ac:dyDescent="0.4">
      <c r="A241" s="6">
        <f t="shared" si="28"/>
        <v>2022</v>
      </c>
      <c r="B241" s="6">
        <f t="shared" si="29"/>
        <v>8</v>
      </c>
      <c r="C241" s="7">
        <v>44794</v>
      </c>
      <c r="D241" s="6">
        <f t="shared" si="30"/>
        <v>7</v>
      </c>
      <c r="E241" s="6">
        <f t="shared" si="31"/>
        <v>34</v>
      </c>
      <c r="F241" s="6">
        <f t="shared" si="32"/>
        <v>3</v>
      </c>
      <c r="G241" s="6" t="str">
        <f t="shared" si="33"/>
        <v>08</v>
      </c>
      <c r="H241" s="6" t="str">
        <f t="shared" si="34"/>
        <v>08월 3주차</v>
      </c>
      <c r="I241" s="6" t="str">
        <f>H241&amp;" ("&amp;TEXT(C235,"m/dd")&amp;"~"&amp;TEXT(C241,"m/dd")&amp;")"</f>
        <v>08월 3주차 (8/15~8/21)</v>
      </c>
      <c r="J241" s="6" t="str">
        <f>A235&amp;"년 "&amp;WEEKNUM(C235,2)&amp;"주차"&amp;" ("&amp;TEXT(C235,"m/dd")&amp;"~"&amp;TEXT(C241,"m/dd")&amp;")"</f>
        <v>2022년 34주차 (8/15~8/21)</v>
      </c>
      <c r="K241" s="6">
        <f>YEAR(C235)</f>
        <v>2022</v>
      </c>
      <c r="L241" s="6">
        <f>WEEKNUM(C235,2)</f>
        <v>34</v>
      </c>
      <c r="O241" s="1" t="str">
        <f t="shared" si="35"/>
        <v>ETS</v>
      </c>
      <c r="P241" s="1" t="s">
        <v>455</v>
      </c>
      <c r="Q241" s="1" t="s">
        <v>121</v>
      </c>
      <c r="R241" s="1" t="s">
        <v>145</v>
      </c>
      <c r="S241" s="1">
        <v>33</v>
      </c>
      <c r="AS241" s="15" t="s">
        <v>831</v>
      </c>
      <c r="AT241" s="16" t="s">
        <v>832</v>
      </c>
    </row>
    <row r="242" spans="1:46" ht="17.5" thickBot="1" x14ac:dyDescent="0.4">
      <c r="A242" s="6">
        <f t="shared" si="28"/>
        <v>2022</v>
      </c>
      <c r="B242" s="6">
        <f t="shared" si="29"/>
        <v>8</v>
      </c>
      <c r="C242" s="7">
        <v>44795</v>
      </c>
      <c r="D242" s="6">
        <f t="shared" si="30"/>
        <v>1</v>
      </c>
      <c r="E242" s="6">
        <f t="shared" si="31"/>
        <v>35</v>
      </c>
      <c r="F242" s="6">
        <f t="shared" si="32"/>
        <v>4</v>
      </c>
      <c r="G242" s="6" t="str">
        <f t="shared" si="33"/>
        <v>08</v>
      </c>
      <c r="H242" s="6" t="str">
        <f t="shared" si="34"/>
        <v>08월 4주차</v>
      </c>
      <c r="I242" s="6" t="str">
        <f>H242&amp;" ("&amp;TEXT(C242,"m/dd")&amp;"~"&amp;TEXT(C248,"m/dd")&amp;")"</f>
        <v>08월 4주차 (8/22~8/28)</v>
      </c>
      <c r="J242" s="6" t="str">
        <f>A242&amp;"년 "&amp;WEEKNUM(C242,2)&amp;"주차"&amp;" ("&amp;TEXT(C242,"m/dd")&amp;"~"&amp;TEXT(C248,"m/dd")&amp;")"</f>
        <v>2022년 35주차 (8/22~8/28)</v>
      </c>
      <c r="K242" s="6">
        <f>YEAR(C242)</f>
        <v>2022</v>
      </c>
      <c r="L242" s="6">
        <f>WEEKNUM(C242,2)</f>
        <v>35</v>
      </c>
      <c r="O242" s="1" t="str">
        <f t="shared" si="35"/>
        <v>ETB</v>
      </c>
      <c r="P242" s="1" t="s">
        <v>455</v>
      </c>
      <c r="Q242" s="1" t="s">
        <v>121</v>
      </c>
      <c r="R242" s="1" t="s">
        <v>129</v>
      </c>
      <c r="S242" s="1">
        <v>34</v>
      </c>
      <c r="AS242" s="15" t="s">
        <v>653</v>
      </c>
      <c r="AT242" s="16" t="s">
        <v>833</v>
      </c>
    </row>
    <row r="243" spans="1:46" ht="17.5" thickBot="1" x14ac:dyDescent="0.4">
      <c r="A243" s="6">
        <f t="shared" si="28"/>
        <v>2022</v>
      </c>
      <c r="B243" s="6">
        <f t="shared" si="29"/>
        <v>8</v>
      </c>
      <c r="C243" s="7">
        <v>44796</v>
      </c>
      <c r="D243" s="6">
        <f t="shared" si="30"/>
        <v>2</v>
      </c>
      <c r="E243" s="6">
        <f t="shared" si="31"/>
        <v>35</v>
      </c>
      <c r="F243" s="6">
        <f t="shared" si="32"/>
        <v>4</v>
      </c>
      <c r="G243" s="6" t="str">
        <f t="shared" si="33"/>
        <v>08</v>
      </c>
      <c r="H243" s="6" t="str">
        <f t="shared" si="34"/>
        <v>08월 4주차</v>
      </c>
      <c r="I243" s="6" t="str">
        <f>H243&amp;" ("&amp;TEXT(C242,"m/dd")&amp;"~"&amp;TEXT(C248,"m/dd")&amp;")"</f>
        <v>08월 4주차 (8/22~8/28)</v>
      </c>
      <c r="J243" s="6" t="str">
        <f>A242&amp;"년 "&amp;WEEKNUM(C242,2)&amp;"주차"&amp;" ("&amp;TEXT(C242,"m/dd")&amp;"~"&amp;TEXT(C248,"m/dd")&amp;")"</f>
        <v>2022년 35주차 (8/22~8/28)</v>
      </c>
      <c r="K243" s="6">
        <f>YEAR(C242)</f>
        <v>2022</v>
      </c>
      <c r="L243" s="6">
        <f>WEEKNUM(C242,2)</f>
        <v>35</v>
      </c>
      <c r="O243" s="1" t="str">
        <f t="shared" si="35"/>
        <v>ETM</v>
      </c>
      <c r="P243" s="1" t="s">
        <v>455</v>
      </c>
      <c r="Q243" s="1" t="s">
        <v>121</v>
      </c>
      <c r="R243" s="1" t="s">
        <v>137</v>
      </c>
      <c r="S243" s="1">
        <v>35</v>
      </c>
      <c r="AS243" s="15" t="s">
        <v>650</v>
      </c>
      <c r="AT243" s="16" t="s">
        <v>447</v>
      </c>
    </row>
    <row r="244" spans="1:46" ht="17.5" thickBot="1" x14ac:dyDescent="0.4">
      <c r="A244" s="6">
        <f t="shared" si="28"/>
        <v>2022</v>
      </c>
      <c r="B244" s="6">
        <f t="shared" si="29"/>
        <v>8</v>
      </c>
      <c r="C244" s="7">
        <v>44797</v>
      </c>
      <c r="D244" s="6">
        <f t="shared" si="30"/>
        <v>3</v>
      </c>
      <c r="E244" s="6">
        <f t="shared" si="31"/>
        <v>35</v>
      </c>
      <c r="F244" s="6">
        <f t="shared" si="32"/>
        <v>4</v>
      </c>
      <c r="G244" s="6" t="str">
        <f t="shared" si="33"/>
        <v>08</v>
      </c>
      <c r="H244" s="6" t="str">
        <f t="shared" si="34"/>
        <v>08월 4주차</v>
      </c>
      <c r="I244" s="6" t="str">
        <f>H244&amp;" ("&amp;TEXT(C242,"m/dd")&amp;"~"&amp;TEXT(C248,"m/dd")&amp;")"</f>
        <v>08월 4주차 (8/22~8/28)</v>
      </c>
      <c r="J244" s="6" t="str">
        <f>A242&amp;"년 "&amp;WEEKNUM(C242,2)&amp;"주차"&amp;" ("&amp;TEXT(C242,"m/dd")&amp;"~"&amp;TEXT(C248,"m/dd")&amp;")"</f>
        <v>2022년 35주차 (8/22~8/28)</v>
      </c>
      <c r="K244" s="6">
        <f>YEAR(C242)</f>
        <v>2022</v>
      </c>
      <c r="L244" s="6">
        <f>WEEKNUM(C242,2)</f>
        <v>35</v>
      </c>
      <c r="O244" s="1" t="str">
        <f t="shared" si="35"/>
        <v>ETK</v>
      </c>
      <c r="P244" s="1" t="s">
        <v>455</v>
      </c>
      <c r="Q244" s="1" t="s">
        <v>121</v>
      </c>
      <c r="R244" s="1" t="s">
        <v>171</v>
      </c>
      <c r="S244" s="1">
        <v>36</v>
      </c>
      <c r="AS244" s="15" t="s">
        <v>834</v>
      </c>
      <c r="AT244" s="16" t="s">
        <v>835</v>
      </c>
    </row>
    <row r="245" spans="1:46" ht="17.5" thickBot="1" x14ac:dyDescent="0.4">
      <c r="A245" s="6">
        <f t="shared" si="28"/>
        <v>2022</v>
      </c>
      <c r="B245" s="6">
        <f t="shared" si="29"/>
        <v>8</v>
      </c>
      <c r="C245" s="7">
        <v>44798</v>
      </c>
      <c r="D245" s="6">
        <f t="shared" si="30"/>
        <v>4</v>
      </c>
      <c r="E245" s="6">
        <f t="shared" si="31"/>
        <v>35</v>
      </c>
      <c r="F245" s="6">
        <f t="shared" si="32"/>
        <v>4</v>
      </c>
      <c r="G245" s="6" t="str">
        <f t="shared" si="33"/>
        <v>08</v>
      </c>
      <c r="H245" s="6" t="str">
        <f t="shared" si="34"/>
        <v>08월 4주차</v>
      </c>
      <c r="I245" s="6" t="str">
        <f>H245&amp;" ("&amp;TEXT(C242,"m/dd")&amp;"~"&amp;TEXT(C248,"m/dd")&amp;")"</f>
        <v>08월 4주차 (8/22~8/28)</v>
      </c>
      <c r="J245" s="6" t="str">
        <f>A242&amp;"년 "&amp;WEEKNUM(C242,2)&amp;"주차"&amp;" ("&amp;TEXT(C242,"m/dd")&amp;"~"&amp;TEXT(C248,"m/dd")&amp;")"</f>
        <v>2022년 35주차 (8/22~8/28)</v>
      </c>
      <c r="K245" s="6">
        <f>YEAR(C242)</f>
        <v>2022</v>
      </c>
      <c r="L245" s="6">
        <f>WEEKNUM(C242,2)</f>
        <v>35</v>
      </c>
      <c r="O245" s="1" t="str">
        <f t="shared" si="35"/>
        <v>ETL</v>
      </c>
      <c r="P245" s="1" t="s">
        <v>455</v>
      </c>
      <c r="Q245" s="1" t="s">
        <v>121</v>
      </c>
      <c r="R245" s="1" t="s">
        <v>178</v>
      </c>
      <c r="S245" s="1">
        <v>37</v>
      </c>
      <c r="AS245" s="15" t="s">
        <v>559</v>
      </c>
      <c r="AT245" s="16" t="s">
        <v>836</v>
      </c>
    </row>
    <row r="246" spans="1:46" ht="17.5" thickBot="1" x14ac:dyDescent="0.4">
      <c r="A246" s="6">
        <f t="shared" si="28"/>
        <v>2022</v>
      </c>
      <c r="B246" s="6">
        <f t="shared" si="29"/>
        <v>8</v>
      </c>
      <c r="C246" s="7">
        <v>44799</v>
      </c>
      <c r="D246" s="6">
        <f t="shared" si="30"/>
        <v>5</v>
      </c>
      <c r="E246" s="6">
        <f t="shared" si="31"/>
        <v>35</v>
      </c>
      <c r="F246" s="6">
        <f t="shared" si="32"/>
        <v>4</v>
      </c>
      <c r="G246" s="6" t="str">
        <f t="shared" si="33"/>
        <v>08</v>
      </c>
      <c r="H246" s="6" t="str">
        <f t="shared" si="34"/>
        <v>08월 4주차</v>
      </c>
      <c r="I246" s="6" t="str">
        <f>H246&amp;" ("&amp;TEXT(C242,"m/dd")&amp;"~"&amp;TEXT(C248,"m/dd")&amp;")"</f>
        <v>08월 4주차 (8/22~8/28)</v>
      </c>
      <c r="J246" s="6" t="str">
        <f>A242&amp;"년 "&amp;WEEKNUM(C242,2)&amp;"주차"&amp;" ("&amp;TEXT(C242,"m/dd")&amp;"~"&amp;TEXT(C248,"m/dd")&amp;")"</f>
        <v>2022년 35주차 (8/22~8/28)</v>
      </c>
      <c r="K246" s="6">
        <f>YEAR(C242)</f>
        <v>2022</v>
      </c>
      <c r="L246" s="6">
        <f>WEEKNUM(C242,2)</f>
        <v>35</v>
      </c>
      <c r="O246" s="1" t="str">
        <f t="shared" si="35"/>
        <v>ETV</v>
      </c>
      <c r="P246" s="1" t="s">
        <v>455</v>
      </c>
      <c r="Q246" s="1" t="s">
        <v>121</v>
      </c>
      <c r="R246" s="1" t="s">
        <v>328</v>
      </c>
      <c r="S246" s="1">
        <v>38</v>
      </c>
      <c r="AS246" s="15" t="s">
        <v>837</v>
      </c>
      <c r="AT246" s="16" t="s">
        <v>608</v>
      </c>
    </row>
    <row r="247" spans="1:46" ht="31.5" thickBot="1" x14ac:dyDescent="0.4">
      <c r="A247" s="6">
        <f t="shared" si="28"/>
        <v>2022</v>
      </c>
      <c r="B247" s="6">
        <f t="shared" si="29"/>
        <v>8</v>
      </c>
      <c r="C247" s="7">
        <v>44800</v>
      </c>
      <c r="D247" s="6">
        <f t="shared" si="30"/>
        <v>6</v>
      </c>
      <c r="E247" s="6">
        <f t="shared" si="31"/>
        <v>35</v>
      </c>
      <c r="F247" s="6">
        <f t="shared" si="32"/>
        <v>4</v>
      </c>
      <c r="G247" s="6" t="str">
        <f t="shared" si="33"/>
        <v>08</v>
      </c>
      <c r="H247" s="6" t="str">
        <f t="shared" si="34"/>
        <v>08월 4주차</v>
      </c>
      <c r="I247" s="6" t="str">
        <f>H247&amp;" ("&amp;TEXT(C242,"m/dd")&amp;"~"&amp;TEXT(C248,"m/dd")&amp;")"</f>
        <v>08월 4주차 (8/22~8/28)</v>
      </c>
      <c r="J247" s="6" t="str">
        <f>A242&amp;"년 "&amp;WEEKNUM(C242,2)&amp;"주차"&amp;" ("&amp;TEXT(C242,"m/dd")&amp;"~"&amp;TEXT(C248,"m/dd")&amp;")"</f>
        <v>2022년 35주차 (8/22~8/28)</v>
      </c>
      <c r="K247" s="6">
        <f>YEAR(C242)</f>
        <v>2022</v>
      </c>
      <c r="L247" s="6">
        <f>WEEKNUM(C242,2)</f>
        <v>35</v>
      </c>
      <c r="O247" s="1" t="str">
        <f t="shared" si="35"/>
        <v>ETH</v>
      </c>
      <c r="P247" s="1" t="s">
        <v>455</v>
      </c>
      <c r="Q247" s="1" t="s">
        <v>121</v>
      </c>
      <c r="R247" s="1" t="s">
        <v>154</v>
      </c>
      <c r="S247" s="1">
        <v>39</v>
      </c>
      <c r="AS247" s="15" t="s">
        <v>838</v>
      </c>
      <c r="AT247" s="16" t="s">
        <v>839</v>
      </c>
    </row>
    <row r="248" spans="1:46" ht="17.5" thickBot="1" x14ac:dyDescent="0.4">
      <c r="A248" s="6">
        <f t="shared" si="28"/>
        <v>2022</v>
      </c>
      <c r="B248" s="6">
        <f t="shared" si="29"/>
        <v>8</v>
      </c>
      <c r="C248" s="7">
        <v>44801</v>
      </c>
      <c r="D248" s="6">
        <f t="shared" si="30"/>
        <v>7</v>
      </c>
      <c r="E248" s="6">
        <f t="shared" si="31"/>
        <v>35</v>
      </c>
      <c r="F248" s="6">
        <f t="shared" si="32"/>
        <v>4</v>
      </c>
      <c r="G248" s="6" t="str">
        <f t="shared" si="33"/>
        <v>08</v>
      </c>
      <c r="H248" s="6" t="str">
        <f t="shared" si="34"/>
        <v>08월 4주차</v>
      </c>
      <c r="I248" s="6" t="str">
        <f>H248&amp;" ("&amp;TEXT(C242,"m/dd")&amp;"~"&amp;TEXT(C248,"m/dd")&amp;")"</f>
        <v>08월 4주차 (8/22~8/28)</v>
      </c>
      <c r="J248" s="6" t="str">
        <f>A242&amp;"년 "&amp;WEEKNUM(C242,2)&amp;"주차"&amp;" ("&amp;TEXT(C242,"m/dd")&amp;"~"&amp;TEXT(C248,"m/dd")&amp;")"</f>
        <v>2022년 35주차 (8/22~8/28)</v>
      </c>
      <c r="K248" s="6">
        <f>YEAR(C242)</f>
        <v>2022</v>
      </c>
      <c r="L248" s="6">
        <f>WEEKNUM(C242,2)</f>
        <v>35</v>
      </c>
      <c r="O248" s="1" t="str">
        <f t="shared" si="35"/>
        <v>ETU</v>
      </c>
      <c r="P248" s="1" t="s">
        <v>455</v>
      </c>
      <c r="Q248" s="1" t="s">
        <v>121</v>
      </c>
      <c r="R248" s="1" t="s">
        <v>185</v>
      </c>
      <c r="S248" s="1">
        <v>40</v>
      </c>
      <c r="AS248" s="15" t="s">
        <v>840</v>
      </c>
      <c r="AT248" s="16" t="s">
        <v>128</v>
      </c>
    </row>
    <row r="249" spans="1:46" ht="17.5" thickBot="1" x14ac:dyDescent="0.4">
      <c r="A249" s="6">
        <f t="shared" si="28"/>
        <v>2022</v>
      </c>
      <c r="B249" s="6">
        <f t="shared" si="29"/>
        <v>8</v>
      </c>
      <c r="C249" s="7">
        <v>44802</v>
      </c>
      <c r="D249" s="6">
        <f t="shared" si="30"/>
        <v>1</v>
      </c>
      <c r="E249" s="6">
        <f t="shared" si="31"/>
        <v>36</v>
      </c>
      <c r="F249" s="6">
        <f t="shared" si="32"/>
        <v>5</v>
      </c>
      <c r="G249" s="6" t="str">
        <f t="shared" si="33"/>
        <v>08</v>
      </c>
      <c r="H249" s="6" t="str">
        <f t="shared" si="34"/>
        <v>08월 5주차</v>
      </c>
      <c r="I249" s="6" t="str">
        <f>H249&amp;" ("&amp;TEXT(C249,"m/dd")&amp;"~"&amp;TEXT(C255,"m/dd")&amp;")"</f>
        <v>08월 5주차 (8/29~9/04)</v>
      </c>
      <c r="J249" s="6" t="str">
        <f>A249&amp;"년 "&amp;WEEKNUM(C249,2)&amp;"주차"&amp;" ("&amp;TEXT(C249,"m/dd")&amp;"~"&amp;TEXT(C255,"m/dd")&amp;")"</f>
        <v>2022년 36주차 (8/29~9/04)</v>
      </c>
      <c r="K249" s="6">
        <f>YEAR(C249)</f>
        <v>2022</v>
      </c>
      <c r="L249" s="6">
        <f>WEEKNUM(C249,2)</f>
        <v>36</v>
      </c>
      <c r="O249" s="1" t="str">
        <f t="shared" si="35"/>
        <v>ETQ</v>
      </c>
      <c r="P249" s="1" t="s">
        <v>455</v>
      </c>
      <c r="Q249" s="1" t="s">
        <v>121</v>
      </c>
      <c r="R249" s="1" t="s">
        <v>191</v>
      </c>
      <c r="S249" s="1">
        <v>41</v>
      </c>
      <c r="Z249" s="2"/>
      <c r="AA249" s="17"/>
      <c r="AS249" s="15" t="s">
        <v>841</v>
      </c>
      <c r="AT249" s="16" t="s">
        <v>842</v>
      </c>
    </row>
    <row r="250" spans="1:46" x14ac:dyDescent="0.45">
      <c r="A250" s="6">
        <f t="shared" si="28"/>
        <v>2022</v>
      </c>
      <c r="B250" s="6">
        <f t="shared" si="29"/>
        <v>8</v>
      </c>
      <c r="C250" s="7">
        <v>44803</v>
      </c>
      <c r="D250" s="6">
        <f t="shared" si="30"/>
        <v>2</v>
      </c>
      <c r="E250" s="6">
        <f t="shared" si="31"/>
        <v>36</v>
      </c>
      <c r="F250" s="6">
        <f t="shared" si="32"/>
        <v>5</v>
      </c>
      <c r="G250" s="6" t="str">
        <f t="shared" si="33"/>
        <v>08</v>
      </c>
      <c r="H250" s="6" t="str">
        <f t="shared" si="34"/>
        <v>08월 5주차</v>
      </c>
      <c r="I250" s="6" t="str">
        <f>H250&amp;" ("&amp;TEXT(C249,"m/dd")&amp;"~"&amp;TEXT(C255,"m/dd")&amp;")"</f>
        <v>08월 5주차 (8/29~9/04)</v>
      </c>
      <c r="J250" s="6" t="str">
        <f>A249&amp;"년 "&amp;WEEKNUM(C249,2)&amp;"주차"&amp;" ("&amp;TEXT(C249,"m/dd")&amp;"~"&amp;TEXT(C255,"m/dd")&amp;")"</f>
        <v>2022년 36주차 (8/29~9/04)</v>
      </c>
      <c r="K250" s="6">
        <f>YEAR(C249)</f>
        <v>2022</v>
      </c>
      <c r="L250" s="6">
        <f>WEEKNUM(C249,2)</f>
        <v>36</v>
      </c>
      <c r="O250" s="1" t="str">
        <f t="shared" si="35"/>
        <v>ETT</v>
      </c>
      <c r="P250" s="1" t="s">
        <v>455</v>
      </c>
      <c r="Q250" s="1" t="s">
        <v>121</v>
      </c>
      <c r="R250" s="1" t="s">
        <v>204</v>
      </c>
      <c r="S250" s="1">
        <v>42</v>
      </c>
      <c r="Z250" s="2"/>
      <c r="AA250" s="17"/>
      <c r="AS250" s="8" t="s">
        <v>526</v>
      </c>
      <c r="AT250" s="9" t="s">
        <v>843</v>
      </c>
    </row>
    <row r="251" spans="1:46" x14ac:dyDescent="0.45">
      <c r="A251" s="6">
        <f t="shared" si="28"/>
        <v>2022</v>
      </c>
      <c r="B251" s="6">
        <f t="shared" si="29"/>
        <v>8</v>
      </c>
      <c r="C251" s="7">
        <v>44804</v>
      </c>
      <c r="D251" s="6">
        <f t="shared" si="30"/>
        <v>3</v>
      </c>
      <c r="E251" s="6">
        <f t="shared" si="31"/>
        <v>36</v>
      </c>
      <c r="F251" s="6">
        <f t="shared" si="32"/>
        <v>5</v>
      </c>
      <c r="G251" s="6" t="str">
        <f t="shared" si="33"/>
        <v>08</v>
      </c>
      <c r="H251" s="6" t="str">
        <f t="shared" si="34"/>
        <v>08월 5주차</v>
      </c>
      <c r="I251" s="6" t="str">
        <f>H251&amp;" ("&amp;TEXT(C249,"m/dd")&amp;"~"&amp;TEXT(C255,"m/dd")&amp;")"</f>
        <v>08월 5주차 (8/29~9/04)</v>
      </c>
      <c r="J251" s="6" t="str">
        <f>A249&amp;"년 "&amp;WEEKNUM(C249,2)&amp;"주차"&amp;" ("&amp;TEXT(C249,"m/dd")&amp;"~"&amp;TEXT(C255,"m/dd")&amp;")"</f>
        <v>2022년 36주차 (8/29~9/04)</v>
      </c>
      <c r="K251" s="6">
        <f>YEAR(C249)</f>
        <v>2022</v>
      </c>
      <c r="L251" s="6">
        <f>WEEKNUM(C249,2)</f>
        <v>36</v>
      </c>
      <c r="O251" s="1" t="str">
        <f t="shared" si="35"/>
        <v>ETE</v>
      </c>
      <c r="P251" s="1" t="s">
        <v>455</v>
      </c>
      <c r="Q251" s="1" t="s">
        <v>121</v>
      </c>
      <c r="R251" s="1" t="s">
        <v>163</v>
      </c>
      <c r="S251" s="1">
        <v>43</v>
      </c>
      <c r="Z251" s="2"/>
      <c r="AA251" s="17"/>
      <c r="AS251" t="s">
        <v>531</v>
      </c>
      <c r="AT251" s="9" t="s">
        <v>844</v>
      </c>
    </row>
    <row r="252" spans="1:46" x14ac:dyDescent="0.45">
      <c r="A252" s="6">
        <f t="shared" si="28"/>
        <v>2022</v>
      </c>
      <c r="B252" s="6">
        <f t="shared" si="29"/>
        <v>9</v>
      </c>
      <c r="C252" s="7">
        <v>44805</v>
      </c>
      <c r="D252" s="6">
        <f t="shared" si="30"/>
        <v>4</v>
      </c>
      <c r="E252" s="6">
        <f t="shared" si="31"/>
        <v>36</v>
      </c>
      <c r="F252" s="6">
        <f t="shared" si="32"/>
        <v>5</v>
      </c>
      <c r="G252" s="6" t="str">
        <f t="shared" si="33"/>
        <v>09</v>
      </c>
      <c r="H252" s="6" t="str">
        <f t="shared" si="34"/>
        <v>09월 5주차</v>
      </c>
      <c r="I252" s="6" t="str">
        <f>H252&amp;" ("&amp;TEXT(C249,"m/dd")&amp;"~"&amp;TEXT(C255,"m/dd")&amp;")"</f>
        <v>09월 5주차 (8/29~9/04)</v>
      </c>
      <c r="J252" s="6" t="str">
        <f>A249&amp;"년 "&amp;WEEKNUM(C249,2)&amp;"주차"&amp;" ("&amp;TEXT(C249,"m/dd")&amp;"~"&amp;TEXT(C255,"m/dd")&amp;")"</f>
        <v>2022년 36주차 (8/29~9/04)</v>
      </c>
      <c r="K252" s="6">
        <f>YEAR(C249)</f>
        <v>2022</v>
      </c>
      <c r="L252" s="6">
        <f>WEEKNUM(C249,2)</f>
        <v>36</v>
      </c>
      <c r="O252" s="1" t="str">
        <f t="shared" si="35"/>
        <v>ETO</v>
      </c>
      <c r="P252" s="1" t="s">
        <v>455</v>
      </c>
      <c r="Q252" s="1" t="s">
        <v>121</v>
      </c>
      <c r="R252" s="1" t="s">
        <v>112</v>
      </c>
      <c r="S252" s="1">
        <v>44</v>
      </c>
      <c r="Z252" s="8" t="s">
        <v>845</v>
      </c>
      <c r="AA252" s="18" t="s">
        <v>718</v>
      </c>
      <c r="AB252" s="9" t="s">
        <v>165</v>
      </c>
      <c r="AS252" t="s">
        <v>521</v>
      </c>
      <c r="AT252" s="9" t="s">
        <v>846</v>
      </c>
    </row>
    <row r="253" spans="1:46" x14ac:dyDescent="0.45">
      <c r="A253" s="6">
        <f t="shared" si="28"/>
        <v>2022</v>
      </c>
      <c r="B253" s="6">
        <f t="shared" si="29"/>
        <v>9</v>
      </c>
      <c r="C253" s="7">
        <v>44806</v>
      </c>
      <c r="D253" s="6">
        <f t="shared" si="30"/>
        <v>5</v>
      </c>
      <c r="E253" s="6">
        <f t="shared" si="31"/>
        <v>36</v>
      </c>
      <c r="F253" s="6">
        <f t="shared" si="32"/>
        <v>5</v>
      </c>
      <c r="G253" s="6" t="str">
        <f t="shared" si="33"/>
        <v>09</v>
      </c>
      <c r="H253" s="6" t="str">
        <f t="shared" si="34"/>
        <v>09월 5주차</v>
      </c>
      <c r="I253" s="6" t="str">
        <f>H253&amp;" ("&amp;TEXT(C249,"m/dd")&amp;"~"&amp;TEXT(C255,"m/dd")&amp;")"</f>
        <v>09월 5주차 (8/29~9/04)</v>
      </c>
      <c r="J253" s="6" t="str">
        <f>A249&amp;"년 "&amp;WEEKNUM(C249,2)&amp;"주차"&amp;" ("&amp;TEXT(C249,"m/dd")&amp;"~"&amp;TEXT(C255,"m/dd")&amp;")"</f>
        <v>2022년 36주차 (8/29~9/04)</v>
      </c>
      <c r="K253" s="6">
        <f>YEAR(C249)</f>
        <v>2022</v>
      </c>
      <c r="L253" s="6">
        <f>WEEKNUM(C249,2)</f>
        <v>36</v>
      </c>
      <c r="O253" s="1" t="str">
        <f t="shared" si="35"/>
        <v>ETN</v>
      </c>
      <c r="P253" s="1" t="s">
        <v>455</v>
      </c>
      <c r="Q253" s="1" t="s">
        <v>121</v>
      </c>
      <c r="R253" s="1" t="s">
        <v>198</v>
      </c>
      <c r="S253" s="1">
        <v>45</v>
      </c>
      <c r="Z253" s="2"/>
      <c r="AA253" s="18" t="s">
        <v>728</v>
      </c>
      <c r="AB253" s="9" t="s">
        <v>165</v>
      </c>
      <c r="AS253" t="s">
        <v>584</v>
      </c>
      <c r="AT253" s="9" t="s">
        <v>847</v>
      </c>
    </row>
    <row r="254" spans="1:46" x14ac:dyDescent="0.45">
      <c r="A254" s="6">
        <f t="shared" si="28"/>
        <v>2022</v>
      </c>
      <c r="B254" s="6">
        <f t="shared" si="29"/>
        <v>9</v>
      </c>
      <c r="C254" s="7">
        <v>44807</v>
      </c>
      <c r="D254" s="6">
        <f t="shared" si="30"/>
        <v>6</v>
      </c>
      <c r="E254" s="6">
        <f t="shared" si="31"/>
        <v>36</v>
      </c>
      <c r="F254" s="6">
        <f t="shared" si="32"/>
        <v>5</v>
      </c>
      <c r="G254" s="6" t="str">
        <f t="shared" si="33"/>
        <v>09</v>
      </c>
      <c r="H254" s="6" t="str">
        <f t="shared" si="34"/>
        <v>09월 5주차</v>
      </c>
      <c r="I254" s="6" t="str">
        <f>H254&amp;" ("&amp;TEXT(C249,"m/dd")&amp;"~"&amp;TEXT(C255,"m/dd")&amp;")"</f>
        <v>09월 5주차 (8/29~9/04)</v>
      </c>
      <c r="J254" s="6" t="str">
        <f>A249&amp;"년 "&amp;WEEKNUM(C249,2)&amp;"주차"&amp;" ("&amp;TEXT(C249,"m/dd")&amp;"~"&amp;TEXT(C255,"m/dd")&amp;")"</f>
        <v>2022년 36주차 (8/29~9/04)</v>
      </c>
      <c r="K254" s="6">
        <f>YEAR(C249)</f>
        <v>2022</v>
      </c>
      <c r="L254" s="6">
        <f>WEEKNUM(C249,2)</f>
        <v>36</v>
      </c>
      <c r="Z254" s="2"/>
      <c r="AA254" s="18" t="s">
        <v>310</v>
      </c>
      <c r="AB254" s="9" t="s">
        <v>165</v>
      </c>
      <c r="AS254" t="s">
        <v>562</v>
      </c>
      <c r="AT254" s="9" t="s">
        <v>848</v>
      </c>
    </row>
    <row r="255" spans="1:46" x14ac:dyDescent="0.45">
      <c r="A255" s="6">
        <f t="shared" si="28"/>
        <v>2022</v>
      </c>
      <c r="B255" s="6">
        <f t="shared" si="29"/>
        <v>9</v>
      </c>
      <c r="C255" s="7">
        <v>44808</v>
      </c>
      <c r="D255" s="6">
        <f t="shared" si="30"/>
        <v>7</v>
      </c>
      <c r="E255" s="6">
        <f t="shared" si="31"/>
        <v>36</v>
      </c>
      <c r="F255" s="6">
        <f t="shared" si="32"/>
        <v>5</v>
      </c>
      <c r="G255" s="6" t="str">
        <f t="shared" si="33"/>
        <v>09</v>
      </c>
      <c r="H255" s="6" t="str">
        <f t="shared" si="34"/>
        <v>09월 5주차</v>
      </c>
      <c r="I255" s="6" t="str">
        <f>H255&amp;" ("&amp;TEXT(C249,"m/dd")&amp;"~"&amp;TEXT(C255,"m/dd")&amp;")"</f>
        <v>09월 5주차 (8/29~9/04)</v>
      </c>
      <c r="J255" s="6" t="str">
        <f>A249&amp;"년 "&amp;WEEKNUM(C249,2)&amp;"주차"&amp;" ("&amp;TEXT(C249,"m/dd")&amp;"~"&amp;TEXT(C255,"m/dd")&amp;")"</f>
        <v>2022년 36주차 (8/29~9/04)</v>
      </c>
      <c r="K255" s="6">
        <f>YEAR(C249)</f>
        <v>2022</v>
      </c>
      <c r="L255" s="6">
        <f>WEEKNUM(C249,2)</f>
        <v>36</v>
      </c>
      <c r="Z255" s="2"/>
      <c r="AA255" s="18" t="s">
        <v>718</v>
      </c>
      <c r="AB255" s="9" t="s">
        <v>165</v>
      </c>
      <c r="AS255" t="s">
        <v>587</v>
      </c>
      <c r="AT255" s="26" t="s">
        <v>287</v>
      </c>
    </row>
    <row r="256" spans="1:46" x14ac:dyDescent="0.45">
      <c r="A256" s="6">
        <f t="shared" si="28"/>
        <v>2022</v>
      </c>
      <c r="B256" s="6">
        <f t="shared" si="29"/>
        <v>9</v>
      </c>
      <c r="C256" s="7">
        <v>44809</v>
      </c>
      <c r="D256" s="6">
        <f t="shared" si="30"/>
        <v>1</v>
      </c>
      <c r="E256" s="6">
        <f t="shared" si="31"/>
        <v>37</v>
      </c>
      <c r="F256" s="6">
        <f t="shared" si="32"/>
        <v>1</v>
      </c>
      <c r="G256" s="6" t="str">
        <f t="shared" si="33"/>
        <v>09</v>
      </c>
      <c r="H256" s="6" t="str">
        <f t="shared" si="34"/>
        <v>09월 1주차</v>
      </c>
      <c r="I256" s="6" t="str">
        <f>H256&amp;" ("&amp;TEXT(C256,"m/dd")&amp;"~"&amp;TEXT(C262,"m/dd")&amp;")"</f>
        <v>09월 1주차 (9/05~9/11)</v>
      </c>
      <c r="J256" s="6" t="str">
        <f>A256&amp;"년 "&amp;WEEKNUM(C256,2)&amp;"주차"&amp;" ("&amp;TEXT(C256,"m/dd")&amp;"~"&amp;TEXT(C262,"m/dd")&amp;")"</f>
        <v>2022년 37주차 (9/05~9/11)</v>
      </c>
      <c r="K256" s="6">
        <f>YEAR(C256)</f>
        <v>2022</v>
      </c>
      <c r="L256" s="6">
        <f>WEEKNUM(C256,2)</f>
        <v>37</v>
      </c>
      <c r="Z256" s="8"/>
      <c r="AA256" s="8" t="s">
        <v>696</v>
      </c>
      <c r="AB256" s="1" t="s">
        <v>849</v>
      </c>
      <c r="AS256" t="s">
        <v>850</v>
      </c>
      <c r="AT256" s="26" t="s">
        <v>111</v>
      </c>
    </row>
    <row r="257" spans="1:46" x14ac:dyDescent="0.45">
      <c r="A257" s="6">
        <f t="shared" si="28"/>
        <v>2022</v>
      </c>
      <c r="B257" s="6">
        <f t="shared" si="29"/>
        <v>9</v>
      </c>
      <c r="C257" s="7">
        <v>44810</v>
      </c>
      <c r="D257" s="6">
        <f t="shared" si="30"/>
        <v>2</v>
      </c>
      <c r="E257" s="6">
        <f t="shared" si="31"/>
        <v>37</v>
      </c>
      <c r="F257" s="6">
        <f t="shared" si="32"/>
        <v>1</v>
      </c>
      <c r="G257" s="6" t="str">
        <f t="shared" si="33"/>
        <v>09</v>
      </c>
      <c r="H257" s="6" t="str">
        <f t="shared" si="34"/>
        <v>09월 1주차</v>
      </c>
      <c r="I257" s="6" t="str">
        <f>H257&amp;" ("&amp;TEXT(C256,"m/dd")&amp;"~"&amp;TEXT(C262,"m/dd")&amp;")"</f>
        <v>09월 1주차 (9/05~9/11)</v>
      </c>
      <c r="J257" s="6" t="str">
        <f>A256&amp;"년 "&amp;WEEKNUM(C256,2)&amp;"주차"&amp;" ("&amp;TEXT(C256,"m/dd")&amp;"~"&amp;TEXT(C262,"m/dd")&amp;")"</f>
        <v>2022년 37주차 (9/05~9/11)</v>
      </c>
      <c r="K257" s="6">
        <f>YEAR(C256)</f>
        <v>2022</v>
      </c>
      <c r="L257" s="6">
        <f>WEEKNUM(C256,2)</f>
        <v>37</v>
      </c>
      <c r="Z257" s="2"/>
      <c r="AA257" s="8" t="s">
        <v>477</v>
      </c>
      <c r="AB257" s="1" t="s">
        <v>34</v>
      </c>
      <c r="AS257" t="s">
        <v>87</v>
      </c>
      <c r="AT257" s="9" t="s">
        <v>851</v>
      </c>
    </row>
    <row r="258" spans="1:46" x14ac:dyDescent="0.45">
      <c r="A258" s="6">
        <f t="shared" si="28"/>
        <v>2022</v>
      </c>
      <c r="B258" s="6">
        <f t="shared" si="29"/>
        <v>9</v>
      </c>
      <c r="C258" s="7">
        <v>44811</v>
      </c>
      <c r="D258" s="6">
        <f t="shared" si="30"/>
        <v>3</v>
      </c>
      <c r="E258" s="6">
        <f t="shared" si="31"/>
        <v>37</v>
      </c>
      <c r="F258" s="6">
        <f t="shared" si="32"/>
        <v>1</v>
      </c>
      <c r="G258" s="6" t="str">
        <f t="shared" si="33"/>
        <v>09</v>
      </c>
      <c r="H258" s="6" t="str">
        <f t="shared" si="34"/>
        <v>09월 1주차</v>
      </c>
      <c r="I258" s="6" t="str">
        <f>H258&amp;" ("&amp;TEXT(C256,"m/dd")&amp;"~"&amp;TEXT(C262,"m/dd")&amp;")"</f>
        <v>09월 1주차 (9/05~9/11)</v>
      </c>
      <c r="J258" s="6" t="str">
        <f>A256&amp;"년 "&amp;WEEKNUM(C256,2)&amp;"주차"&amp;" ("&amp;TEXT(C256,"m/dd")&amp;"~"&amp;TEXT(C262,"m/dd")&amp;")"</f>
        <v>2022년 37주차 (9/05~9/11)</v>
      </c>
      <c r="K258" s="6">
        <f>YEAR(C256)</f>
        <v>2022</v>
      </c>
      <c r="L258" s="6">
        <f>WEEKNUM(C256,2)</f>
        <v>37</v>
      </c>
      <c r="Z258" s="2"/>
      <c r="AA258" s="8" t="s">
        <v>731</v>
      </c>
      <c r="AB258" s="1" t="s">
        <v>34</v>
      </c>
      <c r="AS258" t="s">
        <v>657</v>
      </c>
      <c r="AT258" s="9" t="s">
        <v>852</v>
      </c>
    </row>
    <row r="259" spans="1:46" x14ac:dyDescent="0.45">
      <c r="A259" s="6">
        <f t="shared" si="28"/>
        <v>2022</v>
      </c>
      <c r="B259" s="6">
        <f t="shared" si="29"/>
        <v>9</v>
      </c>
      <c r="C259" s="7">
        <v>44812</v>
      </c>
      <c r="D259" s="6">
        <f t="shared" si="30"/>
        <v>4</v>
      </c>
      <c r="E259" s="6">
        <f t="shared" si="31"/>
        <v>37</v>
      </c>
      <c r="F259" s="6">
        <f t="shared" si="32"/>
        <v>1</v>
      </c>
      <c r="G259" s="6" t="str">
        <f t="shared" si="33"/>
        <v>09</v>
      </c>
      <c r="H259" s="6" t="str">
        <f t="shared" si="34"/>
        <v>09월 1주차</v>
      </c>
      <c r="I259" s="6" t="str">
        <f>H259&amp;" ("&amp;TEXT(C256,"m/dd")&amp;"~"&amp;TEXT(C262,"m/dd")&amp;")"</f>
        <v>09월 1주차 (9/05~9/11)</v>
      </c>
      <c r="J259" s="6" t="str">
        <f>A256&amp;"년 "&amp;WEEKNUM(C256,2)&amp;"주차"&amp;" ("&amp;TEXT(C256,"m/dd")&amp;"~"&amp;TEXT(C262,"m/dd")&amp;")"</f>
        <v>2022년 37주차 (9/05~9/11)</v>
      </c>
      <c r="K259" s="6">
        <f>YEAR(C256)</f>
        <v>2022</v>
      </c>
      <c r="L259" s="6">
        <f>WEEKNUM(C256,2)</f>
        <v>37</v>
      </c>
      <c r="Z259" s="2"/>
      <c r="AA259" s="8" t="s">
        <v>733</v>
      </c>
      <c r="AB259" s="1" t="s">
        <v>34</v>
      </c>
      <c r="AS259" t="s">
        <v>96</v>
      </c>
      <c r="AT259" s="9" t="s">
        <v>853</v>
      </c>
    </row>
    <row r="260" spans="1:46" x14ac:dyDescent="0.45">
      <c r="A260" s="6">
        <f t="shared" si="28"/>
        <v>2022</v>
      </c>
      <c r="B260" s="6">
        <f t="shared" si="29"/>
        <v>9</v>
      </c>
      <c r="C260" s="7">
        <v>44813</v>
      </c>
      <c r="D260" s="6">
        <f t="shared" si="30"/>
        <v>5</v>
      </c>
      <c r="E260" s="6">
        <f t="shared" si="31"/>
        <v>37</v>
      </c>
      <c r="F260" s="6">
        <f t="shared" si="32"/>
        <v>1</v>
      </c>
      <c r="G260" s="6" t="str">
        <f t="shared" si="33"/>
        <v>09</v>
      </c>
      <c r="H260" s="6" t="str">
        <f t="shared" si="34"/>
        <v>09월 1주차</v>
      </c>
      <c r="I260" s="6" t="str">
        <f>H260&amp;" ("&amp;TEXT(C256,"m/dd")&amp;"~"&amp;TEXT(C262,"m/dd")&amp;")"</f>
        <v>09월 1주차 (9/05~9/11)</v>
      </c>
      <c r="J260" s="6" t="str">
        <f>A256&amp;"년 "&amp;WEEKNUM(C256,2)&amp;"주차"&amp;" ("&amp;TEXT(C256,"m/dd")&amp;"~"&amp;TEXT(C262,"m/dd")&amp;")"</f>
        <v>2022년 37주차 (9/05~9/11)</v>
      </c>
      <c r="K260" s="6">
        <f>YEAR(C256)</f>
        <v>2022</v>
      </c>
      <c r="L260" s="6">
        <f>WEEKNUM(C256,2)</f>
        <v>37</v>
      </c>
      <c r="Z260" s="2"/>
      <c r="AA260" s="8" t="s">
        <v>792</v>
      </c>
      <c r="AB260" s="1" t="s">
        <v>34</v>
      </c>
      <c r="AS260" t="s">
        <v>854</v>
      </c>
      <c r="AT260" s="9" t="s">
        <v>855</v>
      </c>
    </row>
    <row r="261" spans="1:46" x14ac:dyDescent="0.45">
      <c r="A261" s="6">
        <f t="shared" si="28"/>
        <v>2022</v>
      </c>
      <c r="B261" s="6">
        <f t="shared" si="29"/>
        <v>9</v>
      </c>
      <c r="C261" s="7">
        <v>44814</v>
      </c>
      <c r="D261" s="6">
        <f t="shared" si="30"/>
        <v>6</v>
      </c>
      <c r="E261" s="6">
        <f t="shared" si="31"/>
        <v>37</v>
      </c>
      <c r="F261" s="6">
        <f t="shared" si="32"/>
        <v>1</v>
      </c>
      <c r="G261" s="6" t="str">
        <f t="shared" si="33"/>
        <v>09</v>
      </c>
      <c r="H261" s="6" t="str">
        <f t="shared" si="34"/>
        <v>09월 1주차</v>
      </c>
      <c r="I261" s="6" t="str">
        <f>H261&amp;" ("&amp;TEXT(C256,"m/dd")&amp;"~"&amp;TEXT(C262,"m/dd")&amp;")"</f>
        <v>09월 1주차 (9/05~9/11)</v>
      </c>
      <c r="J261" s="6" t="str">
        <f>A256&amp;"년 "&amp;WEEKNUM(C256,2)&amp;"주차"&amp;" ("&amp;TEXT(C256,"m/dd")&amp;"~"&amp;TEXT(C262,"m/dd")&amp;")"</f>
        <v>2022년 37주차 (9/05~9/11)</v>
      </c>
      <c r="K261" s="6">
        <f>YEAR(C256)</f>
        <v>2022</v>
      </c>
      <c r="L261" s="6">
        <f>WEEKNUM(C256,2)</f>
        <v>37</v>
      </c>
      <c r="Z261" s="2"/>
      <c r="AA261" s="8" t="s">
        <v>706</v>
      </c>
      <c r="AB261" s="1" t="s">
        <v>34</v>
      </c>
    </row>
    <row r="262" spans="1:46" x14ac:dyDescent="0.45">
      <c r="A262" s="6">
        <f t="shared" si="28"/>
        <v>2022</v>
      </c>
      <c r="B262" s="6">
        <f t="shared" si="29"/>
        <v>9</v>
      </c>
      <c r="C262" s="7">
        <v>44815</v>
      </c>
      <c r="D262" s="6">
        <f t="shared" si="30"/>
        <v>7</v>
      </c>
      <c r="E262" s="6">
        <f t="shared" si="31"/>
        <v>37</v>
      </c>
      <c r="F262" s="6">
        <f t="shared" si="32"/>
        <v>1</v>
      </c>
      <c r="G262" s="6" t="str">
        <f t="shared" si="33"/>
        <v>09</v>
      </c>
      <c r="H262" s="6" t="str">
        <f t="shared" si="34"/>
        <v>09월 1주차</v>
      </c>
      <c r="I262" s="6" t="str">
        <f>H262&amp;" ("&amp;TEXT(C256,"m/dd")&amp;"~"&amp;TEXT(C262,"m/dd")&amp;")"</f>
        <v>09월 1주차 (9/05~9/11)</v>
      </c>
      <c r="J262" s="6" t="str">
        <f>A256&amp;"년 "&amp;WEEKNUM(C256,2)&amp;"주차"&amp;" ("&amp;TEXT(C256,"m/dd")&amp;"~"&amp;TEXT(C262,"m/dd")&amp;")"</f>
        <v>2022년 37주차 (9/05~9/11)</v>
      </c>
      <c r="K262" s="6">
        <f>YEAR(C256)</f>
        <v>2022</v>
      </c>
      <c r="L262" s="6">
        <f>WEEKNUM(C256,2)</f>
        <v>37</v>
      </c>
      <c r="Z262" s="2"/>
      <c r="AA262" s="8" t="s">
        <v>773</v>
      </c>
      <c r="AB262" s="1" t="s">
        <v>34</v>
      </c>
    </row>
    <row r="263" spans="1:46" x14ac:dyDescent="0.45">
      <c r="A263" s="6">
        <f t="shared" si="28"/>
        <v>2022</v>
      </c>
      <c r="B263" s="6">
        <f t="shared" si="29"/>
        <v>9</v>
      </c>
      <c r="C263" s="7">
        <v>44816</v>
      </c>
      <c r="D263" s="6">
        <f t="shared" si="30"/>
        <v>1</v>
      </c>
      <c r="E263" s="6">
        <f t="shared" si="31"/>
        <v>38</v>
      </c>
      <c r="F263" s="6">
        <f t="shared" si="32"/>
        <v>2</v>
      </c>
      <c r="G263" s="6" t="str">
        <f t="shared" si="33"/>
        <v>09</v>
      </c>
      <c r="H263" s="6" t="str">
        <f t="shared" si="34"/>
        <v>09월 2주차</v>
      </c>
      <c r="I263" s="6" t="str">
        <f>H263&amp;" ("&amp;TEXT(C263,"m/dd")&amp;"~"&amp;TEXT(C269,"m/dd")&amp;")"</f>
        <v>09월 2주차 (9/12~9/18)</v>
      </c>
      <c r="J263" s="6" t="str">
        <f>A263&amp;"년 "&amp;WEEKNUM(C263,2)&amp;"주차"&amp;" ("&amp;TEXT(C263,"m/dd")&amp;"~"&amp;TEXT(C269,"m/dd")&amp;")"</f>
        <v>2022년 38주차 (9/12~9/18)</v>
      </c>
      <c r="K263" s="6">
        <f>YEAR(C263)</f>
        <v>2022</v>
      </c>
      <c r="L263" s="6">
        <f>WEEKNUM(C263,2)</f>
        <v>38</v>
      </c>
      <c r="Z263" s="2"/>
      <c r="AA263" s="8" t="s">
        <v>573</v>
      </c>
      <c r="AB263" s="1" t="s">
        <v>34</v>
      </c>
    </row>
    <row r="264" spans="1:46" x14ac:dyDescent="0.45">
      <c r="A264" s="6">
        <f t="shared" si="28"/>
        <v>2022</v>
      </c>
      <c r="B264" s="6">
        <f t="shared" si="29"/>
        <v>9</v>
      </c>
      <c r="C264" s="7">
        <v>44817</v>
      </c>
      <c r="D264" s="6">
        <f t="shared" si="30"/>
        <v>2</v>
      </c>
      <c r="E264" s="6">
        <f t="shared" si="31"/>
        <v>38</v>
      </c>
      <c r="F264" s="6">
        <f t="shared" si="32"/>
        <v>2</v>
      </c>
      <c r="G264" s="6" t="str">
        <f t="shared" si="33"/>
        <v>09</v>
      </c>
      <c r="H264" s="6" t="str">
        <f t="shared" si="34"/>
        <v>09월 2주차</v>
      </c>
      <c r="I264" s="6" t="str">
        <f>H264&amp;" ("&amp;TEXT(C263,"m/dd")&amp;"~"&amp;TEXT(C269,"m/dd")&amp;")"</f>
        <v>09월 2주차 (9/12~9/18)</v>
      </c>
      <c r="J264" s="6" t="str">
        <f>A263&amp;"년 "&amp;WEEKNUM(C263,2)&amp;"주차"&amp;" ("&amp;TEXT(C263,"m/dd")&amp;"~"&amp;TEXT(C269,"m/dd")&amp;")"</f>
        <v>2022년 38주차 (9/12~9/18)</v>
      </c>
      <c r="K264" s="6">
        <f>YEAR(C263)</f>
        <v>2022</v>
      </c>
      <c r="L264" s="6">
        <f>WEEKNUM(C263,2)</f>
        <v>38</v>
      </c>
      <c r="AA264" s="18" t="s">
        <v>856</v>
      </c>
      <c r="AB264" s="1" t="s">
        <v>34</v>
      </c>
    </row>
    <row r="265" spans="1:46" x14ac:dyDescent="0.45">
      <c r="A265" s="6">
        <f t="shared" si="28"/>
        <v>2022</v>
      </c>
      <c r="B265" s="6">
        <f t="shared" si="29"/>
        <v>9</v>
      </c>
      <c r="C265" s="7">
        <v>44818</v>
      </c>
      <c r="D265" s="6">
        <f t="shared" si="30"/>
        <v>3</v>
      </c>
      <c r="E265" s="6">
        <f t="shared" si="31"/>
        <v>38</v>
      </c>
      <c r="F265" s="6">
        <f t="shared" si="32"/>
        <v>2</v>
      </c>
      <c r="G265" s="6" t="str">
        <f t="shared" si="33"/>
        <v>09</v>
      </c>
      <c r="H265" s="6" t="str">
        <f t="shared" si="34"/>
        <v>09월 2주차</v>
      </c>
      <c r="I265" s="6" t="str">
        <f>H265&amp;" ("&amp;TEXT(C263,"m/dd")&amp;"~"&amp;TEXT(C269,"m/dd")&amp;")"</f>
        <v>09월 2주차 (9/12~9/18)</v>
      </c>
      <c r="J265" s="6" t="str">
        <f>A263&amp;"년 "&amp;WEEKNUM(C263,2)&amp;"주차"&amp;" ("&amp;TEXT(C263,"m/dd")&amp;"~"&amp;TEXT(C269,"m/dd")&amp;")"</f>
        <v>2022년 38주차 (9/12~9/18)</v>
      </c>
      <c r="K265" s="6">
        <f>YEAR(C263)</f>
        <v>2022</v>
      </c>
      <c r="L265" s="6">
        <f>WEEKNUM(C263,2)</f>
        <v>38</v>
      </c>
      <c r="AA265" t="s">
        <v>674</v>
      </c>
      <c r="AB265" s="1" t="s">
        <v>34</v>
      </c>
    </row>
    <row r="266" spans="1:46" x14ac:dyDescent="0.45">
      <c r="A266" s="6">
        <f t="shared" si="28"/>
        <v>2022</v>
      </c>
      <c r="B266" s="6">
        <f t="shared" si="29"/>
        <v>9</v>
      </c>
      <c r="C266" s="7">
        <v>44819</v>
      </c>
      <c r="D266" s="6">
        <f t="shared" si="30"/>
        <v>4</v>
      </c>
      <c r="E266" s="6">
        <f t="shared" si="31"/>
        <v>38</v>
      </c>
      <c r="F266" s="6">
        <f t="shared" si="32"/>
        <v>2</v>
      </c>
      <c r="G266" s="6" t="str">
        <f t="shared" si="33"/>
        <v>09</v>
      </c>
      <c r="H266" s="6" t="str">
        <f t="shared" si="34"/>
        <v>09월 2주차</v>
      </c>
      <c r="I266" s="6" t="str">
        <f>H266&amp;" ("&amp;TEXT(C263,"m/dd")&amp;"~"&amp;TEXT(C269,"m/dd")&amp;")"</f>
        <v>09월 2주차 (9/12~9/18)</v>
      </c>
      <c r="J266" s="6" t="str">
        <f>A263&amp;"년 "&amp;WEEKNUM(C263,2)&amp;"주차"&amp;" ("&amp;TEXT(C263,"m/dd")&amp;"~"&amp;TEXT(C269,"m/dd")&amp;")"</f>
        <v>2022년 38주차 (9/12~9/18)</v>
      </c>
      <c r="K266" s="6">
        <f>YEAR(C263)</f>
        <v>2022</v>
      </c>
      <c r="L266" s="6">
        <f>WEEKNUM(C263,2)</f>
        <v>38</v>
      </c>
      <c r="AA266" t="s">
        <v>857</v>
      </c>
      <c r="AB266" s="1" t="s">
        <v>34</v>
      </c>
    </row>
    <row r="267" spans="1:46" x14ac:dyDescent="0.45">
      <c r="A267" s="6">
        <f t="shared" ref="A267:A330" si="36">YEAR(C267)</f>
        <v>2022</v>
      </c>
      <c r="B267" s="6">
        <f t="shared" ref="B267:B330" si="37">MONTH(C267)</f>
        <v>9</v>
      </c>
      <c r="C267" s="7">
        <v>44820</v>
      </c>
      <c r="D267" s="6">
        <f t="shared" ref="D267:D330" si="38">WEEKDAY(C267,2)</f>
        <v>5</v>
      </c>
      <c r="E267" s="6">
        <f t="shared" ref="E267:E330" si="39">WEEKNUM(C267,2)</f>
        <v>38</v>
      </c>
      <c r="F267" s="6">
        <f t="shared" ref="F267:F311" si="40">WEEKNUM(DATE(YEAR(C267),1,DAY(C267-WEEKDAY(C267,2)+1)),WEEKDAY(DATE(YEAR(C267),1,1),11)+10)</f>
        <v>2</v>
      </c>
      <c r="G267" s="6" t="str">
        <f t="shared" ref="G267:G330" si="41">IF(LEN(B267)=1,_xlfn.CONCAT(0,B267),B267)</f>
        <v>09</v>
      </c>
      <c r="H267" s="6" t="str">
        <f t="shared" ref="H267:H330" si="42">G267&amp;"월 "&amp;F267&amp;"주차"</f>
        <v>09월 2주차</v>
      </c>
      <c r="I267" s="6" t="str">
        <f>H267&amp;" ("&amp;TEXT(C263,"m/dd")&amp;"~"&amp;TEXT(C269,"m/dd")&amp;")"</f>
        <v>09월 2주차 (9/12~9/18)</v>
      </c>
      <c r="J267" s="6" t="str">
        <f>A263&amp;"년 "&amp;WEEKNUM(C263,2)&amp;"주차"&amp;" ("&amp;TEXT(C263,"m/dd")&amp;"~"&amp;TEXT(C269,"m/dd")&amp;")"</f>
        <v>2022년 38주차 (9/12~9/18)</v>
      </c>
      <c r="K267" s="6">
        <f>YEAR(C263)</f>
        <v>2022</v>
      </c>
      <c r="L267" s="6">
        <f>WEEKNUM(C263,2)</f>
        <v>38</v>
      </c>
    </row>
    <row r="268" spans="1:46" x14ac:dyDescent="0.45">
      <c r="A268" s="6">
        <f t="shared" si="36"/>
        <v>2022</v>
      </c>
      <c r="B268" s="6">
        <f t="shared" si="37"/>
        <v>9</v>
      </c>
      <c r="C268" s="7">
        <v>44821</v>
      </c>
      <c r="D268" s="6">
        <f t="shared" si="38"/>
        <v>6</v>
      </c>
      <c r="E268" s="6">
        <f t="shared" si="39"/>
        <v>38</v>
      </c>
      <c r="F268" s="6">
        <f t="shared" si="40"/>
        <v>2</v>
      </c>
      <c r="G268" s="6" t="str">
        <f t="shared" si="41"/>
        <v>09</v>
      </c>
      <c r="H268" s="6" t="str">
        <f t="shared" si="42"/>
        <v>09월 2주차</v>
      </c>
      <c r="I268" s="6" t="str">
        <f>H268&amp;" ("&amp;TEXT(C263,"m/dd")&amp;"~"&amp;TEXT(C269,"m/dd")&amp;")"</f>
        <v>09월 2주차 (9/12~9/18)</v>
      </c>
      <c r="J268" s="6" t="str">
        <f>A263&amp;"년 "&amp;WEEKNUM(C263,2)&amp;"주차"&amp;" ("&amp;TEXT(C263,"m/dd")&amp;"~"&amp;TEXT(C269,"m/dd")&amp;")"</f>
        <v>2022년 38주차 (9/12~9/18)</v>
      </c>
      <c r="K268" s="6">
        <f>YEAR(C263)</f>
        <v>2022</v>
      </c>
      <c r="L268" s="6">
        <f>WEEKNUM(C263,2)</f>
        <v>38</v>
      </c>
    </row>
    <row r="269" spans="1:46" x14ac:dyDescent="0.45">
      <c r="A269" s="6">
        <f t="shared" si="36"/>
        <v>2022</v>
      </c>
      <c r="B269" s="6">
        <f t="shared" si="37"/>
        <v>9</v>
      </c>
      <c r="C269" s="7">
        <v>44822</v>
      </c>
      <c r="D269" s="6">
        <f t="shared" si="38"/>
        <v>7</v>
      </c>
      <c r="E269" s="6">
        <f t="shared" si="39"/>
        <v>38</v>
      </c>
      <c r="F269" s="6">
        <f t="shared" si="40"/>
        <v>2</v>
      </c>
      <c r="G269" s="6" t="str">
        <f t="shared" si="41"/>
        <v>09</v>
      </c>
      <c r="H269" s="6" t="str">
        <f t="shared" si="42"/>
        <v>09월 2주차</v>
      </c>
      <c r="I269" s="6" t="str">
        <f>H269&amp;" ("&amp;TEXT(C263,"m/dd")&amp;"~"&amp;TEXT(C269,"m/dd")&amp;")"</f>
        <v>09월 2주차 (9/12~9/18)</v>
      </c>
      <c r="J269" s="6" t="str">
        <f>A263&amp;"년 "&amp;WEEKNUM(C263,2)&amp;"주차"&amp;" ("&amp;TEXT(C263,"m/dd")&amp;"~"&amp;TEXT(C269,"m/dd")&amp;")"</f>
        <v>2022년 38주차 (9/12~9/18)</v>
      </c>
      <c r="K269" s="6">
        <f>YEAR(C263)</f>
        <v>2022</v>
      </c>
      <c r="L269" s="6">
        <f>WEEKNUM(C263,2)</f>
        <v>38</v>
      </c>
    </row>
    <row r="270" spans="1:46" x14ac:dyDescent="0.45">
      <c r="A270" s="6">
        <f t="shared" si="36"/>
        <v>2022</v>
      </c>
      <c r="B270" s="6">
        <f t="shared" si="37"/>
        <v>9</v>
      </c>
      <c r="C270" s="7">
        <v>44823</v>
      </c>
      <c r="D270" s="6">
        <f t="shared" si="38"/>
        <v>1</v>
      </c>
      <c r="E270" s="6">
        <f t="shared" si="39"/>
        <v>39</v>
      </c>
      <c r="F270" s="6">
        <f t="shared" si="40"/>
        <v>3</v>
      </c>
      <c r="G270" s="6" t="str">
        <f t="shared" si="41"/>
        <v>09</v>
      </c>
      <c r="H270" s="6" t="str">
        <f t="shared" si="42"/>
        <v>09월 3주차</v>
      </c>
      <c r="I270" s="6" t="str">
        <f>H270&amp;" ("&amp;TEXT(C270,"m/dd")&amp;"~"&amp;TEXT(C276,"m/dd")&amp;")"</f>
        <v>09월 3주차 (9/19~9/25)</v>
      </c>
      <c r="J270" s="6" t="str">
        <f>A270&amp;"년 "&amp;WEEKNUM(C270,2)&amp;"주차"&amp;" ("&amp;TEXT(C270,"m/dd")&amp;"~"&amp;TEXT(C276,"m/dd")&amp;")"</f>
        <v>2022년 39주차 (9/19~9/25)</v>
      </c>
      <c r="K270" s="6">
        <f>YEAR(C270)</f>
        <v>2022</v>
      </c>
      <c r="L270" s="6">
        <f>WEEKNUM(C270,2)</f>
        <v>39</v>
      </c>
    </row>
    <row r="271" spans="1:46" x14ac:dyDescent="0.45">
      <c r="A271" s="6">
        <f t="shared" si="36"/>
        <v>2022</v>
      </c>
      <c r="B271" s="6">
        <f t="shared" si="37"/>
        <v>9</v>
      </c>
      <c r="C271" s="7">
        <v>44824</v>
      </c>
      <c r="D271" s="6">
        <f t="shared" si="38"/>
        <v>2</v>
      </c>
      <c r="E271" s="6">
        <f t="shared" si="39"/>
        <v>39</v>
      </c>
      <c r="F271" s="6">
        <f t="shared" si="40"/>
        <v>3</v>
      </c>
      <c r="G271" s="6" t="str">
        <f t="shared" si="41"/>
        <v>09</v>
      </c>
      <c r="H271" s="6" t="str">
        <f t="shared" si="42"/>
        <v>09월 3주차</v>
      </c>
      <c r="I271" s="6" t="str">
        <f>H271&amp;" ("&amp;TEXT(C270,"m/dd")&amp;"~"&amp;TEXT(C276,"m/dd")&amp;")"</f>
        <v>09월 3주차 (9/19~9/25)</v>
      </c>
      <c r="J271" s="6" t="str">
        <f>A270&amp;"년 "&amp;WEEKNUM(C270,2)&amp;"주차"&amp;" ("&amp;TEXT(C270,"m/dd")&amp;"~"&amp;TEXT(C276,"m/dd")&amp;")"</f>
        <v>2022년 39주차 (9/19~9/25)</v>
      </c>
      <c r="K271" s="6">
        <f>YEAR(C270)</f>
        <v>2022</v>
      </c>
      <c r="L271" s="6">
        <f>WEEKNUM(C270,2)</f>
        <v>39</v>
      </c>
    </row>
    <row r="272" spans="1:46" x14ac:dyDescent="0.45">
      <c r="A272" s="6">
        <f t="shared" si="36"/>
        <v>2022</v>
      </c>
      <c r="B272" s="6">
        <f t="shared" si="37"/>
        <v>9</v>
      </c>
      <c r="C272" s="7">
        <v>44825</v>
      </c>
      <c r="D272" s="6">
        <f t="shared" si="38"/>
        <v>3</v>
      </c>
      <c r="E272" s="6">
        <f t="shared" si="39"/>
        <v>39</v>
      </c>
      <c r="F272" s="6">
        <f t="shared" si="40"/>
        <v>3</v>
      </c>
      <c r="G272" s="6" t="str">
        <f t="shared" si="41"/>
        <v>09</v>
      </c>
      <c r="H272" s="6" t="str">
        <f t="shared" si="42"/>
        <v>09월 3주차</v>
      </c>
      <c r="I272" s="6" t="str">
        <f>H272&amp;" ("&amp;TEXT(C270,"m/dd")&amp;"~"&amp;TEXT(C276,"m/dd")&amp;")"</f>
        <v>09월 3주차 (9/19~9/25)</v>
      </c>
      <c r="J272" s="6" t="str">
        <f>A270&amp;"년 "&amp;WEEKNUM(C270,2)&amp;"주차"&amp;" ("&amp;TEXT(C270,"m/dd")&amp;"~"&amp;TEXT(C276,"m/dd")&amp;")"</f>
        <v>2022년 39주차 (9/19~9/25)</v>
      </c>
      <c r="K272" s="6">
        <f>YEAR(C270)</f>
        <v>2022</v>
      </c>
      <c r="L272" s="6">
        <f>WEEKNUM(C270,2)</f>
        <v>39</v>
      </c>
    </row>
    <row r="273" spans="1:28" x14ac:dyDescent="0.45">
      <c r="A273" s="6">
        <f t="shared" si="36"/>
        <v>2022</v>
      </c>
      <c r="B273" s="6">
        <f t="shared" si="37"/>
        <v>9</v>
      </c>
      <c r="C273" s="7">
        <v>44826</v>
      </c>
      <c r="D273" s="6">
        <f t="shared" si="38"/>
        <v>4</v>
      </c>
      <c r="E273" s="6">
        <f t="shared" si="39"/>
        <v>39</v>
      </c>
      <c r="F273" s="6">
        <f t="shared" si="40"/>
        <v>3</v>
      </c>
      <c r="G273" s="6" t="str">
        <f t="shared" si="41"/>
        <v>09</v>
      </c>
      <c r="H273" s="6" t="str">
        <f t="shared" si="42"/>
        <v>09월 3주차</v>
      </c>
      <c r="I273" s="6" t="str">
        <f>H273&amp;" ("&amp;TEXT(C270,"m/dd")&amp;"~"&amp;TEXT(C276,"m/dd")&amp;")"</f>
        <v>09월 3주차 (9/19~9/25)</v>
      </c>
      <c r="J273" s="6" t="str">
        <f>A270&amp;"년 "&amp;WEEKNUM(C270,2)&amp;"주차"&amp;" ("&amp;TEXT(C270,"m/dd")&amp;"~"&amp;TEXT(C276,"m/dd")&amp;")"</f>
        <v>2022년 39주차 (9/19~9/25)</v>
      </c>
      <c r="K273" s="6">
        <f>YEAR(C270)</f>
        <v>2022</v>
      </c>
      <c r="L273" s="6">
        <f>WEEKNUM(C270,2)</f>
        <v>39</v>
      </c>
    </row>
    <row r="274" spans="1:28" x14ac:dyDescent="0.45">
      <c r="A274" s="6">
        <f t="shared" si="36"/>
        <v>2022</v>
      </c>
      <c r="B274" s="6">
        <f t="shared" si="37"/>
        <v>9</v>
      </c>
      <c r="C274" s="7">
        <v>44827</v>
      </c>
      <c r="D274" s="6">
        <f t="shared" si="38"/>
        <v>5</v>
      </c>
      <c r="E274" s="6">
        <f t="shared" si="39"/>
        <v>39</v>
      </c>
      <c r="F274" s="6">
        <f t="shared" si="40"/>
        <v>3</v>
      </c>
      <c r="G274" s="6" t="str">
        <f t="shared" si="41"/>
        <v>09</v>
      </c>
      <c r="H274" s="6" t="str">
        <f t="shared" si="42"/>
        <v>09월 3주차</v>
      </c>
      <c r="I274" s="6" t="str">
        <f>H274&amp;" ("&amp;TEXT(C270,"m/dd")&amp;"~"&amp;TEXT(C276,"m/dd")&amp;")"</f>
        <v>09월 3주차 (9/19~9/25)</v>
      </c>
      <c r="J274" s="6" t="str">
        <f>A270&amp;"년 "&amp;WEEKNUM(C270,2)&amp;"주차"&amp;" ("&amp;TEXT(C270,"m/dd")&amp;"~"&amp;TEXT(C276,"m/dd")&amp;")"</f>
        <v>2022년 39주차 (9/19~9/25)</v>
      </c>
      <c r="K274" s="6">
        <f>YEAR(C270)</f>
        <v>2022</v>
      </c>
      <c r="L274" s="6">
        <f>WEEKNUM(C270,2)</f>
        <v>39</v>
      </c>
    </row>
    <row r="275" spans="1:28" x14ac:dyDescent="0.45">
      <c r="A275" s="6">
        <f t="shared" si="36"/>
        <v>2022</v>
      </c>
      <c r="B275" s="6">
        <f t="shared" si="37"/>
        <v>9</v>
      </c>
      <c r="C275" s="7">
        <v>44828</v>
      </c>
      <c r="D275" s="6">
        <f t="shared" si="38"/>
        <v>6</v>
      </c>
      <c r="E275" s="6">
        <f t="shared" si="39"/>
        <v>39</v>
      </c>
      <c r="F275" s="6">
        <f t="shared" si="40"/>
        <v>3</v>
      </c>
      <c r="G275" s="6" t="str">
        <f t="shared" si="41"/>
        <v>09</v>
      </c>
      <c r="H275" s="6" t="str">
        <f t="shared" si="42"/>
        <v>09월 3주차</v>
      </c>
      <c r="I275" s="6" t="str">
        <f>H275&amp;" ("&amp;TEXT(C270,"m/dd")&amp;"~"&amp;TEXT(C276,"m/dd")&amp;")"</f>
        <v>09월 3주차 (9/19~9/25)</v>
      </c>
      <c r="J275" s="6" t="str">
        <f>A270&amp;"년 "&amp;WEEKNUM(C270,2)&amp;"주차"&amp;" ("&amp;TEXT(C270,"m/dd")&amp;"~"&amp;TEXT(C276,"m/dd")&amp;")"</f>
        <v>2022년 39주차 (9/19~9/25)</v>
      </c>
      <c r="K275" s="6">
        <f>YEAR(C270)</f>
        <v>2022</v>
      </c>
      <c r="L275" s="6">
        <f>WEEKNUM(C270,2)</f>
        <v>39</v>
      </c>
    </row>
    <row r="276" spans="1:28" x14ac:dyDescent="0.45">
      <c r="A276" s="6">
        <f t="shared" si="36"/>
        <v>2022</v>
      </c>
      <c r="B276" s="6">
        <f t="shared" si="37"/>
        <v>9</v>
      </c>
      <c r="C276" s="7">
        <v>44829</v>
      </c>
      <c r="D276" s="6">
        <f t="shared" si="38"/>
        <v>7</v>
      </c>
      <c r="E276" s="6">
        <f t="shared" si="39"/>
        <v>39</v>
      </c>
      <c r="F276" s="6">
        <f t="shared" si="40"/>
        <v>3</v>
      </c>
      <c r="G276" s="6" t="str">
        <f t="shared" si="41"/>
        <v>09</v>
      </c>
      <c r="H276" s="6" t="str">
        <f t="shared" si="42"/>
        <v>09월 3주차</v>
      </c>
      <c r="I276" s="6" t="str">
        <f>H276&amp;" ("&amp;TEXT(C270,"m/dd")&amp;"~"&amp;TEXT(C276,"m/dd")&amp;")"</f>
        <v>09월 3주차 (9/19~9/25)</v>
      </c>
      <c r="J276" s="6" t="str">
        <f>A270&amp;"년 "&amp;WEEKNUM(C270,2)&amp;"주차"&amp;" ("&amp;TEXT(C270,"m/dd")&amp;"~"&amp;TEXT(C276,"m/dd")&amp;")"</f>
        <v>2022년 39주차 (9/19~9/25)</v>
      </c>
      <c r="K276" s="6">
        <f>YEAR(C270)</f>
        <v>2022</v>
      </c>
      <c r="L276" s="6">
        <f>WEEKNUM(C270,2)</f>
        <v>39</v>
      </c>
    </row>
    <row r="277" spans="1:28" x14ac:dyDescent="0.45">
      <c r="A277" s="6">
        <f t="shared" si="36"/>
        <v>2022</v>
      </c>
      <c r="B277" s="6">
        <f t="shared" si="37"/>
        <v>9</v>
      </c>
      <c r="C277" s="7">
        <v>44830</v>
      </c>
      <c r="D277" s="6">
        <f t="shared" si="38"/>
        <v>1</v>
      </c>
      <c r="E277" s="6">
        <f t="shared" si="39"/>
        <v>40</v>
      </c>
      <c r="F277" s="6">
        <f t="shared" si="40"/>
        <v>4</v>
      </c>
      <c r="G277" s="6" t="str">
        <f t="shared" si="41"/>
        <v>09</v>
      </c>
      <c r="H277" s="6" t="str">
        <f t="shared" si="42"/>
        <v>09월 4주차</v>
      </c>
      <c r="I277" s="6" t="str">
        <f>H277&amp;" ("&amp;TEXT(C277,"m/dd")&amp;"~"&amp;TEXT(C283,"m/dd")&amp;")"</f>
        <v>09월 4주차 (9/26~10/02)</v>
      </c>
      <c r="J277" s="6" t="str">
        <f>A277&amp;"년 "&amp;WEEKNUM(C277,2)&amp;"주차"&amp;" ("&amp;TEXT(C277,"m/dd")&amp;"~"&amp;TEXT(C283,"m/dd")&amp;")"</f>
        <v>2022년 40주차 (9/26~10/02)</v>
      </c>
      <c r="K277" s="6">
        <f>YEAR(C277)</f>
        <v>2022</v>
      </c>
      <c r="L277" s="6">
        <f>WEEKNUM(C277,2)</f>
        <v>40</v>
      </c>
    </row>
    <row r="278" spans="1:28" x14ac:dyDescent="0.45">
      <c r="A278" s="6">
        <f t="shared" si="36"/>
        <v>2022</v>
      </c>
      <c r="B278" s="6">
        <f t="shared" si="37"/>
        <v>9</v>
      </c>
      <c r="C278" s="7">
        <v>44831</v>
      </c>
      <c r="D278" s="6">
        <f t="shared" si="38"/>
        <v>2</v>
      </c>
      <c r="E278" s="6">
        <f t="shared" si="39"/>
        <v>40</v>
      </c>
      <c r="F278" s="6">
        <f t="shared" si="40"/>
        <v>4</v>
      </c>
      <c r="G278" s="6" t="str">
        <f t="shared" si="41"/>
        <v>09</v>
      </c>
      <c r="H278" s="6" t="str">
        <f t="shared" si="42"/>
        <v>09월 4주차</v>
      </c>
      <c r="I278" s="6" t="str">
        <f>H278&amp;" ("&amp;TEXT(C277,"m/dd")&amp;"~"&amp;TEXT(C283,"m/dd")&amp;")"</f>
        <v>09월 4주차 (9/26~10/02)</v>
      </c>
      <c r="J278" s="6" t="str">
        <f>A277&amp;"년 "&amp;WEEKNUM(C277,2)&amp;"주차"&amp;" ("&amp;TEXT(C277,"m/dd")&amp;"~"&amp;TEXT(C283,"m/dd")&amp;")"</f>
        <v>2022년 40주차 (9/26~10/02)</v>
      </c>
      <c r="K278" s="6">
        <f>YEAR(C277)</f>
        <v>2022</v>
      </c>
      <c r="L278" s="6">
        <f>WEEKNUM(C277,2)</f>
        <v>40</v>
      </c>
    </row>
    <row r="279" spans="1:28" x14ac:dyDescent="0.45">
      <c r="A279" s="6">
        <f t="shared" si="36"/>
        <v>2022</v>
      </c>
      <c r="B279" s="6">
        <f t="shared" si="37"/>
        <v>9</v>
      </c>
      <c r="C279" s="7">
        <v>44832</v>
      </c>
      <c r="D279" s="6">
        <f t="shared" si="38"/>
        <v>3</v>
      </c>
      <c r="E279" s="6">
        <f t="shared" si="39"/>
        <v>40</v>
      </c>
      <c r="F279" s="6">
        <f t="shared" si="40"/>
        <v>4</v>
      </c>
      <c r="G279" s="6" t="str">
        <f t="shared" si="41"/>
        <v>09</v>
      </c>
      <c r="H279" s="6" t="str">
        <f t="shared" si="42"/>
        <v>09월 4주차</v>
      </c>
      <c r="I279" s="6" t="str">
        <f>H279&amp;" ("&amp;TEXT(C277,"m/dd")&amp;"~"&amp;TEXT(C283,"m/dd")&amp;")"</f>
        <v>09월 4주차 (9/26~10/02)</v>
      </c>
      <c r="J279" s="6" t="str">
        <f>A277&amp;"년 "&amp;WEEKNUM(C277,2)&amp;"주차"&amp;" ("&amp;TEXT(C277,"m/dd")&amp;"~"&amp;TEXT(C283,"m/dd")&amp;")"</f>
        <v>2022년 40주차 (9/26~10/02)</v>
      </c>
      <c r="K279" s="6">
        <f>YEAR(C277)</f>
        <v>2022</v>
      </c>
      <c r="L279" s="6">
        <f>WEEKNUM(C277,2)</f>
        <v>40</v>
      </c>
    </row>
    <row r="280" spans="1:28" x14ac:dyDescent="0.45">
      <c r="A280" s="6">
        <f t="shared" si="36"/>
        <v>2022</v>
      </c>
      <c r="B280" s="6">
        <f t="shared" si="37"/>
        <v>9</v>
      </c>
      <c r="C280" s="7">
        <v>44833</v>
      </c>
      <c r="D280" s="6">
        <f t="shared" si="38"/>
        <v>4</v>
      </c>
      <c r="E280" s="6">
        <f t="shared" si="39"/>
        <v>40</v>
      </c>
      <c r="F280" s="6">
        <f t="shared" si="40"/>
        <v>4</v>
      </c>
      <c r="G280" s="6" t="str">
        <f t="shared" si="41"/>
        <v>09</v>
      </c>
      <c r="H280" s="6" t="str">
        <f t="shared" si="42"/>
        <v>09월 4주차</v>
      </c>
      <c r="I280" s="6" t="str">
        <f>H280&amp;" ("&amp;TEXT(C277,"m/dd")&amp;"~"&amp;TEXT(C283,"m/dd")&amp;")"</f>
        <v>09월 4주차 (9/26~10/02)</v>
      </c>
      <c r="J280" s="6" t="str">
        <f>A277&amp;"년 "&amp;WEEKNUM(C277,2)&amp;"주차"&amp;" ("&amp;TEXT(C277,"m/dd")&amp;"~"&amp;TEXT(C283,"m/dd")&amp;")"</f>
        <v>2022년 40주차 (9/26~10/02)</v>
      </c>
      <c r="K280" s="6">
        <f>YEAR(C277)</f>
        <v>2022</v>
      </c>
      <c r="L280" s="6">
        <f>WEEKNUM(C277,2)</f>
        <v>40</v>
      </c>
      <c r="Z280" s="8" t="s">
        <v>858</v>
      </c>
      <c r="AA280" s="8" t="s">
        <v>765</v>
      </c>
      <c r="AB280" s="1" t="s">
        <v>695</v>
      </c>
    </row>
    <row r="281" spans="1:28" x14ac:dyDescent="0.45">
      <c r="A281" s="6">
        <f t="shared" si="36"/>
        <v>2022</v>
      </c>
      <c r="B281" s="6">
        <f t="shared" si="37"/>
        <v>9</v>
      </c>
      <c r="C281" s="7">
        <v>44834</v>
      </c>
      <c r="D281" s="6">
        <f t="shared" si="38"/>
        <v>5</v>
      </c>
      <c r="E281" s="6">
        <f t="shared" si="39"/>
        <v>40</v>
      </c>
      <c r="F281" s="6">
        <f t="shared" si="40"/>
        <v>4</v>
      </c>
      <c r="G281" s="6" t="str">
        <f t="shared" si="41"/>
        <v>09</v>
      </c>
      <c r="H281" s="6" t="str">
        <f t="shared" si="42"/>
        <v>09월 4주차</v>
      </c>
      <c r="I281" s="6" t="str">
        <f>H281&amp;" ("&amp;TEXT(C277,"m/dd")&amp;"~"&amp;TEXT(C283,"m/dd")&amp;")"</f>
        <v>09월 4주차 (9/26~10/02)</v>
      </c>
      <c r="J281" s="6" t="str">
        <f>A277&amp;"년 "&amp;WEEKNUM(C277,2)&amp;"주차"&amp;" ("&amp;TEXT(C277,"m/dd")&amp;"~"&amp;TEXT(C283,"m/dd")&amp;")"</f>
        <v>2022년 40주차 (9/26~10/02)</v>
      </c>
      <c r="K281" s="6">
        <f>YEAR(C277)</f>
        <v>2022</v>
      </c>
      <c r="L281" s="6">
        <f>WEEKNUM(C277,2)</f>
        <v>40</v>
      </c>
      <c r="Z281" s="2"/>
      <c r="AA281" s="8" t="s">
        <v>708</v>
      </c>
      <c r="AB281" s="1" t="s">
        <v>849</v>
      </c>
    </row>
    <row r="282" spans="1:28" x14ac:dyDescent="0.45">
      <c r="A282" s="6">
        <f t="shared" si="36"/>
        <v>2022</v>
      </c>
      <c r="B282" s="6">
        <f t="shared" si="37"/>
        <v>10</v>
      </c>
      <c r="C282" s="7">
        <v>44835</v>
      </c>
      <c r="D282" s="6">
        <f t="shared" si="38"/>
        <v>6</v>
      </c>
      <c r="E282" s="6">
        <f t="shared" si="39"/>
        <v>40</v>
      </c>
      <c r="F282" s="6">
        <f t="shared" si="40"/>
        <v>4</v>
      </c>
      <c r="G282" s="6">
        <f t="shared" si="41"/>
        <v>10</v>
      </c>
      <c r="H282" s="6" t="str">
        <f t="shared" si="42"/>
        <v>10월 4주차</v>
      </c>
      <c r="I282" s="6" t="str">
        <f>H282&amp;" ("&amp;TEXT(C277,"m/dd")&amp;"~"&amp;TEXT(C283,"m/dd")&amp;")"</f>
        <v>10월 4주차 (9/26~10/02)</v>
      </c>
      <c r="J282" s="6" t="str">
        <f>A277&amp;"년 "&amp;WEEKNUM(C277,2)&amp;"주차"&amp;" ("&amp;TEXT(C277,"m/dd")&amp;"~"&amp;TEXT(C283,"m/dd")&amp;")"</f>
        <v>2022년 40주차 (9/26~10/02)</v>
      </c>
      <c r="K282" s="6">
        <f>YEAR(C277)</f>
        <v>2022</v>
      </c>
      <c r="L282" s="6">
        <f>WEEKNUM(C277,2)</f>
        <v>40</v>
      </c>
      <c r="Z282" s="2"/>
      <c r="AA282" s="8" t="s">
        <v>512</v>
      </c>
      <c r="AB282" s="1" t="s">
        <v>849</v>
      </c>
    </row>
    <row r="283" spans="1:28" x14ac:dyDescent="0.45">
      <c r="A283" s="6">
        <f t="shared" si="36"/>
        <v>2022</v>
      </c>
      <c r="B283" s="6">
        <f t="shared" si="37"/>
        <v>10</v>
      </c>
      <c r="C283" s="7">
        <v>44836</v>
      </c>
      <c r="D283" s="6">
        <f t="shared" si="38"/>
        <v>7</v>
      </c>
      <c r="E283" s="6">
        <f t="shared" si="39"/>
        <v>40</v>
      </c>
      <c r="F283" s="6">
        <f t="shared" si="40"/>
        <v>4</v>
      </c>
      <c r="G283" s="6">
        <f t="shared" si="41"/>
        <v>10</v>
      </c>
      <c r="H283" s="6" t="str">
        <f t="shared" si="42"/>
        <v>10월 4주차</v>
      </c>
      <c r="I283" s="6" t="str">
        <f>H283&amp;" ("&amp;TEXT(C277,"m/dd")&amp;"~"&amp;TEXT(C283,"m/dd")&amp;")"</f>
        <v>10월 4주차 (9/26~10/02)</v>
      </c>
      <c r="J283" s="6" t="str">
        <f>A277&amp;"년 "&amp;WEEKNUM(C277,2)&amp;"주차"&amp;" ("&amp;TEXT(C277,"m/dd")&amp;"~"&amp;TEXT(C283,"m/dd")&amp;")"</f>
        <v>2022년 40주차 (9/26~10/02)</v>
      </c>
      <c r="K283" s="6">
        <f>YEAR(C277)</f>
        <v>2022</v>
      </c>
      <c r="L283" s="6">
        <f>WEEKNUM(C277,2)</f>
        <v>40</v>
      </c>
      <c r="Z283" s="2"/>
      <c r="AA283" s="8" t="s">
        <v>764</v>
      </c>
      <c r="AB283" s="1" t="s">
        <v>849</v>
      </c>
    </row>
    <row r="284" spans="1:28" x14ac:dyDescent="0.45">
      <c r="A284" s="6">
        <f t="shared" si="36"/>
        <v>2022</v>
      </c>
      <c r="B284" s="6">
        <f t="shared" si="37"/>
        <v>10</v>
      </c>
      <c r="C284" s="7">
        <v>44837</v>
      </c>
      <c r="D284" s="6">
        <f t="shared" si="38"/>
        <v>1</v>
      </c>
      <c r="E284" s="6">
        <f t="shared" si="39"/>
        <v>41</v>
      </c>
      <c r="F284" s="6">
        <f t="shared" si="40"/>
        <v>1</v>
      </c>
      <c r="G284" s="6">
        <f t="shared" si="41"/>
        <v>10</v>
      </c>
      <c r="H284" s="6" t="str">
        <f t="shared" si="42"/>
        <v>10월 1주차</v>
      </c>
      <c r="I284" s="6" t="str">
        <f>H284&amp;" ("&amp;TEXT(C284,"m/dd")&amp;"~"&amp;TEXT(C290,"m/dd")&amp;")"</f>
        <v>10월 1주차 (10/03~10/09)</v>
      </c>
      <c r="J284" s="6" t="str">
        <f>A284&amp;"년 "&amp;WEEKNUM(C284,2)&amp;"주차"&amp;" ("&amp;TEXT(C284,"m/dd")&amp;"~"&amp;TEXT(C290,"m/dd")&amp;")"</f>
        <v>2022년 41주차 (10/03~10/09)</v>
      </c>
      <c r="K284" s="6">
        <f>YEAR(C284)</f>
        <v>2022</v>
      </c>
      <c r="L284" s="6">
        <f>WEEKNUM(C284,2)</f>
        <v>41</v>
      </c>
      <c r="Z284" s="2"/>
      <c r="AA284" s="8" t="s">
        <v>254</v>
      </c>
      <c r="AB284" s="1" t="s">
        <v>849</v>
      </c>
    </row>
    <row r="285" spans="1:28" x14ac:dyDescent="0.45">
      <c r="A285" s="6">
        <f t="shared" si="36"/>
        <v>2022</v>
      </c>
      <c r="B285" s="6">
        <f t="shared" si="37"/>
        <v>10</v>
      </c>
      <c r="C285" s="7">
        <v>44838</v>
      </c>
      <c r="D285" s="6">
        <f t="shared" si="38"/>
        <v>2</v>
      </c>
      <c r="E285" s="6">
        <f t="shared" si="39"/>
        <v>41</v>
      </c>
      <c r="F285" s="6">
        <f t="shared" si="40"/>
        <v>1</v>
      </c>
      <c r="G285" s="6">
        <f t="shared" si="41"/>
        <v>10</v>
      </c>
      <c r="H285" s="6" t="str">
        <f t="shared" si="42"/>
        <v>10월 1주차</v>
      </c>
      <c r="I285" s="6" t="str">
        <f>H285&amp;" ("&amp;TEXT(C284,"m/dd")&amp;"~"&amp;TEXT(C290,"m/dd")&amp;")"</f>
        <v>10월 1주차 (10/03~10/09)</v>
      </c>
      <c r="J285" s="6" t="str">
        <f>A284&amp;"년 "&amp;WEEKNUM(C284,2)&amp;"주차"&amp;" ("&amp;TEXT(C284,"m/dd")&amp;"~"&amp;TEXT(C290,"m/dd")&amp;")"</f>
        <v>2022년 41주차 (10/03~10/09)</v>
      </c>
      <c r="K285" s="6">
        <f>YEAR(C284)</f>
        <v>2022</v>
      </c>
      <c r="L285" s="6">
        <f>WEEKNUM(C284,2)</f>
        <v>41</v>
      </c>
      <c r="Z285" s="2"/>
      <c r="AA285" s="8" t="s">
        <v>834</v>
      </c>
      <c r="AB285" s="1" t="s">
        <v>849</v>
      </c>
    </row>
    <row r="286" spans="1:28" x14ac:dyDescent="0.45">
      <c r="A286" s="6">
        <f t="shared" si="36"/>
        <v>2022</v>
      </c>
      <c r="B286" s="6">
        <f t="shared" si="37"/>
        <v>10</v>
      </c>
      <c r="C286" s="7">
        <v>44839</v>
      </c>
      <c r="D286" s="6">
        <f t="shared" si="38"/>
        <v>3</v>
      </c>
      <c r="E286" s="6">
        <f t="shared" si="39"/>
        <v>41</v>
      </c>
      <c r="F286" s="6">
        <f t="shared" si="40"/>
        <v>1</v>
      </c>
      <c r="G286" s="6">
        <f t="shared" si="41"/>
        <v>10</v>
      </c>
      <c r="H286" s="6" t="str">
        <f t="shared" si="42"/>
        <v>10월 1주차</v>
      </c>
      <c r="I286" s="6" t="str">
        <f>H286&amp;" ("&amp;TEXT(C284,"m/dd")&amp;"~"&amp;TEXT(C290,"m/dd")&amp;")"</f>
        <v>10월 1주차 (10/03~10/09)</v>
      </c>
      <c r="J286" s="6" t="str">
        <f>A284&amp;"년 "&amp;WEEKNUM(C284,2)&amp;"주차"&amp;" ("&amp;TEXT(C284,"m/dd")&amp;"~"&amp;TEXT(C290,"m/dd")&amp;")"</f>
        <v>2022년 41주차 (10/03~10/09)</v>
      </c>
      <c r="K286" s="6">
        <f>YEAR(C284)</f>
        <v>2022</v>
      </c>
      <c r="L286" s="6">
        <f>WEEKNUM(C284,2)</f>
        <v>41</v>
      </c>
      <c r="Z286" s="2"/>
      <c r="AA286" s="8" t="s">
        <v>828</v>
      </c>
      <c r="AB286" s="1" t="s">
        <v>849</v>
      </c>
    </row>
    <row r="287" spans="1:28" x14ac:dyDescent="0.45">
      <c r="A287" s="6">
        <f t="shared" si="36"/>
        <v>2022</v>
      </c>
      <c r="B287" s="6">
        <f t="shared" si="37"/>
        <v>10</v>
      </c>
      <c r="C287" s="7">
        <v>44840</v>
      </c>
      <c r="D287" s="6">
        <f t="shared" si="38"/>
        <v>4</v>
      </c>
      <c r="E287" s="6">
        <f t="shared" si="39"/>
        <v>41</v>
      </c>
      <c r="F287" s="6">
        <f t="shared" si="40"/>
        <v>1</v>
      </c>
      <c r="G287" s="6">
        <f t="shared" si="41"/>
        <v>10</v>
      </c>
      <c r="H287" s="6" t="str">
        <f t="shared" si="42"/>
        <v>10월 1주차</v>
      </c>
      <c r="I287" s="6" t="str">
        <f>H287&amp;" ("&amp;TEXT(C284,"m/dd")&amp;"~"&amp;TEXT(C290,"m/dd")&amp;")"</f>
        <v>10월 1주차 (10/03~10/09)</v>
      </c>
      <c r="J287" s="6" t="str">
        <f>A284&amp;"년 "&amp;WEEKNUM(C284,2)&amp;"주차"&amp;" ("&amp;TEXT(C284,"m/dd")&amp;"~"&amp;TEXT(C290,"m/dd")&amp;")"</f>
        <v>2022년 41주차 (10/03~10/09)</v>
      </c>
      <c r="K287" s="6">
        <f>YEAR(C284)</f>
        <v>2022</v>
      </c>
      <c r="L287" s="6">
        <f>WEEKNUM(C284,2)</f>
        <v>41</v>
      </c>
      <c r="Z287" s="2"/>
      <c r="AA287" s="8" t="s">
        <v>280</v>
      </c>
      <c r="AB287" s="1" t="s">
        <v>849</v>
      </c>
    </row>
    <row r="288" spans="1:28" x14ac:dyDescent="0.45">
      <c r="A288" s="6">
        <f t="shared" si="36"/>
        <v>2022</v>
      </c>
      <c r="B288" s="6">
        <f t="shared" si="37"/>
        <v>10</v>
      </c>
      <c r="C288" s="7">
        <v>44841</v>
      </c>
      <c r="D288" s="6">
        <f t="shared" si="38"/>
        <v>5</v>
      </c>
      <c r="E288" s="6">
        <f t="shared" si="39"/>
        <v>41</v>
      </c>
      <c r="F288" s="6">
        <f t="shared" si="40"/>
        <v>1</v>
      </c>
      <c r="G288" s="6">
        <f t="shared" si="41"/>
        <v>10</v>
      </c>
      <c r="H288" s="6" t="str">
        <f t="shared" si="42"/>
        <v>10월 1주차</v>
      </c>
      <c r="I288" s="6" t="str">
        <f>H288&amp;" ("&amp;TEXT(C284,"m/dd")&amp;"~"&amp;TEXT(C290,"m/dd")&amp;")"</f>
        <v>10월 1주차 (10/03~10/09)</v>
      </c>
      <c r="J288" s="6" t="str">
        <f>A284&amp;"년 "&amp;WEEKNUM(C284,2)&amp;"주차"&amp;" ("&amp;TEXT(C284,"m/dd")&amp;"~"&amp;TEXT(C290,"m/dd")&amp;")"</f>
        <v>2022년 41주차 (10/03~10/09)</v>
      </c>
      <c r="K288" s="6">
        <f>YEAR(C284)</f>
        <v>2022</v>
      </c>
      <c r="L288" s="6">
        <f>WEEKNUM(C284,2)</f>
        <v>41</v>
      </c>
      <c r="Z288" s="2"/>
      <c r="AA288" s="8" t="s">
        <v>109</v>
      </c>
      <c r="AB288" s="1" t="s">
        <v>849</v>
      </c>
    </row>
    <row r="289" spans="1:28" x14ac:dyDescent="0.45">
      <c r="A289" s="6">
        <f t="shared" si="36"/>
        <v>2022</v>
      </c>
      <c r="B289" s="6">
        <f t="shared" si="37"/>
        <v>10</v>
      </c>
      <c r="C289" s="7">
        <v>44842</v>
      </c>
      <c r="D289" s="6">
        <f t="shared" si="38"/>
        <v>6</v>
      </c>
      <c r="E289" s="6">
        <f t="shared" si="39"/>
        <v>41</v>
      </c>
      <c r="F289" s="6">
        <f t="shared" si="40"/>
        <v>1</v>
      </c>
      <c r="G289" s="6">
        <f t="shared" si="41"/>
        <v>10</v>
      </c>
      <c r="H289" s="6" t="str">
        <f t="shared" si="42"/>
        <v>10월 1주차</v>
      </c>
      <c r="I289" s="6" t="str">
        <f>H289&amp;" ("&amp;TEXT(C284,"m/dd")&amp;"~"&amp;TEXT(C290,"m/dd")&amp;")"</f>
        <v>10월 1주차 (10/03~10/09)</v>
      </c>
      <c r="J289" s="6" t="str">
        <f>A284&amp;"년 "&amp;WEEKNUM(C284,2)&amp;"주차"&amp;" ("&amp;TEXT(C284,"m/dd")&amp;"~"&amp;TEXT(C290,"m/dd")&amp;")"</f>
        <v>2022년 41주차 (10/03~10/09)</v>
      </c>
      <c r="K289" s="6">
        <f>YEAR(C284)</f>
        <v>2022</v>
      </c>
      <c r="L289" s="6">
        <f>WEEKNUM(C284,2)</f>
        <v>41</v>
      </c>
      <c r="Z289" s="2"/>
      <c r="AA289" s="8" t="s">
        <v>840</v>
      </c>
      <c r="AB289" s="1" t="s">
        <v>849</v>
      </c>
    </row>
    <row r="290" spans="1:28" x14ac:dyDescent="0.45">
      <c r="A290" s="6">
        <f t="shared" si="36"/>
        <v>2022</v>
      </c>
      <c r="B290" s="6">
        <f t="shared" si="37"/>
        <v>10</v>
      </c>
      <c r="C290" s="7">
        <v>44843</v>
      </c>
      <c r="D290" s="6">
        <f t="shared" si="38"/>
        <v>7</v>
      </c>
      <c r="E290" s="6">
        <f t="shared" si="39"/>
        <v>41</v>
      </c>
      <c r="F290" s="6">
        <f t="shared" si="40"/>
        <v>1</v>
      </c>
      <c r="G290" s="6">
        <f t="shared" si="41"/>
        <v>10</v>
      </c>
      <c r="H290" s="6" t="str">
        <f t="shared" si="42"/>
        <v>10월 1주차</v>
      </c>
      <c r="I290" s="6" t="str">
        <f>H290&amp;" ("&amp;TEXT(C284,"m/dd")&amp;"~"&amp;TEXT(C290,"m/dd")&amp;")"</f>
        <v>10월 1주차 (10/03~10/09)</v>
      </c>
      <c r="J290" s="6" t="str">
        <f>A284&amp;"년 "&amp;WEEKNUM(C284,2)&amp;"주차"&amp;" ("&amp;TEXT(C284,"m/dd")&amp;"~"&amp;TEXT(C290,"m/dd")&amp;")"</f>
        <v>2022년 41주차 (10/03~10/09)</v>
      </c>
      <c r="K290" s="6">
        <f>YEAR(C284)</f>
        <v>2022</v>
      </c>
      <c r="L290" s="6">
        <f>WEEKNUM(C284,2)</f>
        <v>41</v>
      </c>
      <c r="Z290" s="2"/>
      <c r="AA290" s="8" t="s">
        <v>672</v>
      </c>
      <c r="AB290" s="1" t="s">
        <v>849</v>
      </c>
    </row>
    <row r="291" spans="1:28" x14ac:dyDescent="0.45">
      <c r="A291" s="6">
        <f t="shared" si="36"/>
        <v>2022</v>
      </c>
      <c r="B291" s="6">
        <f t="shared" si="37"/>
        <v>10</v>
      </c>
      <c r="C291" s="7">
        <v>44844</v>
      </c>
      <c r="D291" s="6">
        <f t="shared" si="38"/>
        <v>1</v>
      </c>
      <c r="E291" s="6">
        <f t="shared" si="39"/>
        <v>42</v>
      </c>
      <c r="F291" s="6">
        <f t="shared" si="40"/>
        <v>2</v>
      </c>
      <c r="G291" s="6">
        <f t="shared" si="41"/>
        <v>10</v>
      </c>
      <c r="H291" s="6" t="str">
        <f t="shared" si="42"/>
        <v>10월 2주차</v>
      </c>
      <c r="I291" s="6" t="str">
        <f>H291&amp;" ("&amp;TEXT(C291,"m/dd")&amp;"~"&amp;TEXT(C297,"m/dd")&amp;")"</f>
        <v>10월 2주차 (10/10~10/16)</v>
      </c>
      <c r="J291" s="6" t="str">
        <f>A291&amp;"년 "&amp;WEEKNUM(C291,2)&amp;"주차"&amp;" ("&amp;TEXT(C291,"m/dd")&amp;"~"&amp;TEXT(C297,"m/dd")&amp;")"</f>
        <v>2022년 42주차 (10/10~10/16)</v>
      </c>
      <c r="K291" s="6">
        <f>YEAR(C291)</f>
        <v>2022</v>
      </c>
      <c r="L291" s="6">
        <f>WEEKNUM(C291,2)</f>
        <v>42</v>
      </c>
      <c r="Z291" s="2"/>
      <c r="AA291" s="8" t="s">
        <v>736</v>
      </c>
      <c r="AB291" s="1" t="s">
        <v>849</v>
      </c>
    </row>
    <row r="292" spans="1:28" x14ac:dyDescent="0.45">
      <c r="A292" s="6">
        <f t="shared" si="36"/>
        <v>2022</v>
      </c>
      <c r="B292" s="6">
        <f t="shared" si="37"/>
        <v>10</v>
      </c>
      <c r="C292" s="7">
        <v>44845</v>
      </c>
      <c r="D292" s="6">
        <f t="shared" si="38"/>
        <v>2</v>
      </c>
      <c r="E292" s="6">
        <f t="shared" si="39"/>
        <v>42</v>
      </c>
      <c r="F292" s="6">
        <f t="shared" si="40"/>
        <v>2</v>
      </c>
      <c r="G292" s="6">
        <f t="shared" si="41"/>
        <v>10</v>
      </c>
      <c r="H292" s="6" t="str">
        <f t="shared" si="42"/>
        <v>10월 2주차</v>
      </c>
      <c r="I292" s="6" t="str">
        <f>H292&amp;" ("&amp;TEXT(C291,"m/dd")&amp;"~"&amp;TEXT(C297,"m/dd")&amp;")"</f>
        <v>10월 2주차 (10/10~10/16)</v>
      </c>
      <c r="J292" s="6" t="str">
        <f>A291&amp;"년 "&amp;WEEKNUM(C291,2)&amp;"주차"&amp;" ("&amp;TEXT(C291,"m/dd")&amp;"~"&amp;TEXT(C297,"m/dd")&amp;")"</f>
        <v>2022년 42주차 (10/10~10/16)</v>
      </c>
      <c r="K292" s="6">
        <f>YEAR(C291)</f>
        <v>2022</v>
      </c>
      <c r="L292" s="6">
        <f>WEEKNUM(C291,2)</f>
        <v>42</v>
      </c>
      <c r="Z292" s="2"/>
      <c r="AA292" s="8" t="s">
        <v>188</v>
      </c>
      <c r="AB292" s="1" t="s">
        <v>849</v>
      </c>
    </row>
    <row r="293" spans="1:28" x14ac:dyDescent="0.45">
      <c r="A293" s="6">
        <f t="shared" si="36"/>
        <v>2022</v>
      </c>
      <c r="B293" s="6">
        <f t="shared" si="37"/>
        <v>10</v>
      </c>
      <c r="C293" s="7">
        <v>44846</v>
      </c>
      <c r="D293" s="6">
        <f t="shared" si="38"/>
        <v>3</v>
      </c>
      <c r="E293" s="6">
        <f t="shared" si="39"/>
        <v>42</v>
      </c>
      <c r="F293" s="6">
        <f t="shared" si="40"/>
        <v>2</v>
      </c>
      <c r="G293" s="6">
        <f t="shared" si="41"/>
        <v>10</v>
      </c>
      <c r="H293" s="6" t="str">
        <f t="shared" si="42"/>
        <v>10월 2주차</v>
      </c>
      <c r="I293" s="6" t="str">
        <f>H293&amp;" ("&amp;TEXT(C291,"m/dd")&amp;"~"&amp;TEXT(C297,"m/dd")&amp;")"</f>
        <v>10월 2주차 (10/10~10/16)</v>
      </c>
      <c r="J293" s="6" t="str">
        <f>A291&amp;"년 "&amp;WEEKNUM(C291,2)&amp;"주차"&amp;" ("&amp;TEXT(C291,"m/dd")&amp;"~"&amp;TEXT(C297,"m/dd")&amp;")"</f>
        <v>2022년 42주차 (10/10~10/16)</v>
      </c>
      <c r="K293" s="6">
        <f>YEAR(C291)</f>
        <v>2022</v>
      </c>
      <c r="L293" s="6">
        <f>WEEKNUM(C291,2)</f>
        <v>42</v>
      </c>
      <c r="Z293" s="2"/>
      <c r="AA293" s="8" t="s">
        <v>201</v>
      </c>
      <c r="AB293" s="1" t="s">
        <v>849</v>
      </c>
    </row>
    <row r="294" spans="1:28" x14ac:dyDescent="0.45">
      <c r="A294" s="6">
        <f t="shared" si="36"/>
        <v>2022</v>
      </c>
      <c r="B294" s="6">
        <f t="shared" si="37"/>
        <v>10</v>
      </c>
      <c r="C294" s="7">
        <v>44847</v>
      </c>
      <c r="D294" s="6">
        <f t="shared" si="38"/>
        <v>4</v>
      </c>
      <c r="E294" s="6">
        <f t="shared" si="39"/>
        <v>42</v>
      </c>
      <c r="F294" s="6">
        <f t="shared" si="40"/>
        <v>2</v>
      </c>
      <c r="G294" s="6">
        <f t="shared" si="41"/>
        <v>10</v>
      </c>
      <c r="H294" s="6" t="str">
        <f t="shared" si="42"/>
        <v>10월 2주차</v>
      </c>
      <c r="I294" s="6" t="str">
        <f>H294&amp;" ("&amp;TEXT(C291,"m/dd")&amp;"~"&amp;TEXT(C297,"m/dd")&amp;")"</f>
        <v>10월 2주차 (10/10~10/16)</v>
      </c>
      <c r="J294" s="6" t="str">
        <f>A291&amp;"년 "&amp;WEEKNUM(C291,2)&amp;"주차"&amp;" ("&amp;TEXT(C291,"m/dd")&amp;"~"&amp;TEXT(C297,"m/dd")&amp;")"</f>
        <v>2022년 42주차 (10/10~10/16)</v>
      </c>
      <c r="K294" s="6">
        <f>YEAR(C291)</f>
        <v>2022</v>
      </c>
      <c r="L294" s="6">
        <f>WEEKNUM(C291,2)</f>
        <v>42</v>
      </c>
      <c r="Z294" s="2"/>
      <c r="AA294" s="8" t="s">
        <v>822</v>
      </c>
      <c r="AB294" s="1" t="s">
        <v>849</v>
      </c>
    </row>
    <row r="295" spans="1:28" x14ac:dyDescent="0.45">
      <c r="A295" s="6">
        <f t="shared" si="36"/>
        <v>2022</v>
      </c>
      <c r="B295" s="6">
        <f t="shared" si="37"/>
        <v>10</v>
      </c>
      <c r="C295" s="7">
        <v>44848</v>
      </c>
      <c r="D295" s="6">
        <f t="shared" si="38"/>
        <v>5</v>
      </c>
      <c r="E295" s="6">
        <f t="shared" si="39"/>
        <v>42</v>
      </c>
      <c r="F295" s="6">
        <f t="shared" si="40"/>
        <v>2</v>
      </c>
      <c r="G295" s="6">
        <f t="shared" si="41"/>
        <v>10</v>
      </c>
      <c r="H295" s="6" t="str">
        <f t="shared" si="42"/>
        <v>10월 2주차</v>
      </c>
      <c r="I295" s="6" t="str">
        <f>H295&amp;" ("&amp;TEXT(C291,"m/dd")&amp;"~"&amp;TEXT(C297,"m/dd")&amp;")"</f>
        <v>10월 2주차 (10/10~10/16)</v>
      </c>
      <c r="J295" s="6" t="str">
        <f>A291&amp;"년 "&amp;WEEKNUM(C291,2)&amp;"주차"&amp;" ("&amp;TEXT(C291,"m/dd")&amp;"~"&amp;TEXT(C297,"m/dd")&amp;")"</f>
        <v>2022년 42주차 (10/10~10/16)</v>
      </c>
      <c r="K295" s="6">
        <f>YEAR(C291)</f>
        <v>2022</v>
      </c>
      <c r="L295" s="6">
        <f>WEEKNUM(C291,2)</f>
        <v>42</v>
      </c>
      <c r="Z295" s="2"/>
      <c r="AA295" s="8" t="s">
        <v>562</v>
      </c>
      <c r="AB295" s="1" t="s">
        <v>563</v>
      </c>
    </row>
    <row r="296" spans="1:28" x14ac:dyDescent="0.45">
      <c r="A296" s="6">
        <f t="shared" si="36"/>
        <v>2022</v>
      </c>
      <c r="B296" s="6">
        <f t="shared" si="37"/>
        <v>10</v>
      </c>
      <c r="C296" s="7">
        <v>44849</v>
      </c>
      <c r="D296" s="6">
        <f t="shared" si="38"/>
        <v>6</v>
      </c>
      <c r="E296" s="6">
        <f t="shared" si="39"/>
        <v>42</v>
      </c>
      <c r="F296" s="6">
        <f t="shared" si="40"/>
        <v>2</v>
      </c>
      <c r="G296" s="6">
        <f t="shared" si="41"/>
        <v>10</v>
      </c>
      <c r="H296" s="6" t="str">
        <f t="shared" si="42"/>
        <v>10월 2주차</v>
      </c>
      <c r="I296" s="6" t="str">
        <f>H296&amp;" ("&amp;TEXT(C291,"m/dd")&amp;"~"&amp;TEXT(C297,"m/dd")&amp;")"</f>
        <v>10월 2주차 (10/10~10/16)</v>
      </c>
      <c r="J296" s="6" t="str">
        <f>A291&amp;"년 "&amp;WEEKNUM(C291,2)&amp;"주차"&amp;" ("&amp;TEXT(C291,"m/dd")&amp;"~"&amp;TEXT(C297,"m/dd")&amp;")"</f>
        <v>2022년 42주차 (10/10~10/16)</v>
      </c>
      <c r="K296" s="6">
        <f>YEAR(C291)</f>
        <v>2022</v>
      </c>
      <c r="L296" s="6">
        <f>WEEKNUM(C291,2)</f>
        <v>42</v>
      </c>
      <c r="Z296" s="2"/>
      <c r="AA296" s="8" t="s">
        <v>642</v>
      </c>
      <c r="AB296" s="1" t="s">
        <v>849</v>
      </c>
    </row>
    <row r="297" spans="1:28" x14ac:dyDescent="0.45">
      <c r="A297" s="6">
        <f t="shared" si="36"/>
        <v>2022</v>
      </c>
      <c r="B297" s="6">
        <f t="shared" si="37"/>
        <v>10</v>
      </c>
      <c r="C297" s="7">
        <v>44850</v>
      </c>
      <c r="D297" s="6">
        <f t="shared" si="38"/>
        <v>7</v>
      </c>
      <c r="E297" s="6">
        <f t="shared" si="39"/>
        <v>42</v>
      </c>
      <c r="F297" s="6">
        <f t="shared" si="40"/>
        <v>2</v>
      </c>
      <c r="G297" s="6">
        <f t="shared" si="41"/>
        <v>10</v>
      </c>
      <c r="H297" s="6" t="str">
        <f t="shared" si="42"/>
        <v>10월 2주차</v>
      </c>
      <c r="I297" s="6" t="str">
        <f>H297&amp;" ("&amp;TEXT(C291,"m/dd")&amp;"~"&amp;TEXT(C297,"m/dd")&amp;")"</f>
        <v>10월 2주차 (10/10~10/16)</v>
      </c>
      <c r="J297" s="6" t="str">
        <f>A291&amp;"년 "&amp;WEEKNUM(C291,2)&amp;"주차"&amp;" ("&amp;TEXT(C291,"m/dd")&amp;"~"&amp;TEXT(C297,"m/dd")&amp;")"</f>
        <v>2022년 42주차 (10/10~10/16)</v>
      </c>
      <c r="K297" s="6">
        <f>YEAR(C291)</f>
        <v>2022</v>
      </c>
      <c r="L297" s="6">
        <f>WEEKNUM(C291,2)</f>
        <v>42</v>
      </c>
      <c r="Z297" s="2"/>
      <c r="AA297" s="8" t="s">
        <v>636</v>
      </c>
      <c r="AB297" s="1" t="s">
        <v>849</v>
      </c>
    </row>
    <row r="298" spans="1:28" x14ac:dyDescent="0.45">
      <c r="A298" s="6">
        <f t="shared" si="36"/>
        <v>2022</v>
      </c>
      <c r="B298" s="6">
        <f t="shared" si="37"/>
        <v>10</v>
      </c>
      <c r="C298" s="7">
        <v>44851</v>
      </c>
      <c r="D298" s="6">
        <f t="shared" si="38"/>
        <v>1</v>
      </c>
      <c r="E298" s="6">
        <f t="shared" si="39"/>
        <v>43</v>
      </c>
      <c r="F298" s="6">
        <f t="shared" si="40"/>
        <v>3</v>
      </c>
      <c r="G298" s="6">
        <f t="shared" si="41"/>
        <v>10</v>
      </c>
      <c r="H298" s="6" t="str">
        <f t="shared" si="42"/>
        <v>10월 3주차</v>
      </c>
      <c r="I298" s="6" t="str">
        <f>H298&amp;" ("&amp;TEXT(C298,"m/dd")&amp;"~"&amp;TEXT(C304,"m/dd")&amp;")"</f>
        <v>10월 3주차 (10/17~10/23)</v>
      </c>
      <c r="J298" s="6" t="str">
        <f>A298&amp;"년 "&amp;WEEKNUM(C298,2)&amp;"주차"&amp;" ("&amp;TEXT(C298,"m/dd")&amp;"~"&amp;TEXT(C304,"m/dd")&amp;")"</f>
        <v>2022년 43주차 (10/17~10/23)</v>
      </c>
      <c r="K298" s="6">
        <f>YEAR(C298)</f>
        <v>2022</v>
      </c>
      <c r="L298" s="6">
        <f>WEEKNUM(C298,2)</f>
        <v>43</v>
      </c>
      <c r="Z298" s="2"/>
      <c r="AA298" s="8" t="s">
        <v>639</v>
      </c>
      <c r="AB298" s="1" t="s">
        <v>849</v>
      </c>
    </row>
    <row r="299" spans="1:28" x14ac:dyDescent="0.45">
      <c r="A299" s="6">
        <f t="shared" si="36"/>
        <v>2022</v>
      </c>
      <c r="B299" s="6">
        <f t="shared" si="37"/>
        <v>10</v>
      </c>
      <c r="C299" s="7">
        <v>44852</v>
      </c>
      <c r="D299" s="6">
        <f t="shared" si="38"/>
        <v>2</v>
      </c>
      <c r="E299" s="6">
        <f t="shared" si="39"/>
        <v>43</v>
      </c>
      <c r="F299" s="6">
        <f t="shared" si="40"/>
        <v>3</v>
      </c>
      <c r="G299" s="6">
        <f t="shared" si="41"/>
        <v>10</v>
      </c>
      <c r="H299" s="6" t="str">
        <f t="shared" si="42"/>
        <v>10월 3주차</v>
      </c>
      <c r="I299" s="6" t="str">
        <f>H299&amp;" ("&amp;TEXT(C298,"m/dd")&amp;"~"&amp;TEXT(C304,"m/dd")&amp;")"</f>
        <v>10월 3주차 (10/17~10/23)</v>
      </c>
      <c r="J299" s="6" t="str">
        <f>A298&amp;"년 "&amp;WEEKNUM(C298,2)&amp;"주차"&amp;" ("&amp;TEXT(C298,"m/dd")&amp;"~"&amp;TEXT(C304,"m/dd")&amp;")"</f>
        <v>2022년 43주차 (10/17~10/23)</v>
      </c>
      <c r="K299" s="6">
        <f>YEAR(C298)</f>
        <v>2022</v>
      </c>
      <c r="L299" s="6">
        <f>WEEKNUM(C298,2)</f>
        <v>43</v>
      </c>
      <c r="Z299" s="2"/>
      <c r="AA299" s="8" t="s">
        <v>808</v>
      </c>
      <c r="AB299" s="1" t="s">
        <v>849</v>
      </c>
    </row>
    <row r="300" spans="1:28" x14ac:dyDescent="0.45">
      <c r="A300" s="6">
        <f t="shared" si="36"/>
        <v>2022</v>
      </c>
      <c r="B300" s="6">
        <f t="shared" si="37"/>
        <v>10</v>
      </c>
      <c r="C300" s="7">
        <v>44853</v>
      </c>
      <c r="D300" s="6">
        <f t="shared" si="38"/>
        <v>3</v>
      </c>
      <c r="E300" s="6">
        <f t="shared" si="39"/>
        <v>43</v>
      </c>
      <c r="F300" s="6">
        <f t="shared" si="40"/>
        <v>3</v>
      </c>
      <c r="G300" s="6">
        <f t="shared" si="41"/>
        <v>10</v>
      </c>
      <c r="H300" s="6" t="str">
        <f t="shared" si="42"/>
        <v>10월 3주차</v>
      </c>
      <c r="I300" s="6" t="str">
        <f>H300&amp;" ("&amp;TEXT(C298,"m/dd")&amp;"~"&amp;TEXT(C304,"m/dd")&amp;")"</f>
        <v>10월 3주차 (10/17~10/23)</v>
      </c>
      <c r="J300" s="6" t="str">
        <f>A298&amp;"년 "&amp;WEEKNUM(C298,2)&amp;"주차"&amp;" ("&amp;TEXT(C298,"m/dd")&amp;"~"&amp;TEXT(C304,"m/dd")&amp;")"</f>
        <v>2022년 43주차 (10/17~10/23)</v>
      </c>
      <c r="K300" s="6">
        <f>YEAR(C298)</f>
        <v>2022</v>
      </c>
      <c r="L300" s="6">
        <f>WEEKNUM(C298,2)</f>
        <v>43</v>
      </c>
      <c r="Z300" s="2"/>
      <c r="AA300" s="27" t="s">
        <v>859</v>
      </c>
      <c r="AB300" s="1" t="s">
        <v>849</v>
      </c>
    </row>
    <row r="301" spans="1:28" x14ac:dyDescent="0.45">
      <c r="A301" s="6">
        <f t="shared" si="36"/>
        <v>2022</v>
      </c>
      <c r="B301" s="6">
        <f t="shared" si="37"/>
        <v>10</v>
      </c>
      <c r="C301" s="7">
        <v>44854</v>
      </c>
      <c r="D301" s="6">
        <f t="shared" si="38"/>
        <v>4</v>
      </c>
      <c r="E301" s="6">
        <f t="shared" si="39"/>
        <v>43</v>
      </c>
      <c r="F301" s="6">
        <f t="shared" si="40"/>
        <v>3</v>
      </c>
      <c r="G301" s="6">
        <f t="shared" si="41"/>
        <v>10</v>
      </c>
      <c r="H301" s="6" t="str">
        <f t="shared" si="42"/>
        <v>10월 3주차</v>
      </c>
      <c r="I301" s="6" t="str">
        <f>H301&amp;" ("&amp;TEXT(C298,"m/dd")&amp;"~"&amp;TEXT(C304,"m/dd")&amp;")"</f>
        <v>10월 3주차 (10/17~10/23)</v>
      </c>
      <c r="J301" s="6" t="str">
        <f>A298&amp;"년 "&amp;WEEKNUM(C298,2)&amp;"주차"&amp;" ("&amp;TEXT(C298,"m/dd")&amp;"~"&amp;TEXT(C304,"m/dd")&amp;")"</f>
        <v>2022년 43주차 (10/17~10/23)</v>
      </c>
      <c r="K301" s="6">
        <f>YEAR(C298)</f>
        <v>2022</v>
      </c>
      <c r="L301" s="6">
        <f>WEEKNUM(C298,2)</f>
        <v>43</v>
      </c>
      <c r="Z301" s="2"/>
      <c r="AA301" s="17" t="s">
        <v>646</v>
      </c>
      <c r="AB301" s="1" t="s">
        <v>849</v>
      </c>
    </row>
    <row r="302" spans="1:28" x14ac:dyDescent="0.45">
      <c r="A302" s="6">
        <f t="shared" si="36"/>
        <v>2022</v>
      </c>
      <c r="B302" s="6">
        <f t="shared" si="37"/>
        <v>10</v>
      </c>
      <c r="C302" s="7">
        <v>44855</v>
      </c>
      <c r="D302" s="6">
        <f t="shared" si="38"/>
        <v>5</v>
      </c>
      <c r="E302" s="6">
        <f t="shared" si="39"/>
        <v>43</v>
      </c>
      <c r="F302" s="6">
        <f t="shared" si="40"/>
        <v>3</v>
      </c>
      <c r="G302" s="6">
        <f t="shared" si="41"/>
        <v>10</v>
      </c>
      <c r="H302" s="6" t="str">
        <f t="shared" si="42"/>
        <v>10월 3주차</v>
      </c>
      <c r="I302" s="6" t="str">
        <f>H302&amp;" ("&amp;TEXT(C298,"m/dd")&amp;"~"&amp;TEXT(C304,"m/dd")&amp;")"</f>
        <v>10월 3주차 (10/17~10/23)</v>
      </c>
      <c r="J302" s="6" t="str">
        <f>A298&amp;"년 "&amp;WEEKNUM(C298,2)&amp;"주차"&amp;" ("&amp;TEXT(C298,"m/dd")&amp;"~"&amp;TEXT(C304,"m/dd")&amp;")"</f>
        <v>2022년 43주차 (10/17~10/23)</v>
      </c>
      <c r="K302" s="6">
        <f>YEAR(C298)</f>
        <v>2022</v>
      </c>
      <c r="L302" s="6">
        <f>WEEKNUM(C298,2)</f>
        <v>43</v>
      </c>
      <c r="Z302" s="2"/>
      <c r="AA302" s="17" t="s">
        <v>356</v>
      </c>
      <c r="AB302" s="1" t="s">
        <v>849</v>
      </c>
    </row>
    <row r="303" spans="1:28" x14ac:dyDescent="0.45">
      <c r="A303" s="6">
        <f t="shared" si="36"/>
        <v>2022</v>
      </c>
      <c r="B303" s="6">
        <f t="shared" si="37"/>
        <v>10</v>
      </c>
      <c r="C303" s="7">
        <v>44856</v>
      </c>
      <c r="D303" s="6">
        <f t="shared" si="38"/>
        <v>6</v>
      </c>
      <c r="E303" s="6">
        <f t="shared" si="39"/>
        <v>43</v>
      </c>
      <c r="F303" s="6">
        <f t="shared" si="40"/>
        <v>3</v>
      </c>
      <c r="G303" s="6">
        <f t="shared" si="41"/>
        <v>10</v>
      </c>
      <c r="H303" s="6" t="str">
        <f t="shared" si="42"/>
        <v>10월 3주차</v>
      </c>
      <c r="I303" s="6" t="str">
        <f>H303&amp;" ("&amp;TEXT(C298,"m/dd")&amp;"~"&amp;TEXT(C304,"m/dd")&amp;")"</f>
        <v>10월 3주차 (10/17~10/23)</v>
      </c>
      <c r="J303" s="6" t="str">
        <f>A298&amp;"년 "&amp;WEEKNUM(C298,2)&amp;"주차"&amp;" ("&amp;TEXT(C298,"m/dd")&amp;"~"&amp;TEXT(C304,"m/dd")&amp;")"</f>
        <v>2022년 43주차 (10/17~10/23)</v>
      </c>
      <c r="K303" s="6">
        <f>YEAR(C298)</f>
        <v>2022</v>
      </c>
      <c r="L303" s="6">
        <f>WEEKNUM(C298,2)</f>
        <v>43</v>
      </c>
      <c r="Z303" s="2"/>
      <c r="AA303" s="17" t="s">
        <v>332</v>
      </c>
      <c r="AB303" s="1" t="s">
        <v>849</v>
      </c>
    </row>
    <row r="304" spans="1:28" x14ac:dyDescent="0.45">
      <c r="A304" s="6">
        <f t="shared" si="36"/>
        <v>2022</v>
      </c>
      <c r="B304" s="6">
        <f t="shared" si="37"/>
        <v>10</v>
      </c>
      <c r="C304" s="7">
        <v>44857</v>
      </c>
      <c r="D304" s="6">
        <f t="shared" si="38"/>
        <v>7</v>
      </c>
      <c r="E304" s="6">
        <f t="shared" si="39"/>
        <v>43</v>
      </c>
      <c r="F304" s="6">
        <f t="shared" si="40"/>
        <v>3</v>
      </c>
      <c r="G304" s="6">
        <f t="shared" si="41"/>
        <v>10</v>
      </c>
      <c r="H304" s="6" t="str">
        <f t="shared" si="42"/>
        <v>10월 3주차</v>
      </c>
      <c r="I304" s="6" t="str">
        <f>H304&amp;" ("&amp;TEXT(C298,"m/dd")&amp;"~"&amp;TEXT(C304,"m/dd")&amp;")"</f>
        <v>10월 3주차 (10/17~10/23)</v>
      </c>
      <c r="J304" s="6" t="str">
        <f>A298&amp;"년 "&amp;WEEKNUM(C298,2)&amp;"주차"&amp;" ("&amp;TEXT(C298,"m/dd")&amp;"~"&amp;TEXT(C304,"m/dd")&amp;")"</f>
        <v>2022년 43주차 (10/17~10/23)</v>
      </c>
      <c r="K304" s="6">
        <f>YEAR(C298)</f>
        <v>2022</v>
      </c>
      <c r="L304" s="6">
        <f>WEEKNUM(C298,2)</f>
        <v>43</v>
      </c>
      <c r="Z304" s="2"/>
      <c r="AA304" s="17" t="s">
        <v>797</v>
      </c>
      <c r="AB304" s="1" t="s">
        <v>849</v>
      </c>
    </row>
    <row r="305" spans="1:28" x14ac:dyDescent="0.45">
      <c r="A305" s="6">
        <f t="shared" si="36"/>
        <v>2022</v>
      </c>
      <c r="B305" s="6">
        <f t="shared" si="37"/>
        <v>10</v>
      </c>
      <c r="C305" s="7">
        <v>44858</v>
      </c>
      <c r="D305" s="6">
        <f t="shared" si="38"/>
        <v>1</v>
      </c>
      <c r="E305" s="6">
        <f t="shared" si="39"/>
        <v>44</v>
      </c>
      <c r="F305" s="6">
        <f t="shared" si="40"/>
        <v>4</v>
      </c>
      <c r="G305" s="6">
        <f t="shared" si="41"/>
        <v>10</v>
      </c>
      <c r="H305" s="6" t="str">
        <f t="shared" si="42"/>
        <v>10월 4주차</v>
      </c>
      <c r="I305" s="6" t="str">
        <f>H305&amp;" ("&amp;TEXT(C305,"m/dd")&amp;"~"&amp;TEXT(C311,"m/dd")&amp;")"</f>
        <v>10월 4주차 (10/24~10/30)</v>
      </c>
      <c r="J305" s="6" t="str">
        <f>A305&amp;"년 "&amp;WEEKNUM(C305,2)&amp;"주차"&amp;" ("&amp;TEXT(C305,"m/dd")&amp;"~"&amp;TEXT(C311,"m/dd")&amp;")"</f>
        <v>2022년 44주차 (10/24~10/30)</v>
      </c>
      <c r="K305" s="6">
        <f>YEAR(C305)</f>
        <v>2022</v>
      </c>
      <c r="L305" s="6">
        <f>WEEKNUM(C305,2)</f>
        <v>44</v>
      </c>
      <c r="Z305" s="2"/>
      <c r="AA305" s="17" t="s">
        <v>445</v>
      </c>
      <c r="AB305" s="1" t="s">
        <v>849</v>
      </c>
    </row>
    <row r="306" spans="1:28" x14ac:dyDescent="0.45">
      <c r="A306" s="6">
        <f t="shared" si="36"/>
        <v>2022</v>
      </c>
      <c r="B306" s="6">
        <f t="shared" si="37"/>
        <v>10</v>
      </c>
      <c r="C306" s="7">
        <v>44859</v>
      </c>
      <c r="D306" s="6">
        <f t="shared" si="38"/>
        <v>2</v>
      </c>
      <c r="E306" s="6">
        <f t="shared" si="39"/>
        <v>44</v>
      </c>
      <c r="F306" s="6">
        <f t="shared" si="40"/>
        <v>4</v>
      </c>
      <c r="G306" s="6">
        <f t="shared" si="41"/>
        <v>10</v>
      </c>
      <c r="H306" s="6" t="str">
        <f t="shared" si="42"/>
        <v>10월 4주차</v>
      </c>
      <c r="I306" s="6" t="str">
        <f>H306&amp;" ("&amp;TEXT(C305,"m/dd")&amp;"~"&amp;TEXT(C311,"m/dd")&amp;")"</f>
        <v>10월 4주차 (10/24~10/30)</v>
      </c>
      <c r="J306" s="6" t="str">
        <f>A305&amp;"년 "&amp;WEEKNUM(C305,2)&amp;"주차"&amp;" ("&amp;TEXT(C305,"m/dd")&amp;"~"&amp;TEXT(C311,"m/dd")&amp;")"</f>
        <v>2022년 44주차 (10/24~10/30)</v>
      </c>
      <c r="K306" s="6">
        <f>YEAR(C305)</f>
        <v>2022</v>
      </c>
      <c r="L306" s="6">
        <f>WEEKNUM(C305,2)</f>
        <v>44</v>
      </c>
      <c r="Z306" s="2"/>
      <c r="AA306" s="17" t="s">
        <v>850</v>
      </c>
      <c r="AB306" s="1" t="s">
        <v>849</v>
      </c>
    </row>
    <row r="307" spans="1:28" ht="17.5" thickBot="1" x14ac:dyDescent="0.5">
      <c r="A307" s="6">
        <f t="shared" si="36"/>
        <v>2022</v>
      </c>
      <c r="B307" s="6">
        <f t="shared" si="37"/>
        <v>10</v>
      </c>
      <c r="C307" s="7">
        <v>44860</v>
      </c>
      <c r="D307" s="6">
        <f t="shared" si="38"/>
        <v>3</v>
      </c>
      <c r="E307" s="6">
        <f t="shared" si="39"/>
        <v>44</v>
      </c>
      <c r="F307" s="6">
        <f t="shared" si="40"/>
        <v>4</v>
      </c>
      <c r="G307" s="6">
        <f t="shared" si="41"/>
        <v>10</v>
      </c>
      <c r="H307" s="6" t="str">
        <f t="shared" si="42"/>
        <v>10월 4주차</v>
      </c>
      <c r="I307" s="6" t="str">
        <f>H307&amp;" ("&amp;TEXT(C305,"m/dd")&amp;"~"&amp;TEXT(C311,"m/dd")&amp;")"</f>
        <v>10월 4주차 (10/24~10/30)</v>
      </c>
      <c r="J307" s="6" t="str">
        <f>A305&amp;"년 "&amp;WEEKNUM(C305,2)&amp;"주차"&amp;" ("&amp;TEXT(C305,"m/dd")&amp;"~"&amp;TEXT(C311,"m/dd")&amp;")"</f>
        <v>2022년 44주차 (10/24~10/30)</v>
      </c>
      <c r="K307" s="6">
        <f>YEAR(C305)</f>
        <v>2022</v>
      </c>
      <c r="L307" s="6">
        <f>WEEKNUM(C305,2)</f>
        <v>44</v>
      </c>
      <c r="Z307" s="2"/>
      <c r="AA307" s="17" t="s">
        <v>579</v>
      </c>
      <c r="AB307" s="1" t="s">
        <v>849</v>
      </c>
    </row>
    <row r="308" spans="1:28" ht="25.5" thickBot="1" x14ac:dyDescent="0.3">
      <c r="A308" s="6">
        <f t="shared" si="36"/>
        <v>2022</v>
      </c>
      <c r="B308" s="6">
        <f t="shared" si="37"/>
        <v>10</v>
      </c>
      <c r="C308" s="7">
        <v>44861</v>
      </c>
      <c r="D308" s="6">
        <f t="shared" si="38"/>
        <v>4</v>
      </c>
      <c r="E308" s="6">
        <f t="shared" si="39"/>
        <v>44</v>
      </c>
      <c r="F308" s="6">
        <f t="shared" si="40"/>
        <v>4</v>
      </c>
      <c r="G308" s="6">
        <f t="shared" si="41"/>
        <v>10</v>
      </c>
      <c r="H308" s="6" t="str">
        <f t="shared" si="42"/>
        <v>10월 4주차</v>
      </c>
      <c r="I308" s="6" t="str">
        <f>H308&amp;" ("&amp;TEXT(C305,"m/dd")&amp;"~"&amp;TEXT(C311,"m/dd")&amp;")"</f>
        <v>10월 4주차 (10/24~10/30)</v>
      </c>
      <c r="J308" s="6" t="str">
        <f>A305&amp;"년 "&amp;WEEKNUM(C305,2)&amp;"주차"&amp;" ("&amp;TEXT(C305,"m/dd")&amp;"~"&amp;TEXT(C311,"m/dd")&amp;")"</f>
        <v>2022년 44주차 (10/24~10/30)</v>
      </c>
      <c r="K308" s="6">
        <f>YEAR(C305)</f>
        <v>2022</v>
      </c>
      <c r="L308" s="6">
        <f>WEEKNUM(C305,2)</f>
        <v>44</v>
      </c>
      <c r="Z308" s="2"/>
      <c r="AA308" s="22" t="s">
        <v>427</v>
      </c>
      <c r="AB308" s="1" t="s">
        <v>849</v>
      </c>
    </row>
    <row r="309" spans="1:28" ht="17.5" thickBot="1" x14ac:dyDescent="0.3">
      <c r="A309" s="6">
        <f t="shared" si="36"/>
        <v>2022</v>
      </c>
      <c r="B309" s="6">
        <f t="shared" si="37"/>
        <v>10</v>
      </c>
      <c r="C309" s="7">
        <v>44862</v>
      </c>
      <c r="D309" s="6">
        <f t="shared" si="38"/>
        <v>5</v>
      </c>
      <c r="E309" s="6">
        <f t="shared" si="39"/>
        <v>44</v>
      </c>
      <c r="F309" s="6">
        <f t="shared" si="40"/>
        <v>4</v>
      </c>
      <c r="G309" s="6">
        <f t="shared" si="41"/>
        <v>10</v>
      </c>
      <c r="H309" s="6" t="str">
        <f t="shared" si="42"/>
        <v>10월 4주차</v>
      </c>
      <c r="I309" s="6" t="str">
        <f>H309&amp;" ("&amp;TEXT(C305,"m/dd")&amp;"~"&amp;TEXT(C311,"m/dd")&amp;")"</f>
        <v>10월 4주차 (10/24~10/30)</v>
      </c>
      <c r="J309" s="6" t="str">
        <f>A305&amp;"년 "&amp;WEEKNUM(C305,2)&amp;"주차"&amp;" ("&amp;TEXT(C305,"m/dd")&amp;"~"&amp;TEXT(C311,"m/dd")&amp;")"</f>
        <v>2022년 44주차 (10/24~10/30)</v>
      </c>
      <c r="K309" s="6">
        <f>YEAR(C305)</f>
        <v>2022</v>
      </c>
      <c r="L309" s="6">
        <f>WEEKNUM(C305,2)</f>
        <v>44</v>
      </c>
      <c r="Z309" s="2"/>
      <c r="AA309" s="22" t="s">
        <v>560</v>
      </c>
      <c r="AB309" s="1" t="s">
        <v>849</v>
      </c>
    </row>
    <row r="310" spans="1:28" x14ac:dyDescent="0.45">
      <c r="A310" s="6">
        <f t="shared" si="36"/>
        <v>2022</v>
      </c>
      <c r="B310" s="6">
        <f t="shared" si="37"/>
        <v>10</v>
      </c>
      <c r="C310" s="7">
        <v>44863</v>
      </c>
      <c r="D310" s="6">
        <f t="shared" si="38"/>
        <v>6</v>
      </c>
      <c r="E310" s="6">
        <f t="shared" si="39"/>
        <v>44</v>
      </c>
      <c r="F310" s="6">
        <f t="shared" si="40"/>
        <v>4</v>
      </c>
      <c r="G310" s="6">
        <f t="shared" si="41"/>
        <v>10</v>
      </c>
      <c r="H310" s="6" t="str">
        <f t="shared" si="42"/>
        <v>10월 4주차</v>
      </c>
      <c r="I310" s="6" t="str">
        <f>H310&amp;" ("&amp;TEXT(C305,"m/dd")&amp;"~"&amp;TEXT(C311,"m/dd")&amp;")"</f>
        <v>10월 4주차 (10/24~10/30)</v>
      </c>
      <c r="J310" s="6" t="str">
        <f>A305&amp;"년 "&amp;WEEKNUM(C305,2)&amp;"주차"&amp;" ("&amp;TEXT(C305,"m/dd")&amp;"~"&amp;TEXT(C311,"m/dd")&amp;")"</f>
        <v>2022년 44주차 (10/24~10/30)</v>
      </c>
      <c r="K310" s="6">
        <f>YEAR(C305)</f>
        <v>2022</v>
      </c>
      <c r="L310" s="6">
        <f>WEEKNUM(C305,2)</f>
        <v>44</v>
      </c>
      <c r="Z310" s="2"/>
      <c r="AA310" s="17" t="s">
        <v>689</v>
      </c>
      <c r="AB310" s="1" t="s">
        <v>849</v>
      </c>
    </row>
    <row r="311" spans="1:28" x14ac:dyDescent="0.45">
      <c r="A311" s="6">
        <f t="shared" si="36"/>
        <v>2022</v>
      </c>
      <c r="B311" s="6">
        <f t="shared" si="37"/>
        <v>10</v>
      </c>
      <c r="C311" s="7">
        <v>44864</v>
      </c>
      <c r="D311" s="6">
        <f t="shared" si="38"/>
        <v>7</v>
      </c>
      <c r="E311" s="6">
        <f t="shared" si="39"/>
        <v>44</v>
      </c>
      <c r="F311" s="6">
        <f t="shared" si="40"/>
        <v>4</v>
      </c>
      <c r="G311" s="6">
        <f t="shared" si="41"/>
        <v>10</v>
      </c>
      <c r="H311" s="6" t="str">
        <f t="shared" si="42"/>
        <v>10월 4주차</v>
      </c>
      <c r="I311" s="6" t="str">
        <f>H311&amp;" ("&amp;TEXT(C305,"m/dd")&amp;"~"&amp;TEXT(C311,"m/dd")&amp;")"</f>
        <v>10월 4주차 (10/24~10/30)</v>
      </c>
      <c r="J311" s="6" t="str">
        <f>A305&amp;"년 "&amp;WEEKNUM(C305,2)&amp;"주차"&amp;" ("&amp;TEXT(C305,"m/dd")&amp;"~"&amp;TEXT(C311,"m/dd")&amp;")"</f>
        <v>2022년 44주차 (10/24~10/30)</v>
      </c>
      <c r="K311" s="6">
        <f>YEAR(C305)</f>
        <v>2022</v>
      </c>
      <c r="L311" s="6">
        <f>WEEKNUM(C305,2)</f>
        <v>44</v>
      </c>
      <c r="Z311" s="2"/>
      <c r="AA311" s="17" t="s">
        <v>667</v>
      </c>
      <c r="AB311" s="1" t="s">
        <v>849</v>
      </c>
    </row>
    <row r="312" spans="1:28" x14ac:dyDescent="0.45">
      <c r="A312" s="6">
        <f t="shared" si="36"/>
        <v>2022</v>
      </c>
      <c r="B312" s="6">
        <f t="shared" si="37"/>
        <v>10</v>
      </c>
      <c r="C312" s="7">
        <v>44865</v>
      </c>
      <c r="D312" s="6">
        <f t="shared" si="38"/>
        <v>1</v>
      </c>
      <c r="E312" s="6">
        <f t="shared" si="39"/>
        <v>45</v>
      </c>
      <c r="F312" s="6">
        <v>1</v>
      </c>
      <c r="G312" s="6">
        <f t="shared" si="41"/>
        <v>10</v>
      </c>
      <c r="H312" s="6" t="str">
        <f t="shared" si="42"/>
        <v>10월 1주차</v>
      </c>
      <c r="I312" s="6" t="str">
        <f>H312&amp;" ("&amp;TEXT(C312,"m/dd")&amp;"~"&amp;TEXT(C318,"m/dd")&amp;")"</f>
        <v>10월 1주차 (10/31~11/06)</v>
      </c>
      <c r="J312" s="6" t="str">
        <f>A312&amp;"년 "&amp;WEEKNUM(C312,2)&amp;"주차"&amp;" ("&amp;TEXT(C312,"m/dd")&amp;"~"&amp;TEXT(C318,"m/dd")&amp;")"</f>
        <v>2022년 45주차 (10/31~11/06)</v>
      </c>
      <c r="K312" s="6">
        <f>YEAR(C312)</f>
        <v>2022</v>
      </c>
      <c r="L312" s="6">
        <f>WEEKNUM(C312,2)</f>
        <v>45</v>
      </c>
      <c r="Z312" s="2"/>
      <c r="AA312" s="17" t="s">
        <v>751</v>
      </c>
      <c r="AB312" s="1" t="s">
        <v>849</v>
      </c>
    </row>
    <row r="313" spans="1:28" x14ac:dyDescent="0.45">
      <c r="A313" s="6">
        <f t="shared" si="36"/>
        <v>2022</v>
      </c>
      <c r="B313" s="6">
        <f t="shared" si="37"/>
        <v>11</v>
      </c>
      <c r="C313" s="7">
        <v>44866</v>
      </c>
      <c r="D313" s="6">
        <f t="shared" si="38"/>
        <v>2</v>
      </c>
      <c r="E313" s="6">
        <f t="shared" si="39"/>
        <v>45</v>
      </c>
      <c r="F313" s="6">
        <v>1</v>
      </c>
      <c r="G313" s="6">
        <f t="shared" si="41"/>
        <v>11</v>
      </c>
      <c r="H313" s="6" t="str">
        <f t="shared" si="42"/>
        <v>11월 1주차</v>
      </c>
      <c r="I313" s="6" t="str">
        <f>H313&amp;" ("&amp;TEXT(C312,"m/dd")&amp;"~"&amp;TEXT(C318,"m/dd")&amp;")"</f>
        <v>11월 1주차 (10/31~11/06)</v>
      </c>
      <c r="J313" s="6" t="str">
        <f>A312&amp;"년 "&amp;WEEKNUM(C312,2)&amp;"주차"&amp;" ("&amp;TEXT(C312,"m/dd")&amp;"~"&amp;TEXT(C318,"m/dd")&amp;")"</f>
        <v>2022년 45주차 (10/31~11/06)</v>
      </c>
      <c r="K313" s="6">
        <f>YEAR(C312)</f>
        <v>2022</v>
      </c>
      <c r="L313" s="6">
        <f>WEEKNUM(C312,2)</f>
        <v>45</v>
      </c>
      <c r="Z313" s="2"/>
      <c r="AA313" s="17" t="s">
        <v>860</v>
      </c>
      <c r="AB313" s="1" t="s">
        <v>849</v>
      </c>
    </row>
    <row r="314" spans="1:28" x14ac:dyDescent="0.45">
      <c r="A314" s="6">
        <f t="shared" si="36"/>
        <v>2022</v>
      </c>
      <c r="B314" s="6">
        <f t="shared" si="37"/>
        <v>11</v>
      </c>
      <c r="C314" s="7">
        <v>44867</v>
      </c>
      <c r="D314" s="6">
        <f t="shared" si="38"/>
        <v>3</v>
      </c>
      <c r="E314" s="6">
        <f t="shared" si="39"/>
        <v>45</v>
      </c>
      <c r="F314" s="6">
        <v>1</v>
      </c>
      <c r="G314" s="6">
        <f t="shared" si="41"/>
        <v>11</v>
      </c>
      <c r="H314" s="6" t="str">
        <f t="shared" si="42"/>
        <v>11월 1주차</v>
      </c>
      <c r="I314" s="6" t="str">
        <f>H314&amp;" ("&amp;TEXT(C312,"m/dd")&amp;"~"&amp;TEXT(C318,"m/dd")&amp;")"</f>
        <v>11월 1주차 (10/31~11/06)</v>
      </c>
      <c r="J314" s="6" t="str">
        <f>A312&amp;"년 "&amp;WEEKNUM(C312,2)&amp;"주차"&amp;" ("&amp;TEXT(C312,"m/dd")&amp;"~"&amp;TEXT(C318,"m/dd")&amp;")"</f>
        <v>2022년 45주차 (10/31~11/06)</v>
      </c>
      <c r="K314" s="6">
        <f>YEAR(C312)</f>
        <v>2022</v>
      </c>
      <c r="L314" s="6">
        <f>WEEKNUM(C312,2)</f>
        <v>45</v>
      </c>
      <c r="Z314" s="2"/>
      <c r="AA314" s="17" t="s">
        <v>518</v>
      </c>
      <c r="AB314" s="1" t="s">
        <v>849</v>
      </c>
    </row>
    <row r="315" spans="1:28" x14ac:dyDescent="0.45">
      <c r="A315" s="6">
        <f t="shared" si="36"/>
        <v>2022</v>
      </c>
      <c r="B315" s="6">
        <f t="shared" si="37"/>
        <v>11</v>
      </c>
      <c r="C315" s="7">
        <v>44868</v>
      </c>
      <c r="D315" s="6">
        <f t="shared" si="38"/>
        <v>4</v>
      </c>
      <c r="E315" s="6">
        <f t="shared" si="39"/>
        <v>45</v>
      </c>
      <c r="F315" s="6">
        <v>1</v>
      </c>
      <c r="G315" s="6">
        <f t="shared" si="41"/>
        <v>11</v>
      </c>
      <c r="H315" s="6" t="str">
        <f t="shared" si="42"/>
        <v>11월 1주차</v>
      </c>
      <c r="I315" s="6" t="str">
        <f>H315&amp;" ("&amp;TEXT(C312,"m/dd")&amp;"~"&amp;TEXT(C318,"m/dd")&amp;")"</f>
        <v>11월 1주차 (10/31~11/06)</v>
      </c>
      <c r="J315" s="6" t="str">
        <f>A312&amp;"년 "&amp;WEEKNUM(C312,2)&amp;"주차"&amp;" ("&amp;TEXT(C312,"m/dd")&amp;"~"&amp;TEXT(C318,"m/dd")&amp;")"</f>
        <v>2022년 45주차 (10/31~11/06)</v>
      </c>
      <c r="K315" s="6">
        <f>YEAR(C312)</f>
        <v>2022</v>
      </c>
      <c r="L315" s="6">
        <f>WEEKNUM(C312,2)</f>
        <v>45</v>
      </c>
      <c r="Z315" s="2"/>
      <c r="AA315" s="17" t="s">
        <v>300</v>
      </c>
      <c r="AB315" s="1" t="s">
        <v>849</v>
      </c>
    </row>
    <row r="316" spans="1:28" x14ac:dyDescent="0.45">
      <c r="A316" s="6">
        <f t="shared" si="36"/>
        <v>2022</v>
      </c>
      <c r="B316" s="6">
        <f t="shared" si="37"/>
        <v>11</v>
      </c>
      <c r="C316" s="7">
        <v>44869</v>
      </c>
      <c r="D316" s="6">
        <f t="shared" si="38"/>
        <v>5</v>
      </c>
      <c r="E316" s="6">
        <f t="shared" si="39"/>
        <v>45</v>
      </c>
      <c r="F316" s="6">
        <v>1</v>
      </c>
      <c r="G316" s="6">
        <f t="shared" si="41"/>
        <v>11</v>
      </c>
      <c r="H316" s="6" t="str">
        <f t="shared" si="42"/>
        <v>11월 1주차</v>
      </c>
      <c r="I316" s="6" t="str">
        <f>H316&amp;" ("&amp;TEXT(C312,"m/dd")&amp;"~"&amp;TEXT(C318,"m/dd")&amp;")"</f>
        <v>11월 1주차 (10/31~11/06)</v>
      </c>
      <c r="J316" s="6" t="str">
        <f>A312&amp;"년 "&amp;WEEKNUM(C312,2)&amp;"주차"&amp;" ("&amp;TEXT(C312,"m/dd")&amp;"~"&amp;TEXT(C318,"m/dd")&amp;")"</f>
        <v>2022년 45주차 (10/31~11/06)</v>
      </c>
      <c r="K316" s="6">
        <f>YEAR(C312)</f>
        <v>2022</v>
      </c>
      <c r="L316" s="6">
        <f>WEEKNUM(C312,2)</f>
        <v>45</v>
      </c>
      <c r="Z316" s="2"/>
      <c r="AA316" s="17" t="s">
        <v>661</v>
      </c>
      <c r="AB316" s="1" t="s">
        <v>849</v>
      </c>
    </row>
    <row r="317" spans="1:28" x14ac:dyDescent="0.45">
      <c r="A317" s="6">
        <f t="shared" si="36"/>
        <v>2022</v>
      </c>
      <c r="B317" s="6">
        <f t="shared" si="37"/>
        <v>11</v>
      </c>
      <c r="C317" s="7">
        <v>44870</v>
      </c>
      <c r="D317" s="6">
        <f t="shared" si="38"/>
        <v>6</v>
      </c>
      <c r="E317" s="6">
        <f t="shared" si="39"/>
        <v>45</v>
      </c>
      <c r="F317" s="6">
        <v>1</v>
      </c>
      <c r="G317" s="6">
        <f t="shared" si="41"/>
        <v>11</v>
      </c>
      <c r="H317" s="6" t="str">
        <f t="shared" si="42"/>
        <v>11월 1주차</v>
      </c>
      <c r="I317" s="6" t="str">
        <f>H317&amp;" ("&amp;TEXT(C312,"m/dd")&amp;"~"&amp;TEXT(C318,"m/dd")&amp;")"</f>
        <v>11월 1주차 (10/31~11/06)</v>
      </c>
      <c r="J317" s="6" t="str">
        <f>A312&amp;"년 "&amp;WEEKNUM(C312,2)&amp;"주차"&amp;" ("&amp;TEXT(C312,"m/dd")&amp;"~"&amp;TEXT(C318,"m/dd")&amp;")"</f>
        <v>2022년 45주차 (10/31~11/06)</v>
      </c>
      <c r="K317" s="6">
        <f>YEAR(C312)</f>
        <v>2022</v>
      </c>
      <c r="L317" s="6">
        <f>WEEKNUM(C312,2)</f>
        <v>45</v>
      </c>
      <c r="Z317" s="2"/>
      <c r="AA317" s="17" t="s">
        <v>339</v>
      </c>
      <c r="AB317" s="1" t="s">
        <v>849</v>
      </c>
    </row>
    <row r="318" spans="1:28" x14ac:dyDescent="0.45">
      <c r="A318" s="6">
        <f t="shared" si="36"/>
        <v>2022</v>
      </c>
      <c r="B318" s="6">
        <f t="shared" si="37"/>
        <v>11</v>
      </c>
      <c r="C318" s="7">
        <v>44871</v>
      </c>
      <c r="D318" s="6">
        <f t="shared" si="38"/>
        <v>7</v>
      </c>
      <c r="E318" s="6">
        <f t="shared" si="39"/>
        <v>45</v>
      </c>
      <c r="F318" s="6">
        <v>1</v>
      </c>
      <c r="G318" s="6">
        <f t="shared" si="41"/>
        <v>11</v>
      </c>
      <c r="H318" s="6" t="str">
        <f t="shared" si="42"/>
        <v>11월 1주차</v>
      </c>
      <c r="I318" s="6" t="str">
        <f>H318&amp;" ("&amp;TEXT(C312,"m/dd")&amp;"~"&amp;TEXT(C318,"m/dd")&amp;")"</f>
        <v>11월 1주차 (10/31~11/06)</v>
      </c>
      <c r="J318" s="6" t="str">
        <f>A312&amp;"년 "&amp;WEEKNUM(C312,2)&amp;"주차"&amp;" ("&amp;TEXT(C312,"m/dd")&amp;"~"&amp;TEXT(C318,"m/dd")&amp;")"</f>
        <v>2022년 45주차 (10/31~11/06)</v>
      </c>
      <c r="K318" s="6">
        <f>YEAR(C312)</f>
        <v>2022</v>
      </c>
      <c r="L318" s="6">
        <f>WEEKNUM(C312,2)</f>
        <v>45</v>
      </c>
      <c r="Z318" s="2"/>
      <c r="AA318" s="18" t="s">
        <v>861</v>
      </c>
      <c r="AB318" s="9" t="s">
        <v>322</v>
      </c>
    </row>
    <row r="319" spans="1:28" x14ac:dyDescent="0.45">
      <c r="A319" s="6">
        <f t="shared" si="36"/>
        <v>2022</v>
      </c>
      <c r="B319" s="6">
        <f t="shared" si="37"/>
        <v>11</v>
      </c>
      <c r="C319" s="7">
        <v>44872</v>
      </c>
      <c r="D319" s="6">
        <f t="shared" si="38"/>
        <v>1</v>
      </c>
      <c r="E319" s="6">
        <f t="shared" si="39"/>
        <v>46</v>
      </c>
      <c r="F319" s="6">
        <v>2</v>
      </c>
      <c r="G319" s="6">
        <f t="shared" si="41"/>
        <v>11</v>
      </c>
      <c r="H319" s="6" t="str">
        <f t="shared" si="42"/>
        <v>11월 2주차</v>
      </c>
      <c r="I319" s="6" t="str">
        <f>H319&amp;" ("&amp;TEXT(C319,"m/dd")&amp;"~"&amp;TEXT(C325,"m/dd")&amp;")"</f>
        <v>11월 2주차 (11/07~11/13)</v>
      </c>
      <c r="J319" s="6" t="str">
        <f>A319&amp;"년 "&amp;WEEKNUM(C319,2)&amp;"주차"&amp;" ("&amp;TEXT(C319,"m/dd")&amp;"~"&amp;TEXT(C325,"m/dd")&amp;")"</f>
        <v>2022년 46주차 (11/07~11/13)</v>
      </c>
      <c r="K319" s="6">
        <f>YEAR(C319)</f>
        <v>2022</v>
      </c>
      <c r="L319" s="6">
        <f>WEEKNUM(C319,2)</f>
        <v>46</v>
      </c>
      <c r="Z319" s="2"/>
      <c r="AA319" s="18" t="s">
        <v>602</v>
      </c>
      <c r="AB319" s="9" t="s">
        <v>322</v>
      </c>
    </row>
    <row r="320" spans="1:28" x14ac:dyDescent="0.45">
      <c r="A320" s="6">
        <f t="shared" si="36"/>
        <v>2022</v>
      </c>
      <c r="B320" s="6">
        <f t="shared" si="37"/>
        <v>11</v>
      </c>
      <c r="C320" s="7">
        <v>44873</v>
      </c>
      <c r="D320" s="6">
        <f t="shared" si="38"/>
        <v>2</v>
      </c>
      <c r="E320" s="6">
        <f t="shared" si="39"/>
        <v>46</v>
      </c>
      <c r="F320" s="6">
        <v>2</v>
      </c>
      <c r="G320" s="6">
        <f t="shared" si="41"/>
        <v>11</v>
      </c>
      <c r="H320" s="6" t="str">
        <f t="shared" si="42"/>
        <v>11월 2주차</v>
      </c>
      <c r="I320" s="6" t="str">
        <f>H320&amp;" ("&amp;TEXT(C319,"m/dd")&amp;"~"&amp;TEXT(C325,"m/dd")&amp;")"</f>
        <v>11월 2주차 (11/07~11/13)</v>
      </c>
      <c r="J320" s="6" t="str">
        <f>A319&amp;"년 "&amp;WEEKNUM(C319,2)&amp;"주차"&amp;" ("&amp;TEXT(C319,"m/dd")&amp;"~"&amp;TEXT(C325,"m/dd")&amp;")"</f>
        <v>2022년 46주차 (11/07~11/13)</v>
      </c>
      <c r="K320" s="6">
        <f>YEAR(C319)</f>
        <v>2022</v>
      </c>
      <c r="L320" s="6">
        <f>WEEKNUM(C319,2)</f>
        <v>46</v>
      </c>
      <c r="Z320" s="2"/>
      <c r="AA320" s="18" t="s">
        <v>679</v>
      </c>
      <c r="AB320" s="9" t="s">
        <v>322</v>
      </c>
    </row>
    <row r="321" spans="1:28" x14ac:dyDescent="0.45">
      <c r="A321" s="6">
        <f t="shared" si="36"/>
        <v>2022</v>
      </c>
      <c r="B321" s="6">
        <f t="shared" si="37"/>
        <v>11</v>
      </c>
      <c r="C321" s="7">
        <v>44874</v>
      </c>
      <c r="D321" s="6">
        <f t="shared" si="38"/>
        <v>3</v>
      </c>
      <c r="E321" s="6">
        <f t="shared" si="39"/>
        <v>46</v>
      </c>
      <c r="F321" s="6">
        <v>2</v>
      </c>
      <c r="G321" s="6">
        <f t="shared" si="41"/>
        <v>11</v>
      </c>
      <c r="H321" s="6" t="str">
        <f t="shared" si="42"/>
        <v>11월 2주차</v>
      </c>
      <c r="I321" s="6" t="str">
        <f>H321&amp;" ("&amp;TEXT(C319,"m/dd")&amp;"~"&amp;TEXT(C325,"m/dd")&amp;")"</f>
        <v>11월 2주차 (11/07~11/13)</v>
      </c>
      <c r="J321" s="6" t="str">
        <f>A319&amp;"년 "&amp;WEEKNUM(C319,2)&amp;"주차"&amp;" ("&amp;TEXT(C319,"m/dd")&amp;"~"&amp;TEXT(C325,"m/dd")&amp;")"</f>
        <v>2022년 46주차 (11/07~11/13)</v>
      </c>
      <c r="K321" s="6">
        <f>YEAR(C319)</f>
        <v>2022</v>
      </c>
      <c r="L321" s="6">
        <f>WEEKNUM(C319,2)</f>
        <v>46</v>
      </c>
      <c r="Z321" s="2"/>
      <c r="AA321" s="18" t="s">
        <v>861</v>
      </c>
      <c r="AB321" s="9" t="s">
        <v>322</v>
      </c>
    </row>
    <row r="322" spans="1:28" x14ac:dyDescent="0.45">
      <c r="A322" s="6">
        <f t="shared" si="36"/>
        <v>2022</v>
      </c>
      <c r="B322" s="6">
        <f t="shared" si="37"/>
        <v>11</v>
      </c>
      <c r="C322" s="7">
        <v>44875</v>
      </c>
      <c r="D322" s="6">
        <f t="shared" si="38"/>
        <v>4</v>
      </c>
      <c r="E322" s="6">
        <f t="shared" si="39"/>
        <v>46</v>
      </c>
      <c r="F322" s="6">
        <v>2</v>
      </c>
      <c r="G322" s="6">
        <f t="shared" si="41"/>
        <v>11</v>
      </c>
      <c r="H322" s="6" t="str">
        <f t="shared" si="42"/>
        <v>11월 2주차</v>
      </c>
      <c r="I322" s="6" t="str">
        <f>H322&amp;" ("&amp;TEXT(C319,"m/dd")&amp;"~"&amp;TEXT(C325,"m/dd")&amp;")"</f>
        <v>11월 2주차 (11/07~11/13)</v>
      </c>
      <c r="J322" s="6" t="str">
        <f>A319&amp;"년 "&amp;WEEKNUM(C319,2)&amp;"주차"&amp;" ("&amp;TEXT(C319,"m/dd")&amp;"~"&amp;TEXT(C325,"m/dd")&amp;")"</f>
        <v>2022년 46주차 (11/07~11/13)</v>
      </c>
      <c r="K322" s="6">
        <f>YEAR(C319)</f>
        <v>2022</v>
      </c>
      <c r="L322" s="6">
        <f>WEEKNUM(C319,2)</f>
        <v>46</v>
      </c>
      <c r="Z322" s="2"/>
      <c r="AA322" s="18" t="s">
        <v>854</v>
      </c>
      <c r="AB322" s="9" t="s">
        <v>322</v>
      </c>
    </row>
    <row r="323" spans="1:28" x14ac:dyDescent="0.45">
      <c r="A323" s="6">
        <f t="shared" si="36"/>
        <v>2022</v>
      </c>
      <c r="B323" s="6">
        <f t="shared" si="37"/>
        <v>11</v>
      </c>
      <c r="C323" s="7">
        <v>44876</v>
      </c>
      <c r="D323" s="6">
        <f t="shared" si="38"/>
        <v>5</v>
      </c>
      <c r="E323" s="6">
        <f t="shared" si="39"/>
        <v>46</v>
      </c>
      <c r="F323" s="6">
        <v>2</v>
      </c>
      <c r="G323" s="6">
        <f t="shared" si="41"/>
        <v>11</v>
      </c>
      <c r="H323" s="6" t="str">
        <f t="shared" si="42"/>
        <v>11월 2주차</v>
      </c>
      <c r="I323" s="6" t="str">
        <f>H323&amp;" ("&amp;TEXT(C319,"m/dd")&amp;"~"&amp;TEXT(C325,"m/dd")&amp;")"</f>
        <v>11월 2주차 (11/07~11/13)</v>
      </c>
      <c r="J323" s="6" t="str">
        <f>A319&amp;"년 "&amp;WEEKNUM(C319,2)&amp;"주차"&amp;" ("&amp;TEXT(C319,"m/dd")&amp;"~"&amp;TEXT(C325,"m/dd")&amp;")"</f>
        <v>2022년 46주차 (11/07~11/13)</v>
      </c>
      <c r="K323" s="6">
        <f>YEAR(C319)</f>
        <v>2022</v>
      </c>
      <c r="L323" s="6">
        <f>WEEKNUM(C319,2)</f>
        <v>46</v>
      </c>
      <c r="Z323" s="2"/>
      <c r="AA323" s="18" t="s">
        <v>602</v>
      </c>
      <c r="AB323" s="9" t="s">
        <v>322</v>
      </c>
    </row>
    <row r="324" spans="1:28" x14ac:dyDescent="0.45">
      <c r="A324" s="6">
        <f t="shared" si="36"/>
        <v>2022</v>
      </c>
      <c r="B324" s="6">
        <f t="shared" si="37"/>
        <v>11</v>
      </c>
      <c r="C324" s="7">
        <v>44877</v>
      </c>
      <c r="D324" s="6">
        <f t="shared" si="38"/>
        <v>6</v>
      </c>
      <c r="E324" s="6">
        <f t="shared" si="39"/>
        <v>46</v>
      </c>
      <c r="F324" s="6">
        <v>2</v>
      </c>
      <c r="G324" s="6">
        <f t="shared" si="41"/>
        <v>11</v>
      </c>
      <c r="H324" s="6" t="str">
        <f t="shared" si="42"/>
        <v>11월 2주차</v>
      </c>
      <c r="I324" s="6" t="str">
        <f>H324&amp;" ("&amp;TEXT(C319,"m/dd")&amp;"~"&amp;TEXT(C325,"m/dd")&amp;")"</f>
        <v>11월 2주차 (11/07~11/13)</v>
      </c>
      <c r="J324" s="6" t="str">
        <f>A319&amp;"년 "&amp;WEEKNUM(C319,2)&amp;"주차"&amp;" ("&amp;TEXT(C319,"m/dd")&amp;"~"&amp;TEXT(C325,"m/dd")&amp;")"</f>
        <v>2022년 46주차 (11/07~11/13)</v>
      </c>
      <c r="K324" s="6">
        <f>YEAR(C319)</f>
        <v>2022</v>
      </c>
      <c r="L324" s="6">
        <f>WEEKNUM(C319,2)</f>
        <v>46</v>
      </c>
      <c r="AA324" t="s">
        <v>745</v>
      </c>
      <c r="AB324" s="9" t="s">
        <v>322</v>
      </c>
    </row>
    <row r="325" spans="1:28" x14ac:dyDescent="0.45">
      <c r="A325" s="6">
        <f t="shared" si="36"/>
        <v>2022</v>
      </c>
      <c r="B325" s="6">
        <f t="shared" si="37"/>
        <v>11</v>
      </c>
      <c r="C325" s="7">
        <v>44878</v>
      </c>
      <c r="D325" s="6">
        <f t="shared" si="38"/>
        <v>7</v>
      </c>
      <c r="E325" s="6">
        <f t="shared" si="39"/>
        <v>46</v>
      </c>
      <c r="F325" s="6">
        <v>2</v>
      </c>
      <c r="G325" s="6">
        <f t="shared" si="41"/>
        <v>11</v>
      </c>
      <c r="H325" s="6" t="str">
        <f t="shared" si="42"/>
        <v>11월 2주차</v>
      </c>
      <c r="I325" s="6" t="str">
        <f>H325&amp;" ("&amp;TEXT(C319,"m/dd")&amp;"~"&amp;TEXT(C325,"m/dd")&amp;")"</f>
        <v>11월 2주차 (11/07~11/13)</v>
      </c>
      <c r="J325" s="6" t="str">
        <f>A319&amp;"년 "&amp;WEEKNUM(C319,2)&amp;"주차"&amp;" ("&amp;TEXT(C319,"m/dd")&amp;"~"&amp;TEXT(C325,"m/dd")&amp;")"</f>
        <v>2022년 46주차 (11/07~11/13)</v>
      </c>
      <c r="K325" s="6">
        <f>YEAR(C319)</f>
        <v>2022</v>
      </c>
      <c r="L325" s="6">
        <f>WEEKNUM(C319,2)</f>
        <v>46</v>
      </c>
      <c r="AA325" t="s">
        <v>644</v>
      </c>
      <c r="AB325" s="9" t="s">
        <v>322</v>
      </c>
    </row>
    <row r="326" spans="1:28" x14ac:dyDescent="0.45">
      <c r="A326" s="6">
        <f t="shared" si="36"/>
        <v>2022</v>
      </c>
      <c r="B326" s="6">
        <f t="shared" si="37"/>
        <v>11</v>
      </c>
      <c r="C326" s="7">
        <v>44879</v>
      </c>
      <c r="D326" s="6">
        <f t="shared" si="38"/>
        <v>1</v>
      </c>
      <c r="E326" s="6">
        <f t="shared" si="39"/>
        <v>47</v>
      </c>
      <c r="F326" s="6">
        <v>3</v>
      </c>
      <c r="G326" s="6">
        <f t="shared" si="41"/>
        <v>11</v>
      </c>
      <c r="H326" s="6" t="str">
        <f t="shared" si="42"/>
        <v>11월 3주차</v>
      </c>
      <c r="I326" s="6" t="str">
        <f>H326&amp;" ("&amp;TEXT(C326,"m/dd")&amp;"~"&amp;TEXT(C332,"m/dd")&amp;")"</f>
        <v>11월 3주차 (11/14~11/20)</v>
      </c>
      <c r="J326" s="6" t="str">
        <f>A326&amp;"년 "&amp;WEEKNUM(C326,2)&amp;"주차"&amp;" ("&amp;TEXT(C326,"m/dd")&amp;"~"&amp;TEXT(C332,"m/dd")&amp;")"</f>
        <v>2022년 47주차 (11/14~11/20)</v>
      </c>
      <c r="K326" s="6">
        <f>YEAR(C326)</f>
        <v>2022</v>
      </c>
      <c r="L326" s="6">
        <f>WEEKNUM(C326,2)</f>
        <v>47</v>
      </c>
      <c r="AA326" t="s">
        <v>533</v>
      </c>
      <c r="AB326" s="9" t="s">
        <v>322</v>
      </c>
    </row>
    <row r="327" spans="1:28" x14ac:dyDescent="0.45">
      <c r="A327" s="6">
        <f t="shared" si="36"/>
        <v>2022</v>
      </c>
      <c r="B327" s="6">
        <f t="shared" si="37"/>
        <v>11</v>
      </c>
      <c r="C327" s="7">
        <v>44880</v>
      </c>
      <c r="D327" s="6">
        <f t="shared" si="38"/>
        <v>2</v>
      </c>
      <c r="E327" s="6">
        <f t="shared" si="39"/>
        <v>47</v>
      </c>
      <c r="F327" s="6">
        <v>3</v>
      </c>
      <c r="G327" s="6">
        <f t="shared" si="41"/>
        <v>11</v>
      </c>
      <c r="H327" s="6" t="str">
        <f t="shared" si="42"/>
        <v>11월 3주차</v>
      </c>
      <c r="I327" s="6" t="str">
        <f>H327&amp;" ("&amp;TEXT(C326,"m/dd")&amp;"~"&amp;TEXT(C332,"m/dd")&amp;")"</f>
        <v>11월 3주차 (11/14~11/20)</v>
      </c>
      <c r="J327" s="6" t="str">
        <f>A326&amp;"년 "&amp;WEEKNUM(C326,2)&amp;"주차"&amp;" ("&amp;TEXT(C326,"m/dd")&amp;"~"&amp;TEXT(C332,"m/dd")&amp;")"</f>
        <v>2022년 47주차 (11/14~11/20)</v>
      </c>
      <c r="K327" s="6">
        <f>YEAR(C326)</f>
        <v>2022</v>
      </c>
      <c r="L327" s="6">
        <f>WEEKNUM(C326,2)</f>
        <v>47</v>
      </c>
      <c r="AA327" t="s">
        <v>862</v>
      </c>
      <c r="AB327" s="9" t="s">
        <v>322</v>
      </c>
    </row>
    <row r="328" spans="1:28" x14ac:dyDescent="0.45">
      <c r="A328" s="6">
        <f t="shared" si="36"/>
        <v>2022</v>
      </c>
      <c r="B328" s="6">
        <f t="shared" si="37"/>
        <v>11</v>
      </c>
      <c r="C328" s="7">
        <v>44881</v>
      </c>
      <c r="D328" s="6">
        <f t="shared" si="38"/>
        <v>3</v>
      </c>
      <c r="E328" s="6">
        <f t="shared" si="39"/>
        <v>47</v>
      </c>
      <c r="F328" s="6">
        <v>3</v>
      </c>
      <c r="G328" s="6">
        <f t="shared" si="41"/>
        <v>11</v>
      </c>
      <c r="H328" s="6" t="str">
        <f t="shared" si="42"/>
        <v>11월 3주차</v>
      </c>
      <c r="I328" s="6" t="str">
        <f>H328&amp;" ("&amp;TEXT(C326,"m/dd")&amp;"~"&amp;TEXT(C332,"m/dd")&amp;")"</f>
        <v>11월 3주차 (11/14~11/20)</v>
      </c>
      <c r="J328" s="6" t="str">
        <f>A326&amp;"년 "&amp;WEEKNUM(C326,2)&amp;"주차"&amp;" ("&amp;TEXT(C326,"m/dd")&amp;"~"&amp;TEXT(C332,"m/dd")&amp;")"</f>
        <v>2022년 47주차 (11/14~11/20)</v>
      </c>
      <c r="K328" s="6">
        <f>YEAR(C326)</f>
        <v>2022</v>
      </c>
      <c r="L328" s="6">
        <f>WEEKNUM(C326,2)</f>
        <v>47</v>
      </c>
      <c r="AA328" t="s">
        <v>863</v>
      </c>
      <c r="AB328" s="9" t="s">
        <v>322</v>
      </c>
    </row>
    <row r="329" spans="1:28" x14ac:dyDescent="0.45">
      <c r="A329" s="6">
        <f t="shared" si="36"/>
        <v>2022</v>
      </c>
      <c r="B329" s="6">
        <f t="shared" si="37"/>
        <v>11</v>
      </c>
      <c r="C329" s="7">
        <v>44882</v>
      </c>
      <c r="D329" s="6">
        <f t="shared" si="38"/>
        <v>4</v>
      </c>
      <c r="E329" s="6">
        <f t="shared" si="39"/>
        <v>47</v>
      </c>
      <c r="F329" s="6">
        <v>3</v>
      </c>
      <c r="G329" s="6">
        <f t="shared" si="41"/>
        <v>11</v>
      </c>
      <c r="H329" s="6" t="str">
        <f t="shared" si="42"/>
        <v>11월 3주차</v>
      </c>
      <c r="I329" s="6" t="str">
        <f>H329&amp;" ("&amp;TEXT(C326,"m/dd")&amp;"~"&amp;TEXT(C332,"m/dd")&amp;")"</f>
        <v>11월 3주차 (11/14~11/20)</v>
      </c>
      <c r="J329" s="6" t="str">
        <f>A326&amp;"년 "&amp;WEEKNUM(C326,2)&amp;"주차"&amp;" ("&amp;TEXT(C326,"m/dd")&amp;"~"&amp;TEXT(C332,"m/dd")&amp;")"</f>
        <v>2022년 47주차 (11/14~11/20)</v>
      </c>
      <c r="K329" s="6">
        <f>YEAR(C326)</f>
        <v>2022</v>
      </c>
      <c r="L329" s="6">
        <f>WEEKNUM(C326,2)</f>
        <v>47</v>
      </c>
      <c r="AA329" t="s">
        <v>760</v>
      </c>
      <c r="AB329" s="9" t="s">
        <v>322</v>
      </c>
    </row>
    <row r="330" spans="1:28" x14ac:dyDescent="0.45">
      <c r="A330" s="6">
        <f t="shared" si="36"/>
        <v>2022</v>
      </c>
      <c r="B330" s="6">
        <f t="shared" si="37"/>
        <v>11</v>
      </c>
      <c r="C330" s="7">
        <v>44883</v>
      </c>
      <c r="D330" s="6">
        <f t="shared" si="38"/>
        <v>5</v>
      </c>
      <c r="E330" s="6">
        <f t="shared" si="39"/>
        <v>47</v>
      </c>
      <c r="F330" s="6">
        <v>3</v>
      </c>
      <c r="G330" s="6">
        <f t="shared" si="41"/>
        <v>11</v>
      </c>
      <c r="H330" s="6" t="str">
        <f t="shared" si="42"/>
        <v>11월 3주차</v>
      </c>
      <c r="I330" s="6" t="str">
        <f>H330&amp;" ("&amp;TEXT(C326,"m/dd")&amp;"~"&amp;TEXT(C332,"m/dd")&amp;")"</f>
        <v>11월 3주차 (11/14~11/20)</v>
      </c>
      <c r="J330" s="6" t="str">
        <f>A326&amp;"년 "&amp;WEEKNUM(C326,2)&amp;"주차"&amp;" ("&amp;TEXT(C326,"m/dd")&amp;"~"&amp;TEXT(C332,"m/dd")&amp;")"</f>
        <v>2022년 47주차 (11/14~11/20)</v>
      </c>
      <c r="K330" s="6">
        <f>YEAR(C326)</f>
        <v>2022</v>
      </c>
      <c r="L330" s="6">
        <f>WEEKNUM(C326,2)</f>
        <v>47</v>
      </c>
      <c r="AA330" t="s">
        <v>411</v>
      </c>
      <c r="AB330" s="9" t="s">
        <v>322</v>
      </c>
    </row>
    <row r="331" spans="1:28" x14ac:dyDescent="0.45">
      <c r="A331" s="6">
        <f t="shared" ref="A331:A398" si="43">YEAR(C331)</f>
        <v>2022</v>
      </c>
      <c r="B331" s="6">
        <f t="shared" ref="B331:B394" si="44">MONTH(C331)</f>
        <v>11</v>
      </c>
      <c r="C331" s="7">
        <v>44884</v>
      </c>
      <c r="D331" s="6">
        <f t="shared" ref="D331:D370" si="45">WEEKDAY(C331,2)</f>
        <v>6</v>
      </c>
      <c r="E331" s="6">
        <f t="shared" ref="E331:E371" si="46">WEEKNUM(C331,2)</f>
        <v>47</v>
      </c>
      <c r="F331" s="6">
        <v>3</v>
      </c>
      <c r="G331" s="6">
        <f t="shared" ref="G331:G394" si="47">IF(LEN(B331)=1,_xlfn.CONCAT(0,B331),B331)</f>
        <v>11</v>
      </c>
      <c r="H331" s="6" t="str">
        <f t="shared" ref="H331:H394" si="48">G331&amp;"월 "&amp;F331&amp;"주차"</f>
        <v>11월 3주차</v>
      </c>
      <c r="I331" s="6" t="str">
        <f>H331&amp;" ("&amp;TEXT(C326,"m/dd")&amp;"~"&amp;TEXT(C332,"m/dd")&amp;")"</f>
        <v>11월 3주차 (11/14~11/20)</v>
      </c>
      <c r="J331" s="6" t="str">
        <f>A326&amp;"년 "&amp;WEEKNUM(C326,2)&amp;"주차"&amp;" ("&amp;TEXT(C326,"m/dd")&amp;"~"&amp;TEXT(C332,"m/dd")&amp;")"</f>
        <v>2022년 47주차 (11/14~11/20)</v>
      </c>
      <c r="K331" s="6">
        <f>YEAR(C326)</f>
        <v>2022</v>
      </c>
      <c r="L331" s="6">
        <f>WEEKNUM(C326,2)</f>
        <v>47</v>
      </c>
      <c r="AA331" t="s">
        <v>402</v>
      </c>
      <c r="AB331" s="9" t="s">
        <v>322</v>
      </c>
    </row>
    <row r="332" spans="1:28" x14ac:dyDescent="0.45">
      <c r="A332" s="6">
        <f t="shared" si="43"/>
        <v>2022</v>
      </c>
      <c r="B332" s="6">
        <f t="shared" si="44"/>
        <v>11</v>
      </c>
      <c r="C332" s="7">
        <v>44885</v>
      </c>
      <c r="D332" s="6">
        <f t="shared" si="45"/>
        <v>7</v>
      </c>
      <c r="E332" s="6">
        <f t="shared" si="46"/>
        <v>47</v>
      </c>
      <c r="F332" s="6">
        <v>3</v>
      </c>
      <c r="G332" s="6">
        <f t="shared" si="47"/>
        <v>11</v>
      </c>
      <c r="H332" s="6" t="str">
        <f t="shared" si="48"/>
        <v>11월 3주차</v>
      </c>
      <c r="I332" s="6" t="str">
        <f>H332&amp;" ("&amp;TEXT(C326,"m/dd")&amp;"~"&amp;TEXT(C332,"m/dd")&amp;")"</f>
        <v>11월 3주차 (11/14~11/20)</v>
      </c>
      <c r="J332" s="6" t="str">
        <f>A326&amp;"년 "&amp;WEEKNUM(C326,2)&amp;"주차"&amp;" ("&amp;TEXT(C326,"m/dd")&amp;"~"&amp;TEXT(C332,"m/dd")&amp;")"</f>
        <v>2022년 47주차 (11/14~11/20)</v>
      </c>
      <c r="K332" s="6">
        <f>YEAR(C326)</f>
        <v>2022</v>
      </c>
      <c r="L332" s="6">
        <f>WEEKNUM(C326,2)</f>
        <v>47</v>
      </c>
      <c r="AA332" s="25" t="s">
        <v>819</v>
      </c>
      <c r="AB332" s="9" t="s">
        <v>322</v>
      </c>
    </row>
    <row r="333" spans="1:28" x14ac:dyDescent="0.45">
      <c r="A333" s="6">
        <f t="shared" si="43"/>
        <v>2022</v>
      </c>
      <c r="B333" s="6">
        <f t="shared" si="44"/>
        <v>11</v>
      </c>
      <c r="C333" s="7">
        <v>44886</v>
      </c>
      <c r="D333" s="6">
        <f t="shared" si="45"/>
        <v>1</v>
      </c>
      <c r="E333" s="6">
        <f t="shared" si="46"/>
        <v>48</v>
      </c>
      <c r="F333" s="6">
        <v>4</v>
      </c>
      <c r="G333" s="6">
        <f t="shared" si="47"/>
        <v>11</v>
      </c>
      <c r="H333" s="6" t="str">
        <f t="shared" si="48"/>
        <v>11월 4주차</v>
      </c>
      <c r="I333" s="6" t="str">
        <f>H333&amp;" ("&amp;TEXT(C333,"m/dd")&amp;"~"&amp;TEXT(C339,"m/dd")&amp;")"</f>
        <v>11월 4주차 (11/21~11/27)</v>
      </c>
      <c r="J333" s="6" t="str">
        <f>A333&amp;"년 "&amp;WEEKNUM(C333,2)&amp;"주차"&amp;" ("&amp;TEXT(C333,"m/dd")&amp;"~"&amp;TEXT(C339,"m/dd")&amp;")"</f>
        <v>2022년 48주차 (11/21~11/27)</v>
      </c>
      <c r="K333" s="6">
        <f>YEAR(C333)</f>
        <v>2022</v>
      </c>
      <c r="L333" s="6">
        <f>WEEKNUM(C333,2)</f>
        <v>48</v>
      </c>
      <c r="AA333"/>
    </row>
    <row r="334" spans="1:28" x14ac:dyDescent="0.45">
      <c r="A334" s="6">
        <f t="shared" si="43"/>
        <v>2022</v>
      </c>
      <c r="B334" s="6">
        <f t="shared" si="44"/>
        <v>11</v>
      </c>
      <c r="C334" s="7">
        <v>44887</v>
      </c>
      <c r="D334" s="6">
        <f t="shared" si="45"/>
        <v>2</v>
      </c>
      <c r="E334" s="6">
        <f t="shared" si="46"/>
        <v>48</v>
      </c>
      <c r="F334" s="6">
        <v>4</v>
      </c>
      <c r="G334" s="6">
        <f t="shared" si="47"/>
        <v>11</v>
      </c>
      <c r="H334" s="6" t="str">
        <f t="shared" si="48"/>
        <v>11월 4주차</v>
      </c>
      <c r="I334" s="6" t="str">
        <f>H334&amp;" ("&amp;TEXT(C333,"m/dd")&amp;"~"&amp;TEXT(C339,"m/dd")&amp;")"</f>
        <v>11월 4주차 (11/21~11/27)</v>
      </c>
      <c r="J334" s="6" t="str">
        <f>A333&amp;"년 "&amp;WEEKNUM(C333,2)&amp;"주차"&amp;" ("&amp;TEXT(C333,"m/dd")&amp;"~"&amp;TEXT(C339,"m/dd")&amp;")"</f>
        <v>2022년 48주차 (11/21~11/27)</v>
      </c>
      <c r="K334" s="6">
        <f>YEAR(C333)</f>
        <v>2022</v>
      </c>
      <c r="L334" s="6">
        <f>WEEKNUM(C333,2)</f>
        <v>48</v>
      </c>
      <c r="AA334"/>
    </row>
    <row r="335" spans="1:28" x14ac:dyDescent="0.45">
      <c r="A335" s="6">
        <f t="shared" si="43"/>
        <v>2022</v>
      </c>
      <c r="B335" s="6">
        <f t="shared" si="44"/>
        <v>11</v>
      </c>
      <c r="C335" s="7">
        <v>44888</v>
      </c>
      <c r="D335" s="6">
        <f t="shared" si="45"/>
        <v>3</v>
      </c>
      <c r="E335" s="6">
        <f t="shared" si="46"/>
        <v>48</v>
      </c>
      <c r="F335" s="6">
        <v>4</v>
      </c>
      <c r="G335" s="6">
        <f t="shared" si="47"/>
        <v>11</v>
      </c>
      <c r="H335" s="6" t="str">
        <f t="shared" si="48"/>
        <v>11월 4주차</v>
      </c>
      <c r="I335" s="6" t="str">
        <f>H335&amp;" ("&amp;TEXT(C333,"m/dd")&amp;"~"&amp;TEXT(C339,"m/dd")&amp;")"</f>
        <v>11월 4주차 (11/21~11/27)</v>
      </c>
      <c r="J335" s="6" t="str">
        <f>A333&amp;"년 "&amp;WEEKNUM(C333,2)&amp;"주차"&amp;" ("&amp;TEXT(C333,"m/dd")&amp;"~"&amp;TEXT(C339,"m/dd")&amp;")"</f>
        <v>2022년 48주차 (11/21~11/27)</v>
      </c>
      <c r="K335" s="6">
        <f>YEAR(C333)</f>
        <v>2022</v>
      </c>
      <c r="L335" s="6">
        <f>WEEKNUM(C333,2)</f>
        <v>48</v>
      </c>
      <c r="AA335"/>
    </row>
    <row r="336" spans="1:28" x14ac:dyDescent="0.45">
      <c r="A336" s="6">
        <f t="shared" si="43"/>
        <v>2022</v>
      </c>
      <c r="B336" s="6">
        <f t="shared" si="44"/>
        <v>11</v>
      </c>
      <c r="C336" s="7">
        <v>44889</v>
      </c>
      <c r="D336" s="6">
        <f t="shared" si="45"/>
        <v>4</v>
      </c>
      <c r="E336" s="6">
        <f t="shared" si="46"/>
        <v>48</v>
      </c>
      <c r="F336" s="6">
        <v>4</v>
      </c>
      <c r="G336" s="6">
        <f t="shared" si="47"/>
        <v>11</v>
      </c>
      <c r="H336" s="6" t="str">
        <f t="shared" si="48"/>
        <v>11월 4주차</v>
      </c>
      <c r="I336" s="6" t="str">
        <f>H336&amp;" ("&amp;TEXT(C333,"m/dd")&amp;"~"&amp;TEXT(C339,"m/dd")&amp;")"</f>
        <v>11월 4주차 (11/21~11/27)</v>
      </c>
      <c r="J336" s="6" t="str">
        <f>A333&amp;"년 "&amp;WEEKNUM(C333,2)&amp;"주차"&amp;" ("&amp;TEXT(C333,"m/dd")&amp;"~"&amp;TEXT(C339,"m/dd")&amp;")"</f>
        <v>2022년 48주차 (11/21~11/27)</v>
      </c>
      <c r="K336" s="6">
        <f>YEAR(C333)</f>
        <v>2022</v>
      </c>
      <c r="L336" s="6">
        <f>WEEKNUM(C333,2)</f>
        <v>48</v>
      </c>
      <c r="AA336"/>
    </row>
    <row r="337" spans="1:27" x14ac:dyDescent="0.45">
      <c r="A337" s="6">
        <f t="shared" si="43"/>
        <v>2022</v>
      </c>
      <c r="B337" s="6">
        <f t="shared" si="44"/>
        <v>11</v>
      </c>
      <c r="C337" s="7">
        <v>44890</v>
      </c>
      <c r="D337" s="6">
        <f t="shared" si="45"/>
        <v>5</v>
      </c>
      <c r="E337" s="6">
        <f t="shared" si="46"/>
        <v>48</v>
      </c>
      <c r="F337" s="6">
        <v>4</v>
      </c>
      <c r="G337" s="6">
        <f t="shared" si="47"/>
        <v>11</v>
      </c>
      <c r="H337" s="6" t="str">
        <f t="shared" si="48"/>
        <v>11월 4주차</v>
      </c>
      <c r="I337" s="6" t="str">
        <f>H337&amp;" ("&amp;TEXT(C333,"m/dd")&amp;"~"&amp;TEXT(C339,"m/dd")&amp;")"</f>
        <v>11월 4주차 (11/21~11/27)</v>
      </c>
      <c r="J337" s="6" t="str">
        <f>A333&amp;"년 "&amp;WEEKNUM(C333,2)&amp;"주차"&amp;" ("&amp;TEXT(C333,"m/dd")&amp;"~"&amp;TEXT(C339,"m/dd")&amp;")"</f>
        <v>2022년 48주차 (11/21~11/27)</v>
      </c>
      <c r="K337" s="6">
        <f>YEAR(C333)</f>
        <v>2022</v>
      </c>
      <c r="L337" s="6">
        <f>WEEKNUM(C333,2)</f>
        <v>48</v>
      </c>
      <c r="AA337"/>
    </row>
    <row r="338" spans="1:27" x14ac:dyDescent="0.45">
      <c r="A338" s="6">
        <f t="shared" si="43"/>
        <v>2022</v>
      </c>
      <c r="B338" s="6">
        <f t="shared" si="44"/>
        <v>11</v>
      </c>
      <c r="C338" s="7">
        <v>44891</v>
      </c>
      <c r="D338" s="6">
        <f t="shared" si="45"/>
        <v>6</v>
      </c>
      <c r="E338" s="6">
        <f t="shared" si="46"/>
        <v>48</v>
      </c>
      <c r="F338" s="6">
        <v>4</v>
      </c>
      <c r="G338" s="6">
        <f t="shared" si="47"/>
        <v>11</v>
      </c>
      <c r="H338" s="6" t="str">
        <f t="shared" si="48"/>
        <v>11월 4주차</v>
      </c>
      <c r="I338" s="6" t="str">
        <f>H338&amp;" ("&amp;TEXT(C333,"m/dd")&amp;"~"&amp;TEXT(C339,"m/dd")&amp;")"</f>
        <v>11월 4주차 (11/21~11/27)</v>
      </c>
      <c r="J338" s="6" t="str">
        <f>A333&amp;"년 "&amp;WEEKNUM(C333,2)&amp;"주차"&amp;" ("&amp;TEXT(C333,"m/dd")&amp;"~"&amp;TEXT(C339,"m/dd")&amp;")"</f>
        <v>2022년 48주차 (11/21~11/27)</v>
      </c>
      <c r="K338" s="6">
        <f>YEAR(C333)</f>
        <v>2022</v>
      </c>
      <c r="L338" s="6">
        <f>WEEKNUM(C333,2)</f>
        <v>48</v>
      </c>
    </row>
    <row r="339" spans="1:27" x14ac:dyDescent="0.45">
      <c r="A339" s="6">
        <f t="shared" si="43"/>
        <v>2022</v>
      </c>
      <c r="B339" s="6">
        <f t="shared" si="44"/>
        <v>11</v>
      </c>
      <c r="C339" s="7">
        <v>44892</v>
      </c>
      <c r="D339" s="6">
        <f t="shared" si="45"/>
        <v>7</v>
      </c>
      <c r="E339" s="6">
        <f t="shared" si="46"/>
        <v>48</v>
      </c>
      <c r="F339" s="6">
        <v>4</v>
      </c>
      <c r="G339" s="6">
        <f t="shared" si="47"/>
        <v>11</v>
      </c>
      <c r="H339" s="6" t="str">
        <f t="shared" si="48"/>
        <v>11월 4주차</v>
      </c>
      <c r="I339" s="6" t="str">
        <f>H339&amp;" ("&amp;TEXT(C333,"m/dd")&amp;"~"&amp;TEXT(C339,"m/dd")&amp;")"</f>
        <v>11월 4주차 (11/21~11/27)</v>
      </c>
      <c r="J339" s="6" t="str">
        <f>A333&amp;"년 "&amp;WEEKNUM(C333,2)&amp;"주차"&amp;" ("&amp;TEXT(C333,"m/dd")&amp;"~"&amp;TEXT(C339,"m/dd")&amp;")"</f>
        <v>2022년 48주차 (11/21~11/27)</v>
      </c>
      <c r="K339" s="6">
        <f>YEAR(C333)</f>
        <v>2022</v>
      </c>
      <c r="L339" s="6">
        <f>WEEKNUM(C333,2)</f>
        <v>48</v>
      </c>
    </row>
    <row r="340" spans="1:27" x14ac:dyDescent="0.45">
      <c r="A340" s="6">
        <f t="shared" si="43"/>
        <v>2022</v>
      </c>
      <c r="B340" s="6">
        <f t="shared" si="44"/>
        <v>11</v>
      </c>
      <c r="C340" s="7">
        <v>44893</v>
      </c>
      <c r="D340" s="6">
        <f t="shared" si="45"/>
        <v>1</v>
      </c>
      <c r="E340" s="6">
        <f t="shared" si="46"/>
        <v>49</v>
      </c>
      <c r="F340" s="6">
        <v>1</v>
      </c>
      <c r="G340" s="6">
        <f t="shared" si="47"/>
        <v>11</v>
      </c>
      <c r="H340" s="6" t="str">
        <f t="shared" si="48"/>
        <v>11월 1주차</v>
      </c>
      <c r="I340" s="6" t="str">
        <f>H340&amp;" ("&amp;TEXT(C340,"m/dd")&amp;"~"&amp;TEXT(C346,"m/dd")&amp;")"</f>
        <v>11월 1주차 (11/28~12/04)</v>
      </c>
      <c r="J340" s="6" t="str">
        <f>A340&amp;"년 "&amp;WEEKNUM(C340,2)&amp;"주차"&amp;" ("&amp;TEXT(C340,"m/dd")&amp;"~"&amp;TEXT(C346,"m/dd")&amp;")"</f>
        <v>2022년 49주차 (11/28~12/04)</v>
      </c>
      <c r="K340" s="6">
        <f>YEAR(C340)</f>
        <v>2022</v>
      </c>
      <c r="L340" s="6">
        <f>WEEKNUM(C340,2)</f>
        <v>49</v>
      </c>
    </row>
    <row r="341" spans="1:27" x14ac:dyDescent="0.45">
      <c r="A341" s="6">
        <f t="shared" si="43"/>
        <v>2022</v>
      </c>
      <c r="B341" s="6">
        <f t="shared" si="44"/>
        <v>11</v>
      </c>
      <c r="C341" s="7">
        <v>44894</v>
      </c>
      <c r="D341" s="6">
        <f t="shared" si="45"/>
        <v>2</v>
      </c>
      <c r="E341" s="6">
        <f t="shared" si="46"/>
        <v>49</v>
      </c>
      <c r="F341" s="6">
        <v>1</v>
      </c>
      <c r="G341" s="6">
        <f t="shared" si="47"/>
        <v>11</v>
      </c>
      <c r="H341" s="6" t="str">
        <f t="shared" si="48"/>
        <v>11월 1주차</v>
      </c>
      <c r="I341" s="6" t="str">
        <f>H341&amp;" ("&amp;TEXT(C340,"m/dd")&amp;"~"&amp;TEXT(C346,"m/dd")&amp;")"</f>
        <v>11월 1주차 (11/28~12/04)</v>
      </c>
      <c r="J341" s="6" t="str">
        <f>A340&amp;"년 "&amp;WEEKNUM(C340,2)&amp;"주차"&amp;" ("&amp;TEXT(C340,"m/dd")&amp;"~"&amp;TEXT(C346,"m/dd")&amp;")"</f>
        <v>2022년 49주차 (11/28~12/04)</v>
      </c>
      <c r="K341" s="6">
        <f>YEAR(C340)</f>
        <v>2022</v>
      </c>
      <c r="L341" s="6">
        <f>WEEKNUM(C340,2)</f>
        <v>49</v>
      </c>
    </row>
    <row r="342" spans="1:27" x14ac:dyDescent="0.45">
      <c r="A342" s="6">
        <f t="shared" si="43"/>
        <v>2022</v>
      </c>
      <c r="B342" s="6">
        <f t="shared" si="44"/>
        <v>11</v>
      </c>
      <c r="C342" s="7">
        <v>44895</v>
      </c>
      <c r="D342" s="6">
        <f t="shared" si="45"/>
        <v>3</v>
      </c>
      <c r="E342" s="6">
        <f t="shared" si="46"/>
        <v>49</v>
      </c>
      <c r="F342" s="6">
        <v>1</v>
      </c>
      <c r="G342" s="6">
        <f t="shared" si="47"/>
        <v>11</v>
      </c>
      <c r="H342" s="6" t="str">
        <f t="shared" si="48"/>
        <v>11월 1주차</v>
      </c>
      <c r="I342" s="6" t="str">
        <f>H342&amp;" ("&amp;TEXT(C340,"m/dd")&amp;"~"&amp;TEXT(C346,"m/dd")&amp;")"</f>
        <v>11월 1주차 (11/28~12/04)</v>
      </c>
      <c r="J342" s="6" t="str">
        <f>A340&amp;"년 "&amp;WEEKNUM(C340,2)&amp;"주차"&amp;" ("&amp;TEXT(C340,"m/dd")&amp;"~"&amp;TEXT(C346,"m/dd")&amp;")"</f>
        <v>2022년 49주차 (11/28~12/04)</v>
      </c>
      <c r="K342" s="6">
        <f>YEAR(C340)</f>
        <v>2022</v>
      </c>
      <c r="L342" s="6">
        <f>WEEKNUM(C340,2)</f>
        <v>49</v>
      </c>
    </row>
    <row r="343" spans="1:27" x14ac:dyDescent="0.45">
      <c r="A343" s="6">
        <f t="shared" si="43"/>
        <v>2022</v>
      </c>
      <c r="B343" s="6">
        <f t="shared" si="44"/>
        <v>12</v>
      </c>
      <c r="C343" s="7">
        <v>44896</v>
      </c>
      <c r="D343" s="6">
        <f t="shared" si="45"/>
        <v>4</v>
      </c>
      <c r="E343" s="6">
        <f t="shared" si="46"/>
        <v>49</v>
      </c>
      <c r="F343" s="6">
        <v>1</v>
      </c>
      <c r="G343" s="6">
        <f t="shared" si="47"/>
        <v>12</v>
      </c>
      <c r="H343" s="6" t="str">
        <f t="shared" si="48"/>
        <v>12월 1주차</v>
      </c>
      <c r="I343" s="6" t="str">
        <f>H343&amp;" ("&amp;TEXT(C340,"m/dd")&amp;"~"&amp;TEXT(C346,"m/dd")&amp;")"</f>
        <v>12월 1주차 (11/28~12/04)</v>
      </c>
      <c r="J343" s="6" t="str">
        <f>A340&amp;"년 "&amp;WEEKNUM(C340,2)&amp;"주차"&amp;" ("&amp;TEXT(C340,"m/dd")&amp;"~"&amp;TEXT(C346,"m/dd")&amp;")"</f>
        <v>2022년 49주차 (11/28~12/04)</v>
      </c>
      <c r="K343" s="6">
        <f>YEAR(C340)</f>
        <v>2022</v>
      </c>
      <c r="L343" s="6">
        <f>WEEKNUM(C340,2)</f>
        <v>49</v>
      </c>
    </row>
    <row r="344" spans="1:27" x14ac:dyDescent="0.45">
      <c r="A344" s="6">
        <f t="shared" si="43"/>
        <v>2022</v>
      </c>
      <c r="B344" s="6">
        <f t="shared" si="44"/>
        <v>12</v>
      </c>
      <c r="C344" s="7">
        <v>44897</v>
      </c>
      <c r="D344" s="6">
        <f t="shared" si="45"/>
        <v>5</v>
      </c>
      <c r="E344" s="6">
        <f t="shared" si="46"/>
        <v>49</v>
      </c>
      <c r="F344" s="6">
        <v>1</v>
      </c>
      <c r="G344" s="6">
        <f t="shared" si="47"/>
        <v>12</v>
      </c>
      <c r="H344" s="6" t="str">
        <f t="shared" si="48"/>
        <v>12월 1주차</v>
      </c>
      <c r="I344" s="6" t="str">
        <f>H344&amp;" ("&amp;TEXT(C340,"m/dd")&amp;"~"&amp;TEXT(C346,"m/dd")&amp;")"</f>
        <v>12월 1주차 (11/28~12/04)</v>
      </c>
      <c r="J344" s="6" t="str">
        <f>A340&amp;"년 "&amp;WEEKNUM(C340,2)&amp;"주차"&amp;" ("&amp;TEXT(C340,"m/dd")&amp;"~"&amp;TEXT(C346,"m/dd")&amp;")"</f>
        <v>2022년 49주차 (11/28~12/04)</v>
      </c>
      <c r="K344" s="6">
        <f>YEAR(C340)</f>
        <v>2022</v>
      </c>
      <c r="L344" s="6">
        <f>WEEKNUM(C340,2)</f>
        <v>49</v>
      </c>
    </row>
    <row r="345" spans="1:27" x14ac:dyDescent="0.45">
      <c r="A345" s="6">
        <f t="shared" si="43"/>
        <v>2022</v>
      </c>
      <c r="B345" s="6">
        <f t="shared" si="44"/>
        <v>12</v>
      </c>
      <c r="C345" s="7">
        <v>44898</v>
      </c>
      <c r="D345" s="6">
        <f t="shared" si="45"/>
        <v>6</v>
      </c>
      <c r="E345" s="6">
        <f t="shared" si="46"/>
        <v>49</v>
      </c>
      <c r="F345" s="6">
        <v>1</v>
      </c>
      <c r="G345" s="6">
        <f t="shared" si="47"/>
        <v>12</v>
      </c>
      <c r="H345" s="6" t="str">
        <f t="shared" si="48"/>
        <v>12월 1주차</v>
      </c>
      <c r="I345" s="6" t="str">
        <f>H345&amp;" ("&amp;TEXT(C340,"m/dd")&amp;"~"&amp;TEXT(C346,"m/dd")&amp;")"</f>
        <v>12월 1주차 (11/28~12/04)</v>
      </c>
      <c r="J345" s="6" t="str">
        <f>A340&amp;"년 "&amp;WEEKNUM(C340,2)&amp;"주차"&amp;" ("&amp;TEXT(C340,"m/dd")&amp;"~"&amp;TEXT(C346,"m/dd")&amp;")"</f>
        <v>2022년 49주차 (11/28~12/04)</v>
      </c>
      <c r="K345" s="6">
        <f>YEAR(C340)</f>
        <v>2022</v>
      </c>
      <c r="L345" s="6">
        <f>WEEKNUM(C340,2)</f>
        <v>49</v>
      </c>
    </row>
    <row r="346" spans="1:27" x14ac:dyDescent="0.45">
      <c r="A346" s="6">
        <f t="shared" si="43"/>
        <v>2022</v>
      </c>
      <c r="B346" s="6">
        <f t="shared" si="44"/>
        <v>12</v>
      </c>
      <c r="C346" s="7">
        <v>44899</v>
      </c>
      <c r="D346" s="6">
        <f t="shared" si="45"/>
        <v>7</v>
      </c>
      <c r="E346" s="6">
        <f t="shared" si="46"/>
        <v>49</v>
      </c>
      <c r="F346" s="6">
        <v>1</v>
      </c>
      <c r="G346" s="6">
        <f t="shared" si="47"/>
        <v>12</v>
      </c>
      <c r="H346" s="6" t="str">
        <f t="shared" si="48"/>
        <v>12월 1주차</v>
      </c>
      <c r="I346" s="6" t="str">
        <f>H346&amp;" ("&amp;TEXT(C340,"m/dd")&amp;"~"&amp;TEXT(C346,"m/dd")&amp;")"</f>
        <v>12월 1주차 (11/28~12/04)</v>
      </c>
      <c r="J346" s="6" t="str">
        <f>A340&amp;"년 "&amp;WEEKNUM(C340,2)&amp;"주차"&amp;" ("&amp;TEXT(C340,"m/dd")&amp;"~"&amp;TEXT(C346,"m/dd")&amp;")"</f>
        <v>2022년 49주차 (11/28~12/04)</v>
      </c>
      <c r="K346" s="6">
        <f>YEAR(C340)</f>
        <v>2022</v>
      </c>
      <c r="L346" s="6">
        <f>WEEKNUM(C340,2)</f>
        <v>49</v>
      </c>
    </row>
    <row r="347" spans="1:27" x14ac:dyDescent="0.45">
      <c r="A347" s="6">
        <f t="shared" si="43"/>
        <v>2022</v>
      </c>
      <c r="B347" s="6">
        <f t="shared" si="44"/>
        <v>12</v>
      </c>
      <c r="C347" s="7">
        <v>44900</v>
      </c>
      <c r="D347" s="6">
        <f t="shared" si="45"/>
        <v>1</v>
      </c>
      <c r="E347" s="6">
        <f t="shared" si="46"/>
        <v>50</v>
      </c>
      <c r="F347" s="6">
        <v>2</v>
      </c>
      <c r="G347" s="6">
        <f t="shared" si="47"/>
        <v>12</v>
      </c>
      <c r="H347" s="6" t="str">
        <f t="shared" si="48"/>
        <v>12월 2주차</v>
      </c>
      <c r="I347" s="6" t="str">
        <f>H347&amp;" ("&amp;TEXT(C347,"m/dd")&amp;"~"&amp;TEXT(C353,"m/dd")&amp;")"</f>
        <v>12월 2주차 (12/05~12/11)</v>
      </c>
      <c r="J347" s="6" t="str">
        <f>A347&amp;"년 "&amp;WEEKNUM(C347,2)&amp;"주차"&amp;" ("&amp;TEXT(C347,"m/dd")&amp;"~"&amp;TEXT(C353,"m/dd")&amp;")"</f>
        <v>2022년 50주차 (12/05~12/11)</v>
      </c>
      <c r="K347" s="6">
        <f>YEAR(C347)</f>
        <v>2022</v>
      </c>
      <c r="L347" s="6">
        <f>WEEKNUM(C347,2)</f>
        <v>50</v>
      </c>
    </row>
    <row r="348" spans="1:27" x14ac:dyDescent="0.45">
      <c r="A348" s="6">
        <f t="shared" si="43"/>
        <v>2022</v>
      </c>
      <c r="B348" s="6">
        <f t="shared" si="44"/>
        <v>12</v>
      </c>
      <c r="C348" s="7">
        <v>44901</v>
      </c>
      <c r="D348" s="6">
        <f t="shared" si="45"/>
        <v>2</v>
      </c>
      <c r="E348" s="6">
        <f t="shared" si="46"/>
        <v>50</v>
      </c>
      <c r="F348" s="6">
        <v>2</v>
      </c>
      <c r="G348" s="6">
        <f t="shared" si="47"/>
        <v>12</v>
      </c>
      <c r="H348" s="6" t="str">
        <f t="shared" si="48"/>
        <v>12월 2주차</v>
      </c>
      <c r="I348" s="6" t="str">
        <f>H348&amp;" ("&amp;TEXT(C347,"m/dd")&amp;"~"&amp;TEXT(C353,"m/dd")&amp;")"</f>
        <v>12월 2주차 (12/05~12/11)</v>
      </c>
      <c r="J348" s="6" t="str">
        <f>A347&amp;"년 "&amp;WEEKNUM(C347,2)&amp;"주차"&amp;" ("&amp;TEXT(C347,"m/dd")&amp;"~"&amp;TEXT(C353,"m/dd")&amp;")"</f>
        <v>2022년 50주차 (12/05~12/11)</v>
      </c>
      <c r="K348" s="6">
        <f>YEAR(C347)</f>
        <v>2022</v>
      </c>
      <c r="L348" s="6">
        <f>WEEKNUM(C347,2)</f>
        <v>50</v>
      </c>
    </row>
    <row r="349" spans="1:27" x14ac:dyDescent="0.45">
      <c r="A349" s="6">
        <f t="shared" si="43"/>
        <v>2022</v>
      </c>
      <c r="B349" s="6">
        <f t="shared" si="44"/>
        <v>12</v>
      </c>
      <c r="C349" s="7">
        <v>44902</v>
      </c>
      <c r="D349" s="6">
        <f t="shared" si="45"/>
        <v>3</v>
      </c>
      <c r="E349" s="6">
        <f t="shared" si="46"/>
        <v>50</v>
      </c>
      <c r="F349" s="6">
        <v>2</v>
      </c>
      <c r="G349" s="6">
        <f t="shared" si="47"/>
        <v>12</v>
      </c>
      <c r="H349" s="6" t="str">
        <f t="shared" si="48"/>
        <v>12월 2주차</v>
      </c>
      <c r="I349" s="6" t="str">
        <f>H349&amp;" ("&amp;TEXT(C347,"m/dd")&amp;"~"&amp;TEXT(C353,"m/dd")&amp;")"</f>
        <v>12월 2주차 (12/05~12/11)</v>
      </c>
      <c r="J349" s="6" t="str">
        <f>A347&amp;"년 "&amp;WEEKNUM(C347,2)&amp;"주차"&amp;" ("&amp;TEXT(C347,"m/dd")&amp;"~"&amp;TEXT(C353,"m/dd")&amp;")"</f>
        <v>2022년 50주차 (12/05~12/11)</v>
      </c>
      <c r="K349" s="6">
        <f>YEAR(C347)</f>
        <v>2022</v>
      </c>
      <c r="L349" s="6">
        <f>WEEKNUM(C347,2)</f>
        <v>50</v>
      </c>
    </row>
    <row r="350" spans="1:27" x14ac:dyDescent="0.45">
      <c r="A350" s="6">
        <f t="shared" si="43"/>
        <v>2022</v>
      </c>
      <c r="B350" s="6">
        <f t="shared" si="44"/>
        <v>12</v>
      </c>
      <c r="C350" s="7">
        <v>44903</v>
      </c>
      <c r="D350" s="6">
        <f t="shared" si="45"/>
        <v>4</v>
      </c>
      <c r="E350" s="6">
        <f t="shared" si="46"/>
        <v>50</v>
      </c>
      <c r="F350" s="6">
        <v>2</v>
      </c>
      <c r="G350" s="6">
        <f t="shared" si="47"/>
        <v>12</v>
      </c>
      <c r="H350" s="6" t="str">
        <f t="shared" si="48"/>
        <v>12월 2주차</v>
      </c>
      <c r="I350" s="6" t="str">
        <f>H350&amp;" ("&amp;TEXT(C347,"m/dd")&amp;"~"&amp;TEXT(C353,"m/dd")&amp;")"</f>
        <v>12월 2주차 (12/05~12/11)</v>
      </c>
      <c r="J350" s="6" t="str">
        <f>A347&amp;"년 "&amp;WEEKNUM(C347,2)&amp;"주차"&amp;" ("&amp;TEXT(C347,"m/dd")&amp;"~"&amp;TEXT(C353,"m/dd")&amp;")"</f>
        <v>2022년 50주차 (12/05~12/11)</v>
      </c>
      <c r="K350" s="6">
        <f>YEAR(C347)</f>
        <v>2022</v>
      </c>
      <c r="L350" s="6">
        <f>WEEKNUM(C347,2)</f>
        <v>50</v>
      </c>
    </row>
    <row r="351" spans="1:27" x14ac:dyDescent="0.45">
      <c r="A351" s="6">
        <f t="shared" si="43"/>
        <v>2022</v>
      </c>
      <c r="B351" s="6">
        <f t="shared" si="44"/>
        <v>12</v>
      </c>
      <c r="C351" s="7">
        <v>44904</v>
      </c>
      <c r="D351" s="6">
        <f t="shared" si="45"/>
        <v>5</v>
      </c>
      <c r="E351" s="6">
        <f t="shared" si="46"/>
        <v>50</v>
      </c>
      <c r="F351" s="6">
        <v>2</v>
      </c>
      <c r="G351" s="6">
        <f t="shared" si="47"/>
        <v>12</v>
      </c>
      <c r="H351" s="6" t="str">
        <f t="shared" si="48"/>
        <v>12월 2주차</v>
      </c>
      <c r="I351" s="6" t="str">
        <f>H351&amp;" ("&amp;TEXT(C347,"m/dd")&amp;"~"&amp;TEXT(C353,"m/dd")&amp;")"</f>
        <v>12월 2주차 (12/05~12/11)</v>
      </c>
      <c r="J351" s="6" t="str">
        <f>A347&amp;"년 "&amp;WEEKNUM(C347,2)&amp;"주차"&amp;" ("&amp;TEXT(C347,"m/dd")&amp;"~"&amp;TEXT(C353,"m/dd")&amp;")"</f>
        <v>2022년 50주차 (12/05~12/11)</v>
      </c>
      <c r="K351" s="6">
        <f>YEAR(C347)</f>
        <v>2022</v>
      </c>
      <c r="L351" s="6">
        <f>WEEKNUM(C347,2)</f>
        <v>50</v>
      </c>
    </row>
    <row r="352" spans="1:27" x14ac:dyDescent="0.45">
      <c r="A352" s="6">
        <f t="shared" si="43"/>
        <v>2022</v>
      </c>
      <c r="B352" s="6">
        <f t="shared" si="44"/>
        <v>12</v>
      </c>
      <c r="C352" s="7">
        <v>44905</v>
      </c>
      <c r="D352" s="6">
        <f t="shared" si="45"/>
        <v>6</v>
      </c>
      <c r="E352" s="6">
        <f t="shared" si="46"/>
        <v>50</v>
      </c>
      <c r="F352" s="6">
        <v>2</v>
      </c>
      <c r="G352" s="6">
        <f t="shared" si="47"/>
        <v>12</v>
      </c>
      <c r="H352" s="6" t="str">
        <f t="shared" si="48"/>
        <v>12월 2주차</v>
      </c>
      <c r="I352" s="6" t="str">
        <f>H352&amp;" ("&amp;TEXT(C347,"m/dd")&amp;"~"&amp;TEXT(C353,"m/dd")&amp;")"</f>
        <v>12월 2주차 (12/05~12/11)</v>
      </c>
      <c r="J352" s="6" t="str">
        <f>A347&amp;"년 "&amp;WEEKNUM(C347,2)&amp;"주차"&amp;" ("&amp;TEXT(C347,"m/dd")&amp;"~"&amp;TEXT(C353,"m/dd")&amp;")"</f>
        <v>2022년 50주차 (12/05~12/11)</v>
      </c>
      <c r="K352" s="6">
        <f>YEAR(C347)</f>
        <v>2022</v>
      </c>
      <c r="L352" s="6">
        <f>WEEKNUM(C347,2)</f>
        <v>50</v>
      </c>
    </row>
    <row r="353" spans="1:12" x14ac:dyDescent="0.45">
      <c r="A353" s="6">
        <f t="shared" si="43"/>
        <v>2022</v>
      </c>
      <c r="B353" s="6">
        <f t="shared" si="44"/>
        <v>12</v>
      </c>
      <c r="C353" s="7">
        <v>44906</v>
      </c>
      <c r="D353" s="6">
        <f t="shared" si="45"/>
        <v>7</v>
      </c>
      <c r="E353" s="6">
        <f t="shared" si="46"/>
        <v>50</v>
      </c>
      <c r="F353" s="6">
        <v>2</v>
      </c>
      <c r="G353" s="6">
        <f t="shared" si="47"/>
        <v>12</v>
      </c>
      <c r="H353" s="6" t="str">
        <f t="shared" si="48"/>
        <v>12월 2주차</v>
      </c>
      <c r="I353" s="6" t="str">
        <f>H353&amp;" ("&amp;TEXT(C347,"m/dd")&amp;"~"&amp;TEXT(C353,"m/dd")&amp;")"</f>
        <v>12월 2주차 (12/05~12/11)</v>
      </c>
      <c r="J353" s="6" t="str">
        <f>A347&amp;"년 "&amp;WEEKNUM(C347,2)&amp;"주차"&amp;" ("&amp;TEXT(C347,"m/dd")&amp;"~"&amp;TEXT(C353,"m/dd")&amp;")"</f>
        <v>2022년 50주차 (12/05~12/11)</v>
      </c>
      <c r="K353" s="6">
        <f>YEAR(C347)</f>
        <v>2022</v>
      </c>
      <c r="L353" s="6">
        <f>WEEKNUM(C347,2)</f>
        <v>50</v>
      </c>
    </row>
    <row r="354" spans="1:12" x14ac:dyDescent="0.45">
      <c r="A354" s="6">
        <f t="shared" si="43"/>
        <v>2022</v>
      </c>
      <c r="B354" s="6">
        <f t="shared" si="44"/>
        <v>12</v>
      </c>
      <c r="C354" s="7">
        <v>44907</v>
      </c>
      <c r="D354" s="6">
        <f t="shared" si="45"/>
        <v>1</v>
      </c>
      <c r="E354" s="6">
        <f t="shared" si="46"/>
        <v>51</v>
      </c>
      <c r="F354" s="6">
        <v>3</v>
      </c>
      <c r="G354" s="6">
        <f t="shared" si="47"/>
        <v>12</v>
      </c>
      <c r="H354" s="6" t="str">
        <f t="shared" si="48"/>
        <v>12월 3주차</v>
      </c>
      <c r="I354" s="6" t="str">
        <f>H354&amp;" ("&amp;TEXT(C354,"m/dd")&amp;"~"&amp;TEXT(C360,"m/dd")&amp;")"</f>
        <v>12월 3주차 (12/12~12/18)</v>
      </c>
      <c r="J354" s="6" t="str">
        <f>A354&amp;"년 "&amp;WEEKNUM(C354,2)&amp;"주차"&amp;" ("&amp;TEXT(C354,"m/dd")&amp;"~"&amp;TEXT(C360,"m/dd")&amp;")"</f>
        <v>2022년 51주차 (12/12~12/18)</v>
      </c>
      <c r="K354" s="6">
        <f>YEAR(C354)</f>
        <v>2022</v>
      </c>
      <c r="L354" s="6">
        <f>WEEKNUM(C354,2)</f>
        <v>51</v>
      </c>
    </row>
    <row r="355" spans="1:12" x14ac:dyDescent="0.45">
      <c r="A355" s="6">
        <f t="shared" si="43"/>
        <v>2022</v>
      </c>
      <c r="B355" s="6">
        <f t="shared" si="44"/>
        <v>12</v>
      </c>
      <c r="C355" s="7">
        <v>44908</v>
      </c>
      <c r="D355" s="6">
        <f t="shared" si="45"/>
        <v>2</v>
      </c>
      <c r="E355" s="6">
        <f t="shared" si="46"/>
        <v>51</v>
      </c>
      <c r="F355" s="6">
        <v>3</v>
      </c>
      <c r="G355" s="6">
        <f t="shared" si="47"/>
        <v>12</v>
      </c>
      <c r="H355" s="6" t="str">
        <f t="shared" si="48"/>
        <v>12월 3주차</v>
      </c>
      <c r="I355" s="6" t="str">
        <f>H355&amp;" ("&amp;TEXT(C354,"m/dd")&amp;"~"&amp;TEXT(C360,"m/dd")&amp;")"</f>
        <v>12월 3주차 (12/12~12/18)</v>
      </c>
      <c r="J355" s="6" t="str">
        <f>A354&amp;"년 "&amp;WEEKNUM(C354,2)&amp;"주차"&amp;" ("&amp;TEXT(C354,"m/dd")&amp;"~"&amp;TEXT(C360,"m/dd")&amp;")"</f>
        <v>2022년 51주차 (12/12~12/18)</v>
      </c>
      <c r="K355" s="6">
        <f>YEAR(C354)</f>
        <v>2022</v>
      </c>
      <c r="L355" s="6">
        <f>WEEKNUM(C354,2)</f>
        <v>51</v>
      </c>
    </row>
    <row r="356" spans="1:12" x14ac:dyDescent="0.45">
      <c r="A356" s="6">
        <f t="shared" si="43"/>
        <v>2022</v>
      </c>
      <c r="B356" s="6">
        <f t="shared" si="44"/>
        <v>12</v>
      </c>
      <c r="C356" s="7">
        <v>44909</v>
      </c>
      <c r="D356" s="6">
        <f t="shared" si="45"/>
        <v>3</v>
      </c>
      <c r="E356" s="6">
        <f t="shared" si="46"/>
        <v>51</v>
      </c>
      <c r="F356" s="6">
        <v>3</v>
      </c>
      <c r="G356" s="6">
        <f t="shared" si="47"/>
        <v>12</v>
      </c>
      <c r="H356" s="6" t="str">
        <f t="shared" si="48"/>
        <v>12월 3주차</v>
      </c>
      <c r="I356" s="6" t="str">
        <f>H356&amp;" ("&amp;TEXT(C354,"m/dd")&amp;"~"&amp;TEXT(C360,"m/dd")&amp;")"</f>
        <v>12월 3주차 (12/12~12/18)</v>
      </c>
      <c r="J356" s="6" t="str">
        <f>A354&amp;"년 "&amp;WEEKNUM(C354,2)&amp;"주차"&amp;" ("&amp;TEXT(C354,"m/dd")&amp;"~"&amp;TEXT(C360,"m/dd")&amp;")"</f>
        <v>2022년 51주차 (12/12~12/18)</v>
      </c>
      <c r="K356" s="6">
        <f>YEAR(C354)</f>
        <v>2022</v>
      </c>
      <c r="L356" s="6">
        <f>WEEKNUM(C354,2)</f>
        <v>51</v>
      </c>
    </row>
    <row r="357" spans="1:12" x14ac:dyDescent="0.45">
      <c r="A357" s="6">
        <f t="shared" si="43"/>
        <v>2022</v>
      </c>
      <c r="B357" s="6">
        <f t="shared" si="44"/>
        <v>12</v>
      </c>
      <c r="C357" s="7">
        <v>44910</v>
      </c>
      <c r="D357" s="6">
        <f t="shared" si="45"/>
        <v>4</v>
      </c>
      <c r="E357" s="6">
        <f t="shared" si="46"/>
        <v>51</v>
      </c>
      <c r="F357" s="6">
        <v>3</v>
      </c>
      <c r="G357" s="6">
        <f t="shared" si="47"/>
        <v>12</v>
      </c>
      <c r="H357" s="6" t="str">
        <f t="shared" si="48"/>
        <v>12월 3주차</v>
      </c>
      <c r="I357" s="6" t="str">
        <f>H357&amp;" ("&amp;TEXT(C354,"m/dd")&amp;"~"&amp;TEXT(C360,"m/dd")&amp;")"</f>
        <v>12월 3주차 (12/12~12/18)</v>
      </c>
      <c r="J357" s="6" t="str">
        <f>A354&amp;"년 "&amp;WEEKNUM(C354,2)&amp;"주차"&amp;" ("&amp;TEXT(C354,"m/dd")&amp;"~"&amp;TEXT(C360,"m/dd")&amp;")"</f>
        <v>2022년 51주차 (12/12~12/18)</v>
      </c>
      <c r="K357" s="6">
        <f>YEAR(C354)</f>
        <v>2022</v>
      </c>
      <c r="L357" s="6">
        <f>WEEKNUM(C354,2)</f>
        <v>51</v>
      </c>
    </row>
    <row r="358" spans="1:12" x14ac:dyDescent="0.45">
      <c r="A358" s="6">
        <f t="shared" si="43"/>
        <v>2022</v>
      </c>
      <c r="B358" s="6">
        <f t="shared" si="44"/>
        <v>12</v>
      </c>
      <c r="C358" s="7">
        <v>44911</v>
      </c>
      <c r="D358" s="6">
        <f t="shared" si="45"/>
        <v>5</v>
      </c>
      <c r="E358" s="6">
        <f t="shared" si="46"/>
        <v>51</v>
      </c>
      <c r="F358" s="6">
        <v>3</v>
      </c>
      <c r="G358" s="6">
        <f t="shared" si="47"/>
        <v>12</v>
      </c>
      <c r="H358" s="6" t="str">
        <f t="shared" si="48"/>
        <v>12월 3주차</v>
      </c>
      <c r="I358" s="6" t="str">
        <f>H358&amp;" ("&amp;TEXT(C354,"m/dd")&amp;"~"&amp;TEXT(C360,"m/dd")&amp;")"</f>
        <v>12월 3주차 (12/12~12/18)</v>
      </c>
      <c r="J358" s="6" t="str">
        <f>A354&amp;"년 "&amp;WEEKNUM(C354,2)&amp;"주차"&amp;" ("&amp;TEXT(C354,"m/dd")&amp;"~"&amp;TEXT(C360,"m/dd")&amp;")"</f>
        <v>2022년 51주차 (12/12~12/18)</v>
      </c>
      <c r="K358" s="6">
        <f>YEAR(C354)</f>
        <v>2022</v>
      </c>
      <c r="L358" s="6">
        <f>WEEKNUM(C354,2)</f>
        <v>51</v>
      </c>
    </row>
    <row r="359" spans="1:12" x14ac:dyDescent="0.45">
      <c r="A359" s="6">
        <f t="shared" si="43"/>
        <v>2022</v>
      </c>
      <c r="B359" s="6">
        <f t="shared" si="44"/>
        <v>12</v>
      </c>
      <c r="C359" s="7">
        <v>44912</v>
      </c>
      <c r="D359" s="6">
        <f t="shared" si="45"/>
        <v>6</v>
      </c>
      <c r="E359" s="6">
        <f t="shared" si="46"/>
        <v>51</v>
      </c>
      <c r="F359" s="6">
        <v>3</v>
      </c>
      <c r="G359" s="6">
        <f t="shared" si="47"/>
        <v>12</v>
      </c>
      <c r="H359" s="6" t="str">
        <f t="shared" si="48"/>
        <v>12월 3주차</v>
      </c>
      <c r="I359" s="6" t="str">
        <f>H359&amp;" ("&amp;TEXT(C354,"m/dd")&amp;"~"&amp;TEXT(C360,"m/dd")&amp;")"</f>
        <v>12월 3주차 (12/12~12/18)</v>
      </c>
      <c r="J359" s="6" t="str">
        <f>A354&amp;"년 "&amp;WEEKNUM(C354,2)&amp;"주차"&amp;" ("&amp;TEXT(C354,"m/dd")&amp;"~"&amp;TEXT(C360,"m/dd")&amp;")"</f>
        <v>2022년 51주차 (12/12~12/18)</v>
      </c>
      <c r="K359" s="6">
        <f>YEAR(C354)</f>
        <v>2022</v>
      </c>
      <c r="L359" s="6">
        <f>WEEKNUM(C354,2)</f>
        <v>51</v>
      </c>
    </row>
    <row r="360" spans="1:12" x14ac:dyDescent="0.45">
      <c r="A360" s="6">
        <f t="shared" si="43"/>
        <v>2022</v>
      </c>
      <c r="B360" s="6">
        <f t="shared" si="44"/>
        <v>12</v>
      </c>
      <c r="C360" s="7">
        <v>44913</v>
      </c>
      <c r="D360" s="6">
        <f t="shared" si="45"/>
        <v>7</v>
      </c>
      <c r="E360" s="6">
        <f t="shared" si="46"/>
        <v>51</v>
      </c>
      <c r="F360" s="6">
        <v>3</v>
      </c>
      <c r="G360" s="6">
        <f t="shared" si="47"/>
        <v>12</v>
      </c>
      <c r="H360" s="6" t="str">
        <f t="shared" si="48"/>
        <v>12월 3주차</v>
      </c>
      <c r="I360" s="6" t="str">
        <f>H360&amp;" ("&amp;TEXT(C354,"m/dd")&amp;"~"&amp;TEXT(C360,"m/dd")&amp;")"</f>
        <v>12월 3주차 (12/12~12/18)</v>
      </c>
      <c r="J360" s="6" t="str">
        <f>A354&amp;"년 "&amp;WEEKNUM(C354,2)&amp;"주차"&amp;" ("&amp;TEXT(C354,"m/dd")&amp;"~"&amp;TEXT(C360,"m/dd")&amp;")"</f>
        <v>2022년 51주차 (12/12~12/18)</v>
      </c>
      <c r="K360" s="6">
        <f>YEAR(C354)</f>
        <v>2022</v>
      </c>
      <c r="L360" s="6">
        <f>WEEKNUM(C354,2)</f>
        <v>51</v>
      </c>
    </row>
    <row r="361" spans="1:12" x14ac:dyDescent="0.45">
      <c r="A361" s="6">
        <f t="shared" si="43"/>
        <v>2022</v>
      </c>
      <c r="B361" s="6">
        <f t="shared" si="44"/>
        <v>12</v>
      </c>
      <c r="C361" s="7">
        <v>44914</v>
      </c>
      <c r="D361" s="6">
        <f t="shared" si="45"/>
        <v>1</v>
      </c>
      <c r="E361" s="6">
        <f t="shared" si="46"/>
        <v>52</v>
      </c>
      <c r="F361" s="6">
        <v>4</v>
      </c>
      <c r="G361" s="6">
        <f t="shared" si="47"/>
        <v>12</v>
      </c>
      <c r="H361" s="6" t="str">
        <f t="shared" si="48"/>
        <v>12월 4주차</v>
      </c>
      <c r="I361" s="6" t="str">
        <f>H361&amp;" ("&amp;TEXT(C361,"m/dd")&amp;"~"&amp;TEXT(C367,"m/dd")&amp;")"</f>
        <v>12월 4주차 (12/19~12/25)</v>
      </c>
      <c r="J361" s="6" t="str">
        <f>A361&amp;"년 "&amp;WEEKNUM(C361,2)&amp;"주차"&amp;" ("&amp;TEXT(C361,"m/dd")&amp;"~"&amp;TEXT(C367,"m/dd")&amp;")"</f>
        <v>2022년 52주차 (12/19~12/25)</v>
      </c>
      <c r="K361" s="6">
        <f>YEAR(C361)</f>
        <v>2022</v>
      </c>
      <c r="L361" s="6">
        <f>WEEKNUM(C361,2)</f>
        <v>52</v>
      </c>
    </row>
    <row r="362" spans="1:12" x14ac:dyDescent="0.45">
      <c r="A362" s="6">
        <f t="shared" si="43"/>
        <v>2022</v>
      </c>
      <c r="B362" s="6">
        <f t="shared" si="44"/>
        <v>12</v>
      </c>
      <c r="C362" s="7">
        <v>44915</v>
      </c>
      <c r="D362" s="6">
        <f t="shared" si="45"/>
        <v>2</v>
      </c>
      <c r="E362" s="6">
        <f t="shared" si="46"/>
        <v>52</v>
      </c>
      <c r="F362" s="6">
        <v>4</v>
      </c>
      <c r="G362" s="6">
        <f t="shared" si="47"/>
        <v>12</v>
      </c>
      <c r="H362" s="6" t="str">
        <f t="shared" si="48"/>
        <v>12월 4주차</v>
      </c>
      <c r="I362" s="6" t="str">
        <f>H362&amp;" ("&amp;TEXT(C361,"m/dd")&amp;"~"&amp;TEXT(C367,"m/dd")&amp;")"</f>
        <v>12월 4주차 (12/19~12/25)</v>
      </c>
      <c r="J362" s="6" t="str">
        <f>A361&amp;"년 "&amp;WEEKNUM(C361,2)&amp;"주차"&amp;" ("&amp;TEXT(C361,"m/dd")&amp;"~"&amp;TEXT(C367,"m/dd")&amp;")"</f>
        <v>2022년 52주차 (12/19~12/25)</v>
      </c>
      <c r="K362" s="6">
        <f>YEAR(C361)</f>
        <v>2022</v>
      </c>
      <c r="L362" s="6">
        <f>WEEKNUM(C361,2)</f>
        <v>52</v>
      </c>
    </row>
    <row r="363" spans="1:12" x14ac:dyDescent="0.45">
      <c r="A363" s="6">
        <f t="shared" si="43"/>
        <v>2022</v>
      </c>
      <c r="B363" s="6">
        <f t="shared" si="44"/>
        <v>12</v>
      </c>
      <c r="C363" s="7">
        <v>44916</v>
      </c>
      <c r="D363" s="6">
        <f t="shared" si="45"/>
        <v>3</v>
      </c>
      <c r="E363" s="6">
        <f t="shared" si="46"/>
        <v>52</v>
      </c>
      <c r="F363" s="6">
        <v>4</v>
      </c>
      <c r="G363" s="6">
        <f t="shared" si="47"/>
        <v>12</v>
      </c>
      <c r="H363" s="6" t="str">
        <f t="shared" si="48"/>
        <v>12월 4주차</v>
      </c>
      <c r="I363" s="6" t="str">
        <f>H363&amp;" ("&amp;TEXT(C361,"m/dd")&amp;"~"&amp;TEXT(C367,"m/dd")&amp;")"</f>
        <v>12월 4주차 (12/19~12/25)</v>
      </c>
      <c r="J363" s="6" t="str">
        <f>A361&amp;"년 "&amp;WEEKNUM(C361,2)&amp;"주차"&amp;" ("&amp;TEXT(C361,"m/dd")&amp;"~"&amp;TEXT(C367,"m/dd")&amp;")"</f>
        <v>2022년 52주차 (12/19~12/25)</v>
      </c>
      <c r="K363" s="6">
        <f>YEAR(C361)</f>
        <v>2022</v>
      </c>
      <c r="L363" s="6">
        <f>WEEKNUM(C361,2)</f>
        <v>52</v>
      </c>
    </row>
    <row r="364" spans="1:12" x14ac:dyDescent="0.45">
      <c r="A364" s="6">
        <f t="shared" si="43"/>
        <v>2022</v>
      </c>
      <c r="B364" s="6">
        <f t="shared" si="44"/>
        <v>12</v>
      </c>
      <c r="C364" s="7">
        <v>44917</v>
      </c>
      <c r="D364" s="6">
        <f t="shared" si="45"/>
        <v>4</v>
      </c>
      <c r="E364" s="6">
        <f t="shared" si="46"/>
        <v>52</v>
      </c>
      <c r="F364" s="6">
        <v>4</v>
      </c>
      <c r="G364" s="6">
        <f t="shared" si="47"/>
        <v>12</v>
      </c>
      <c r="H364" s="6" t="str">
        <f t="shared" si="48"/>
        <v>12월 4주차</v>
      </c>
      <c r="I364" s="6" t="str">
        <f>H364&amp;" ("&amp;TEXT(C361,"m/dd")&amp;"~"&amp;TEXT(C367,"m/dd")&amp;")"</f>
        <v>12월 4주차 (12/19~12/25)</v>
      </c>
      <c r="J364" s="6" t="str">
        <f>A361&amp;"년 "&amp;WEEKNUM(C361,2)&amp;"주차"&amp;" ("&amp;TEXT(C361,"m/dd")&amp;"~"&amp;TEXT(C367,"m/dd")&amp;")"</f>
        <v>2022년 52주차 (12/19~12/25)</v>
      </c>
      <c r="K364" s="6">
        <f>YEAR(C361)</f>
        <v>2022</v>
      </c>
      <c r="L364" s="6">
        <f>WEEKNUM(C361,2)</f>
        <v>52</v>
      </c>
    </row>
    <row r="365" spans="1:12" x14ac:dyDescent="0.45">
      <c r="A365" s="6">
        <f t="shared" si="43"/>
        <v>2022</v>
      </c>
      <c r="B365" s="6">
        <f t="shared" si="44"/>
        <v>12</v>
      </c>
      <c r="C365" s="7">
        <v>44918</v>
      </c>
      <c r="D365" s="6">
        <f t="shared" si="45"/>
        <v>5</v>
      </c>
      <c r="E365" s="6">
        <f t="shared" si="46"/>
        <v>52</v>
      </c>
      <c r="F365" s="6">
        <v>4</v>
      </c>
      <c r="G365" s="6">
        <f t="shared" si="47"/>
        <v>12</v>
      </c>
      <c r="H365" s="6" t="str">
        <f t="shared" si="48"/>
        <v>12월 4주차</v>
      </c>
      <c r="I365" s="6" t="str">
        <f>H365&amp;" ("&amp;TEXT(C361,"m/dd")&amp;"~"&amp;TEXT(C367,"m/dd")&amp;")"</f>
        <v>12월 4주차 (12/19~12/25)</v>
      </c>
      <c r="J365" s="6" t="str">
        <f>A361&amp;"년 "&amp;WEEKNUM(C361,2)&amp;"주차"&amp;" ("&amp;TEXT(C361,"m/dd")&amp;"~"&amp;TEXT(C367,"m/dd")&amp;")"</f>
        <v>2022년 52주차 (12/19~12/25)</v>
      </c>
      <c r="K365" s="6">
        <f>YEAR(C361)</f>
        <v>2022</v>
      </c>
      <c r="L365" s="6">
        <f>WEEKNUM(C361,2)</f>
        <v>52</v>
      </c>
    </row>
    <row r="366" spans="1:12" x14ac:dyDescent="0.45">
      <c r="A366" s="6">
        <f t="shared" si="43"/>
        <v>2022</v>
      </c>
      <c r="B366" s="6">
        <f t="shared" si="44"/>
        <v>12</v>
      </c>
      <c r="C366" s="7">
        <v>44919</v>
      </c>
      <c r="D366" s="6">
        <f t="shared" si="45"/>
        <v>6</v>
      </c>
      <c r="E366" s="6">
        <f t="shared" si="46"/>
        <v>52</v>
      </c>
      <c r="F366" s="6">
        <v>4</v>
      </c>
      <c r="G366" s="6">
        <f t="shared" si="47"/>
        <v>12</v>
      </c>
      <c r="H366" s="6" t="str">
        <f t="shared" si="48"/>
        <v>12월 4주차</v>
      </c>
      <c r="I366" s="6" t="str">
        <f>H366&amp;" ("&amp;TEXT(C361,"m/dd")&amp;"~"&amp;TEXT(C367,"m/dd")&amp;")"</f>
        <v>12월 4주차 (12/19~12/25)</v>
      </c>
      <c r="J366" s="6" t="str">
        <f>A361&amp;"년 "&amp;WEEKNUM(C361,2)&amp;"주차"&amp;" ("&amp;TEXT(C361,"m/dd")&amp;"~"&amp;TEXT(C367,"m/dd")&amp;")"</f>
        <v>2022년 52주차 (12/19~12/25)</v>
      </c>
      <c r="K366" s="6">
        <f>YEAR(C361)</f>
        <v>2022</v>
      </c>
      <c r="L366" s="6">
        <f>WEEKNUM(C361,2)</f>
        <v>52</v>
      </c>
    </row>
    <row r="367" spans="1:12" x14ac:dyDescent="0.45">
      <c r="A367" s="6">
        <f t="shared" si="43"/>
        <v>2022</v>
      </c>
      <c r="B367" s="6">
        <f t="shared" si="44"/>
        <v>12</v>
      </c>
      <c r="C367" s="7">
        <v>44920</v>
      </c>
      <c r="D367" s="6">
        <f t="shared" si="45"/>
        <v>7</v>
      </c>
      <c r="E367" s="6">
        <f t="shared" si="46"/>
        <v>52</v>
      </c>
      <c r="F367" s="6">
        <v>4</v>
      </c>
      <c r="G367" s="6">
        <f t="shared" si="47"/>
        <v>12</v>
      </c>
      <c r="H367" s="6" t="str">
        <f t="shared" si="48"/>
        <v>12월 4주차</v>
      </c>
      <c r="I367" s="6" t="str">
        <f>H367&amp;" ("&amp;TEXT(C361,"m/dd")&amp;"~"&amp;TEXT(C367,"m/dd")&amp;")"</f>
        <v>12월 4주차 (12/19~12/25)</v>
      </c>
      <c r="J367" s="6" t="str">
        <f>A361&amp;"년 "&amp;WEEKNUM(C361,2)&amp;"주차"&amp;" ("&amp;TEXT(C361,"m/dd")&amp;"~"&amp;TEXT(C367,"m/dd")&amp;")"</f>
        <v>2022년 52주차 (12/19~12/25)</v>
      </c>
      <c r="K367" s="6">
        <f>YEAR(C361)</f>
        <v>2022</v>
      </c>
      <c r="L367" s="6">
        <f>WEEKNUM(C361,2)</f>
        <v>52</v>
      </c>
    </row>
    <row r="368" spans="1:12" x14ac:dyDescent="0.45">
      <c r="A368" s="6">
        <f t="shared" si="43"/>
        <v>2022</v>
      </c>
      <c r="B368" s="6">
        <f t="shared" si="44"/>
        <v>12</v>
      </c>
      <c r="C368" s="7">
        <v>44921</v>
      </c>
      <c r="D368" s="6">
        <f t="shared" si="45"/>
        <v>1</v>
      </c>
      <c r="E368" s="6">
        <f t="shared" si="46"/>
        <v>53</v>
      </c>
      <c r="F368" s="6">
        <v>5</v>
      </c>
      <c r="G368" s="6">
        <f t="shared" si="47"/>
        <v>12</v>
      </c>
      <c r="H368" s="6" t="str">
        <f t="shared" si="48"/>
        <v>12월 5주차</v>
      </c>
      <c r="I368" s="6" t="str">
        <f>H368&amp;" ("&amp;TEXT(C368,"m/dd")&amp;"~"&amp;TEXT(C374,"m/dd")&amp;")"</f>
        <v>12월 5주차 (12/26~1/01)</v>
      </c>
      <c r="J368" s="6" t="str">
        <f>A368&amp;"년 "&amp;WEEKNUM(C368,2)&amp;"주차"&amp;" ("&amp;TEXT(C368,"m/dd")&amp;"~"&amp;TEXT(C374,"m/dd")&amp;")"</f>
        <v>2022년 53주차 (12/26~1/01)</v>
      </c>
      <c r="K368" s="6">
        <f>YEAR(C368)</f>
        <v>2022</v>
      </c>
      <c r="L368" s="6">
        <f>WEEKNUM(C368,2)</f>
        <v>53</v>
      </c>
    </row>
    <row r="369" spans="1:12" x14ac:dyDescent="0.45">
      <c r="A369" s="6">
        <f t="shared" si="43"/>
        <v>2022</v>
      </c>
      <c r="B369" s="6">
        <f t="shared" si="44"/>
        <v>12</v>
      </c>
      <c r="C369" s="7">
        <v>44922</v>
      </c>
      <c r="D369" s="6">
        <f t="shared" si="45"/>
        <v>2</v>
      </c>
      <c r="E369" s="6">
        <f t="shared" si="46"/>
        <v>53</v>
      </c>
      <c r="F369" s="6">
        <v>5</v>
      </c>
      <c r="G369" s="6">
        <f t="shared" si="47"/>
        <v>12</v>
      </c>
      <c r="H369" s="6" t="str">
        <f t="shared" si="48"/>
        <v>12월 5주차</v>
      </c>
      <c r="I369" s="6" t="str">
        <f>H369&amp;" ("&amp;TEXT(C368,"m/dd")&amp;"~"&amp;TEXT(C374,"m/dd")&amp;")"</f>
        <v>12월 5주차 (12/26~1/01)</v>
      </c>
      <c r="J369" s="6" t="str">
        <f>A368&amp;"년 "&amp;WEEKNUM(C368,2)&amp;"주차"&amp;" ("&amp;TEXT(C368,"m/dd")&amp;"~"&amp;TEXT(C374,"m/dd")&amp;")"</f>
        <v>2022년 53주차 (12/26~1/01)</v>
      </c>
      <c r="K369" s="6">
        <f>YEAR(C368)</f>
        <v>2022</v>
      </c>
      <c r="L369" s="6">
        <f>WEEKNUM(C368,2)</f>
        <v>53</v>
      </c>
    </row>
    <row r="370" spans="1:12" x14ac:dyDescent="0.45">
      <c r="A370" s="6">
        <f t="shared" si="43"/>
        <v>2022</v>
      </c>
      <c r="B370" s="6">
        <f t="shared" si="44"/>
        <v>12</v>
      </c>
      <c r="C370" s="7">
        <v>44923</v>
      </c>
      <c r="D370" s="6">
        <f t="shared" si="45"/>
        <v>3</v>
      </c>
      <c r="E370" s="6">
        <f t="shared" si="46"/>
        <v>53</v>
      </c>
      <c r="F370" s="6">
        <v>5</v>
      </c>
      <c r="G370" s="6">
        <f t="shared" si="47"/>
        <v>12</v>
      </c>
      <c r="H370" s="6" t="str">
        <f t="shared" si="48"/>
        <v>12월 5주차</v>
      </c>
      <c r="I370" s="6" t="str">
        <f>H370&amp;" ("&amp;TEXT(C368,"m/dd")&amp;"~"&amp;TEXT(C374,"m/dd")&amp;")"</f>
        <v>12월 5주차 (12/26~1/01)</v>
      </c>
      <c r="J370" s="6" t="str">
        <f>A368&amp;"년 "&amp;WEEKNUM(C368,2)&amp;"주차"&amp;" ("&amp;TEXT(C368,"m/dd")&amp;"~"&amp;TEXT(C374,"m/dd")&amp;")"</f>
        <v>2022년 53주차 (12/26~1/01)</v>
      </c>
      <c r="K370" s="6">
        <f>YEAR(C368)</f>
        <v>2022</v>
      </c>
      <c r="L370" s="6">
        <f>WEEKNUM(C368,2)</f>
        <v>53</v>
      </c>
    </row>
    <row r="371" spans="1:12" x14ac:dyDescent="0.45">
      <c r="A371" s="6">
        <f t="shared" si="43"/>
        <v>2022</v>
      </c>
      <c r="B371" s="6">
        <f t="shared" si="44"/>
        <v>12</v>
      </c>
      <c r="C371" s="7">
        <v>44924</v>
      </c>
      <c r="D371" s="6">
        <f>WEEKDAY(C371,2)</f>
        <v>4</v>
      </c>
      <c r="E371" s="6">
        <f t="shared" si="46"/>
        <v>53</v>
      </c>
      <c r="F371" s="6">
        <v>5</v>
      </c>
      <c r="G371" s="6">
        <f t="shared" si="47"/>
        <v>12</v>
      </c>
      <c r="H371" s="6" t="str">
        <f t="shared" si="48"/>
        <v>12월 5주차</v>
      </c>
      <c r="I371" s="6" t="str">
        <f>H371&amp;" ("&amp;TEXT(C368,"m/dd")&amp;"~"&amp;TEXT(C374,"m/dd")&amp;")"</f>
        <v>12월 5주차 (12/26~1/01)</v>
      </c>
      <c r="J371" s="6" t="str">
        <f>A368&amp;"년 "&amp;WEEKNUM(C368,2)&amp;"주차"&amp;" ("&amp;TEXT(C368,"m/dd")&amp;"~"&amp;TEXT(C374,"m/dd")&amp;")"</f>
        <v>2022년 53주차 (12/26~1/01)</v>
      </c>
      <c r="K371" s="6">
        <f>YEAR(C368)</f>
        <v>2022</v>
      </c>
      <c r="L371" s="6">
        <f>WEEKNUM(C368,2)</f>
        <v>53</v>
      </c>
    </row>
    <row r="372" spans="1:12" x14ac:dyDescent="0.45">
      <c r="A372" s="6">
        <f t="shared" si="43"/>
        <v>2022</v>
      </c>
      <c r="B372" s="6">
        <f t="shared" si="44"/>
        <v>12</v>
      </c>
      <c r="C372" s="7">
        <v>44925</v>
      </c>
      <c r="D372" s="6">
        <f>WEEKDAY(C372,2)</f>
        <v>5</v>
      </c>
      <c r="E372" s="6">
        <f>WEEKNUM(C372,2)</f>
        <v>53</v>
      </c>
      <c r="F372" s="6">
        <v>5</v>
      </c>
      <c r="G372" s="6">
        <f t="shared" si="47"/>
        <v>12</v>
      </c>
      <c r="H372" s="6" t="str">
        <f t="shared" si="48"/>
        <v>12월 5주차</v>
      </c>
      <c r="I372" s="6" t="str">
        <f>H372&amp;" ("&amp;TEXT(C368,"m/dd")&amp;"~"&amp;TEXT(C374,"m/dd")&amp;")"</f>
        <v>12월 5주차 (12/26~1/01)</v>
      </c>
      <c r="J372" s="6" t="str">
        <f>A368&amp;"년 "&amp;WEEKNUM(C368,2)&amp;"주차"&amp;" ("&amp;TEXT(C368,"m/dd")&amp;"~"&amp;TEXT(C374,"m/dd")&amp;")"</f>
        <v>2022년 53주차 (12/26~1/01)</v>
      </c>
      <c r="K372" s="6">
        <f>YEAR(C368)</f>
        <v>2022</v>
      </c>
      <c r="L372" s="6">
        <f>WEEKNUM(C368,2)</f>
        <v>53</v>
      </c>
    </row>
    <row r="373" spans="1:12" x14ac:dyDescent="0.45">
      <c r="A373" s="6">
        <f t="shared" si="43"/>
        <v>2022</v>
      </c>
      <c r="B373" s="6">
        <f t="shared" si="44"/>
        <v>12</v>
      </c>
      <c r="C373" s="7">
        <v>44926</v>
      </c>
      <c r="D373" s="6">
        <f>WEEKDAY(C373,2)</f>
        <v>6</v>
      </c>
      <c r="E373" s="6">
        <f>WEEKNUM(C373,2)</f>
        <v>53</v>
      </c>
      <c r="F373" s="6">
        <v>5</v>
      </c>
      <c r="G373" s="6">
        <f t="shared" si="47"/>
        <v>12</v>
      </c>
      <c r="H373" s="6" t="str">
        <f t="shared" si="48"/>
        <v>12월 5주차</v>
      </c>
      <c r="I373" s="6" t="str">
        <f>H373&amp;" ("&amp;TEXT(C368,"m/dd")&amp;"~"&amp;TEXT(C374,"m/dd")&amp;")"</f>
        <v>12월 5주차 (12/26~1/01)</v>
      </c>
      <c r="J373" s="6" t="str">
        <f>A368&amp;"년 "&amp;WEEKNUM(C368,2)&amp;"주차"&amp;" ("&amp;TEXT(C368,"m/dd")&amp;"~"&amp;TEXT(C374,"m/dd")&amp;")"</f>
        <v>2022년 53주차 (12/26~1/01)</v>
      </c>
      <c r="K373" s="6">
        <f>YEAR(C368)</f>
        <v>2022</v>
      </c>
      <c r="L373" s="6">
        <f>WEEKNUM(C368,2)</f>
        <v>53</v>
      </c>
    </row>
    <row r="374" spans="1:12" x14ac:dyDescent="0.45">
      <c r="A374" s="6">
        <f t="shared" si="43"/>
        <v>2023</v>
      </c>
      <c r="B374" s="6">
        <f t="shared" si="44"/>
        <v>1</v>
      </c>
      <c r="C374" s="7">
        <v>44927</v>
      </c>
      <c r="D374" s="6">
        <f>WEEKDAY(C374,2)</f>
        <v>7</v>
      </c>
      <c r="E374" s="6">
        <f>WEEKNUM(C374,2)</f>
        <v>1</v>
      </c>
      <c r="F374" s="6">
        <v>5</v>
      </c>
      <c r="G374" s="6" t="str">
        <f t="shared" si="47"/>
        <v>01</v>
      </c>
      <c r="H374" s="6" t="str">
        <f t="shared" si="48"/>
        <v>01월 5주차</v>
      </c>
      <c r="I374" s="6" t="str">
        <f>H374&amp;" ("&amp;TEXT(C368,"m/dd")&amp;"~"&amp;TEXT(C374,"m/dd")&amp;")"</f>
        <v>01월 5주차 (12/26~1/01)</v>
      </c>
      <c r="J374" s="6" t="str">
        <f>A368&amp;"년 "&amp;WEEKNUM(C368,2)&amp;"주차"&amp;" ("&amp;TEXT(C368,"m/dd")&amp;"~"&amp;TEXT(C374,"m/dd")&amp;")"</f>
        <v>2022년 53주차 (12/26~1/01)</v>
      </c>
      <c r="K374" s="6">
        <f>YEAR(C368)</f>
        <v>2022</v>
      </c>
      <c r="L374" s="6">
        <f>WEEKNUM(C368,2)</f>
        <v>53</v>
      </c>
    </row>
    <row r="375" spans="1:12" x14ac:dyDescent="0.45">
      <c r="A375" s="6">
        <f t="shared" si="43"/>
        <v>2023</v>
      </c>
      <c r="B375" s="6">
        <f t="shared" si="44"/>
        <v>1</v>
      </c>
      <c r="C375" s="7">
        <v>44928</v>
      </c>
      <c r="D375" s="6">
        <f t="shared" ref="D375:D438" si="49">WEEKDAY(C375,2)</f>
        <v>1</v>
      </c>
      <c r="E375" s="6">
        <f t="shared" ref="E375:E414" si="50">WEEKNUM(C375,2)</f>
        <v>2</v>
      </c>
      <c r="F375" s="6">
        <f t="shared" ref="F375:F402" si="51">WEEKNUM(DATE(YEAR(C375),1,DAY(C375-WEEKDAY(C375,2)+1)),WEEKDAY(DATE(YEAR(C375),1,1),11)+10)</f>
        <v>1</v>
      </c>
      <c r="G375" s="6" t="str">
        <f t="shared" si="47"/>
        <v>01</v>
      </c>
      <c r="H375" s="6" t="str">
        <f t="shared" si="48"/>
        <v>01월 1주차</v>
      </c>
      <c r="I375" s="6" t="str">
        <f>H375&amp;" ("&amp;TEXT(C375,"m/dd")&amp;"~"&amp;TEXT(C381,"m/dd")&amp;")"</f>
        <v>01월 1주차 (1/02~1/08)</v>
      </c>
      <c r="J375" s="6" t="str">
        <f>A375&amp;"년 "&amp;WEEKNUM(C375,2)&amp;"주차"&amp;" ("&amp;TEXT(C375,"m/dd")&amp;"~"&amp;TEXT(C381,"m/dd")&amp;")"</f>
        <v>2023년 2주차 (1/02~1/08)</v>
      </c>
      <c r="K375" s="6">
        <f>YEAR(C375)</f>
        <v>2023</v>
      </c>
      <c r="L375" s="6">
        <f>WEEKNUM(C375,2)</f>
        <v>2</v>
      </c>
    </row>
    <row r="376" spans="1:12" x14ac:dyDescent="0.45">
      <c r="A376" s="6">
        <f t="shared" si="43"/>
        <v>2023</v>
      </c>
      <c r="B376" s="6">
        <f t="shared" si="44"/>
        <v>1</v>
      </c>
      <c r="C376" s="7">
        <v>44929</v>
      </c>
      <c r="D376" s="6">
        <f t="shared" si="49"/>
        <v>2</v>
      </c>
      <c r="E376" s="6">
        <f t="shared" si="50"/>
        <v>2</v>
      </c>
      <c r="F376" s="6">
        <f t="shared" si="51"/>
        <v>1</v>
      </c>
      <c r="G376" s="6" t="str">
        <f t="shared" si="47"/>
        <v>01</v>
      </c>
      <c r="H376" s="6" t="str">
        <f t="shared" si="48"/>
        <v>01월 1주차</v>
      </c>
      <c r="I376" s="6" t="str">
        <f>H376&amp;" ("&amp;TEXT(C375,"m/dd")&amp;"~"&amp;TEXT(C381,"m/dd")&amp;")"</f>
        <v>01월 1주차 (1/02~1/08)</v>
      </c>
      <c r="J376" s="6" t="str">
        <f>A375&amp;"년 "&amp;WEEKNUM(C375,2)&amp;"주차"&amp;" ("&amp;TEXT(C375,"m/dd")&amp;"~"&amp;TEXT(C381,"m/dd")&amp;")"</f>
        <v>2023년 2주차 (1/02~1/08)</v>
      </c>
      <c r="K376" s="6">
        <f>YEAR(C375)</f>
        <v>2023</v>
      </c>
      <c r="L376" s="6">
        <f>WEEKNUM(C375,2)</f>
        <v>2</v>
      </c>
    </row>
    <row r="377" spans="1:12" x14ac:dyDescent="0.45">
      <c r="A377" s="6">
        <f t="shared" si="43"/>
        <v>2023</v>
      </c>
      <c r="B377" s="6">
        <f t="shared" si="44"/>
        <v>1</v>
      </c>
      <c r="C377" s="7">
        <v>44930</v>
      </c>
      <c r="D377" s="6">
        <f t="shared" si="49"/>
        <v>3</v>
      </c>
      <c r="E377" s="6">
        <f t="shared" si="50"/>
        <v>2</v>
      </c>
      <c r="F377" s="6">
        <f t="shared" si="51"/>
        <v>1</v>
      </c>
      <c r="G377" s="6" t="str">
        <f t="shared" si="47"/>
        <v>01</v>
      </c>
      <c r="H377" s="6" t="str">
        <f t="shared" si="48"/>
        <v>01월 1주차</v>
      </c>
      <c r="I377" s="6" t="str">
        <f>H377&amp;" ("&amp;TEXT(C375,"m/dd")&amp;"~"&amp;TEXT(C381,"m/dd")&amp;")"</f>
        <v>01월 1주차 (1/02~1/08)</v>
      </c>
      <c r="J377" s="6" t="str">
        <f>A375&amp;"년 "&amp;WEEKNUM(C375,2)&amp;"주차"&amp;" ("&amp;TEXT(C375,"m/dd")&amp;"~"&amp;TEXT(C381,"m/dd")&amp;")"</f>
        <v>2023년 2주차 (1/02~1/08)</v>
      </c>
      <c r="K377" s="6">
        <f>YEAR(C375)</f>
        <v>2023</v>
      </c>
      <c r="L377" s="6">
        <f>WEEKNUM(C375,2)</f>
        <v>2</v>
      </c>
    </row>
    <row r="378" spans="1:12" x14ac:dyDescent="0.45">
      <c r="A378" s="6">
        <f t="shared" si="43"/>
        <v>2023</v>
      </c>
      <c r="B378" s="6">
        <f t="shared" si="44"/>
        <v>1</v>
      </c>
      <c r="C378" s="7">
        <v>44931</v>
      </c>
      <c r="D378" s="6">
        <f t="shared" si="49"/>
        <v>4</v>
      </c>
      <c r="E378" s="6">
        <f t="shared" si="50"/>
        <v>2</v>
      </c>
      <c r="F378" s="6">
        <f t="shared" si="51"/>
        <v>1</v>
      </c>
      <c r="G378" s="6" t="str">
        <f t="shared" si="47"/>
        <v>01</v>
      </c>
      <c r="H378" s="6" t="str">
        <f t="shared" si="48"/>
        <v>01월 1주차</v>
      </c>
      <c r="I378" s="6" t="str">
        <f>H378&amp;" ("&amp;TEXT(C375,"m/dd")&amp;"~"&amp;TEXT(C381,"m/dd")&amp;")"</f>
        <v>01월 1주차 (1/02~1/08)</v>
      </c>
      <c r="J378" s="6" t="str">
        <f>A375&amp;"년 "&amp;WEEKNUM(C375,2)&amp;"주차"&amp;" ("&amp;TEXT(C375,"m/dd")&amp;"~"&amp;TEXT(C381,"m/dd")&amp;")"</f>
        <v>2023년 2주차 (1/02~1/08)</v>
      </c>
      <c r="K378" s="6">
        <f>YEAR(C375)</f>
        <v>2023</v>
      </c>
      <c r="L378" s="6">
        <f>WEEKNUM(C375,2)</f>
        <v>2</v>
      </c>
    </row>
    <row r="379" spans="1:12" x14ac:dyDescent="0.45">
      <c r="A379" s="6">
        <f t="shared" si="43"/>
        <v>2023</v>
      </c>
      <c r="B379" s="6">
        <f t="shared" si="44"/>
        <v>1</v>
      </c>
      <c r="C379" s="7">
        <v>44932</v>
      </c>
      <c r="D379" s="6">
        <f t="shared" si="49"/>
        <v>5</v>
      </c>
      <c r="E379" s="6">
        <f t="shared" si="50"/>
        <v>2</v>
      </c>
      <c r="F379" s="6">
        <f t="shared" si="51"/>
        <v>1</v>
      </c>
      <c r="G379" s="6" t="str">
        <f t="shared" si="47"/>
        <v>01</v>
      </c>
      <c r="H379" s="6" t="str">
        <f t="shared" si="48"/>
        <v>01월 1주차</v>
      </c>
      <c r="I379" s="6" t="str">
        <f>H379&amp;" ("&amp;TEXT(C375,"m/dd")&amp;"~"&amp;TEXT(C381,"m/dd")&amp;")"</f>
        <v>01월 1주차 (1/02~1/08)</v>
      </c>
      <c r="J379" s="6" t="str">
        <f>A375&amp;"년 "&amp;WEEKNUM(C375,2)&amp;"주차"&amp;" ("&amp;TEXT(C375,"m/dd")&amp;"~"&amp;TEXT(C381,"m/dd")&amp;")"</f>
        <v>2023년 2주차 (1/02~1/08)</v>
      </c>
      <c r="K379" s="6">
        <f>YEAR(C375)</f>
        <v>2023</v>
      </c>
      <c r="L379" s="6">
        <f>WEEKNUM(C375,2)</f>
        <v>2</v>
      </c>
    </row>
    <row r="380" spans="1:12" x14ac:dyDescent="0.45">
      <c r="A380" s="6">
        <f t="shared" si="43"/>
        <v>2023</v>
      </c>
      <c r="B380" s="6">
        <f t="shared" si="44"/>
        <v>1</v>
      </c>
      <c r="C380" s="7">
        <v>44933</v>
      </c>
      <c r="D380" s="6">
        <f t="shared" si="49"/>
        <v>6</v>
      </c>
      <c r="E380" s="6">
        <f t="shared" si="50"/>
        <v>2</v>
      </c>
      <c r="F380" s="6">
        <f t="shared" si="51"/>
        <v>1</v>
      </c>
      <c r="G380" s="6" t="str">
        <f t="shared" si="47"/>
        <v>01</v>
      </c>
      <c r="H380" s="6" t="str">
        <f t="shared" si="48"/>
        <v>01월 1주차</v>
      </c>
      <c r="I380" s="6" t="str">
        <f>H380&amp;" ("&amp;TEXT(C375,"m/dd")&amp;"~"&amp;TEXT(C381,"m/dd")&amp;")"</f>
        <v>01월 1주차 (1/02~1/08)</v>
      </c>
      <c r="J380" s="6" t="str">
        <f>A375&amp;"년 "&amp;WEEKNUM(C375,2)&amp;"주차"&amp;" ("&amp;TEXT(C375,"m/dd")&amp;"~"&amp;TEXT(C381,"m/dd")&amp;")"</f>
        <v>2023년 2주차 (1/02~1/08)</v>
      </c>
      <c r="K380" s="6">
        <f>YEAR(C375)</f>
        <v>2023</v>
      </c>
      <c r="L380" s="6">
        <f>WEEKNUM(C375,2)</f>
        <v>2</v>
      </c>
    </row>
    <row r="381" spans="1:12" x14ac:dyDescent="0.45">
      <c r="A381" s="6">
        <f t="shared" si="43"/>
        <v>2023</v>
      </c>
      <c r="B381" s="6">
        <f t="shared" si="44"/>
        <v>1</v>
      </c>
      <c r="C381" s="7">
        <v>44934</v>
      </c>
      <c r="D381" s="6">
        <f t="shared" si="49"/>
        <v>7</v>
      </c>
      <c r="E381" s="6">
        <f t="shared" si="50"/>
        <v>2</v>
      </c>
      <c r="F381" s="6">
        <f t="shared" si="51"/>
        <v>1</v>
      </c>
      <c r="G381" s="6" t="str">
        <f t="shared" si="47"/>
        <v>01</v>
      </c>
      <c r="H381" s="6" t="str">
        <f t="shared" si="48"/>
        <v>01월 1주차</v>
      </c>
      <c r="I381" s="6" t="str">
        <f>H381&amp;" ("&amp;TEXT(C375,"m/dd")&amp;"~"&amp;TEXT(C381,"m/dd")&amp;")"</f>
        <v>01월 1주차 (1/02~1/08)</v>
      </c>
      <c r="J381" s="6" t="str">
        <f>A375&amp;"년 "&amp;WEEKNUM(C375,2)&amp;"주차"&amp;" ("&amp;TEXT(C375,"m/dd")&amp;"~"&amp;TEXT(C381,"m/dd")&amp;")"</f>
        <v>2023년 2주차 (1/02~1/08)</v>
      </c>
      <c r="K381" s="6">
        <f>YEAR(C375)</f>
        <v>2023</v>
      </c>
      <c r="L381" s="6">
        <f>WEEKNUM(C375,2)</f>
        <v>2</v>
      </c>
    </row>
    <row r="382" spans="1:12" x14ac:dyDescent="0.45">
      <c r="A382" s="6">
        <f t="shared" si="43"/>
        <v>2023</v>
      </c>
      <c r="B382" s="6">
        <f t="shared" si="44"/>
        <v>1</v>
      </c>
      <c r="C382" s="7">
        <v>44935</v>
      </c>
      <c r="D382" s="6">
        <f t="shared" si="49"/>
        <v>1</v>
      </c>
      <c r="E382" s="6">
        <f t="shared" si="50"/>
        <v>3</v>
      </c>
      <c r="F382" s="6">
        <f t="shared" si="51"/>
        <v>2</v>
      </c>
      <c r="G382" s="6" t="str">
        <f t="shared" si="47"/>
        <v>01</v>
      </c>
      <c r="H382" s="6" t="str">
        <f t="shared" si="48"/>
        <v>01월 2주차</v>
      </c>
      <c r="I382" s="6" t="str">
        <f>H382&amp;" ("&amp;TEXT(C382,"m/dd")&amp;"~"&amp;TEXT(C388,"m/dd")&amp;")"</f>
        <v>01월 2주차 (1/09~1/15)</v>
      </c>
      <c r="J382" s="6" t="str">
        <f>A382&amp;"년 "&amp;WEEKNUM(C382,2)&amp;"주차"&amp;" ("&amp;TEXT(C382,"m/dd")&amp;"~"&amp;TEXT(C388,"m/dd")&amp;")"</f>
        <v>2023년 3주차 (1/09~1/15)</v>
      </c>
      <c r="K382" s="6">
        <f>YEAR(C382)</f>
        <v>2023</v>
      </c>
      <c r="L382" s="6">
        <f>WEEKNUM(C382,2)</f>
        <v>3</v>
      </c>
    </row>
    <row r="383" spans="1:12" x14ac:dyDescent="0.45">
      <c r="A383" s="6">
        <f t="shared" si="43"/>
        <v>2023</v>
      </c>
      <c r="B383" s="6">
        <f t="shared" si="44"/>
        <v>1</v>
      </c>
      <c r="C383" s="7">
        <v>44936</v>
      </c>
      <c r="D383" s="6">
        <f t="shared" si="49"/>
        <v>2</v>
      </c>
      <c r="E383" s="6">
        <f t="shared" si="50"/>
        <v>3</v>
      </c>
      <c r="F383" s="6">
        <f t="shared" si="51"/>
        <v>2</v>
      </c>
      <c r="G383" s="6" t="str">
        <f t="shared" si="47"/>
        <v>01</v>
      </c>
      <c r="H383" s="6" t="str">
        <f t="shared" si="48"/>
        <v>01월 2주차</v>
      </c>
      <c r="I383" s="6" t="str">
        <f>H383&amp;" ("&amp;TEXT(C382,"m/dd")&amp;"~"&amp;TEXT(C388,"m/dd")&amp;")"</f>
        <v>01월 2주차 (1/09~1/15)</v>
      </c>
      <c r="J383" s="6" t="str">
        <f>A382&amp;"년 "&amp;WEEKNUM(C382,2)&amp;"주차"&amp;" ("&amp;TEXT(C382,"m/dd")&amp;"~"&amp;TEXT(C388,"m/dd")&amp;")"</f>
        <v>2023년 3주차 (1/09~1/15)</v>
      </c>
      <c r="K383" s="6">
        <f>YEAR(C382)</f>
        <v>2023</v>
      </c>
      <c r="L383" s="6">
        <f>WEEKNUM(C382,2)</f>
        <v>3</v>
      </c>
    </row>
    <row r="384" spans="1:12" x14ac:dyDescent="0.45">
      <c r="A384" s="6">
        <f t="shared" si="43"/>
        <v>2023</v>
      </c>
      <c r="B384" s="6">
        <f t="shared" si="44"/>
        <v>1</v>
      </c>
      <c r="C384" s="7">
        <v>44937</v>
      </c>
      <c r="D384" s="6">
        <f t="shared" si="49"/>
        <v>3</v>
      </c>
      <c r="E384" s="6">
        <f t="shared" si="50"/>
        <v>3</v>
      </c>
      <c r="F384" s="6">
        <f t="shared" si="51"/>
        <v>2</v>
      </c>
      <c r="G384" s="6" t="str">
        <f t="shared" si="47"/>
        <v>01</v>
      </c>
      <c r="H384" s="6" t="str">
        <f t="shared" si="48"/>
        <v>01월 2주차</v>
      </c>
      <c r="I384" s="6" t="str">
        <f>H384&amp;" ("&amp;TEXT(C382,"m/dd")&amp;"~"&amp;TEXT(C388,"m/dd")&amp;")"</f>
        <v>01월 2주차 (1/09~1/15)</v>
      </c>
      <c r="J384" s="6" t="str">
        <f>A382&amp;"년 "&amp;WEEKNUM(C382,2)&amp;"주차"&amp;" ("&amp;TEXT(C382,"m/dd")&amp;"~"&amp;TEXT(C388,"m/dd")&amp;")"</f>
        <v>2023년 3주차 (1/09~1/15)</v>
      </c>
      <c r="K384" s="6">
        <f>YEAR(C382)</f>
        <v>2023</v>
      </c>
      <c r="L384" s="6">
        <f>WEEKNUM(C382,2)</f>
        <v>3</v>
      </c>
    </row>
    <row r="385" spans="1:12" x14ac:dyDescent="0.45">
      <c r="A385" s="6">
        <f t="shared" si="43"/>
        <v>2023</v>
      </c>
      <c r="B385" s="6">
        <f t="shared" si="44"/>
        <v>1</v>
      </c>
      <c r="C385" s="7">
        <v>44938</v>
      </c>
      <c r="D385" s="6">
        <f t="shared" si="49"/>
        <v>4</v>
      </c>
      <c r="E385" s="6">
        <f t="shared" si="50"/>
        <v>3</v>
      </c>
      <c r="F385" s="6">
        <f t="shared" si="51"/>
        <v>2</v>
      </c>
      <c r="G385" s="6" t="str">
        <f t="shared" si="47"/>
        <v>01</v>
      </c>
      <c r="H385" s="6" t="str">
        <f t="shared" si="48"/>
        <v>01월 2주차</v>
      </c>
      <c r="I385" s="6" t="str">
        <f>H385&amp;" ("&amp;TEXT(C382,"m/dd")&amp;"~"&amp;TEXT(C388,"m/dd")&amp;")"</f>
        <v>01월 2주차 (1/09~1/15)</v>
      </c>
      <c r="J385" s="6" t="str">
        <f>A382&amp;"년 "&amp;WEEKNUM(C382,2)&amp;"주차"&amp;" ("&amp;TEXT(C382,"m/dd")&amp;"~"&amp;TEXT(C388,"m/dd")&amp;")"</f>
        <v>2023년 3주차 (1/09~1/15)</v>
      </c>
      <c r="K385" s="6">
        <f>YEAR(C382)</f>
        <v>2023</v>
      </c>
      <c r="L385" s="6">
        <f>WEEKNUM(C382,2)</f>
        <v>3</v>
      </c>
    </row>
    <row r="386" spans="1:12" x14ac:dyDescent="0.45">
      <c r="A386" s="6">
        <f t="shared" si="43"/>
        <v>2023</v>
      </c>
      <c r="B386" s="6">
        <f t="shared" si="44"/>
        <v>1</v>
      </c>
      <c r="C386" s="7">
        <v>44939</v>
      </c>
      <c r="D386" s="6">
        <f t="shared" si="49"/>
        <v>5</v>
      </c>
      <c r="E386" s="6">
        <f t="shared" si="50"/>
        <v>3</v>
      </c>
      <c r="F386" s="6">
        <f t="shared" si="51"/>
        <v>2</v>
      </c>
      <c r="G386" s="6" t="str">
        <f t="shared" si="47"/>
        <v>01</v>
      </c>
      <c r="H386" s="6" t="str">
        <f t="shared" si="48"/>
        <v>01월 2주차</v>
      </c>
      <c r="I386" s="6" t="str">
        <f>H386&amp;" ("&amp;TEXT(C382,"m/dd")&amp;"~"&amp;TEXT(C388,"m/dd")&amp;")"</f>
        <v>01월 2주차 (1/09~1/15)</v>
      </c>
      <c r="J386" s="6" t="str">
        <f>A382&amp;"년 "&amp;WEEKNUM(C382,2)&amp;"주차"&amp;" ("&amp;TEXT(C382,"m/dd")&amp;"~"&amp;TEXT(C388,"m/dd")&amp;")"</f>
        <v>2023년 3주차 (1/09~1/15)</v>
      </c>
      <c r="K386" s="6">
        <f>YEAR(C382)</f>
        <v>2023</v>
      </c>
      <c r="L386" s="6">
        <f>WEEKNUM(C382,2)</f>
        <v>3</v>
      </c>
    </row>
    <row r="387" spans="1:12" x14ac:dyDescent="0.45">
      <c r="A387" s="6">
        <f t="shared" si="43"/>
        <v>2023</v>
      </c>
      <c r="B387" s="6">
        <f t="shared" si="44"/>
        <v>1</v>
      </c>
      <c r="C387" s="7">
        <v>44940</v>
      </c>
      <c r="D387" s="6">
        <f t="shared" si="49"/>
        <v>6</v>
      </c>
      <c r="E387" s="6">
        <f t="shared" si="50"/>
        <v>3</v>
      </c>
      <c r="F387" s="6">
        <f t="shared" si="51"/>
        <v>2</v>
      </c>
      <c r="G387" s="6" t="str">
        <f t="shared" si="47"/>
        <v>01</v>
      </c>
      <c r="H387" s="6" t="str">
        <f t="shared" si="48"/>
        <v>01월 2주차</v>
      </c>
      <c r="I387" s="6" t="str">
        <f>H387&amp;" ("&amp;TEXT(C382,"m/dd")&amp;"~"&amp;TEXT(C388,"m/dd")&amp;")"</f>
        <v>01월 2주차 (1/09~1/15)</v>
      </c>
      <c r="J387" s="6" t="str">
        <f>A382&amp;"년 "&amp;WEEKNUM(C382,2)&amp;"주차"&amp;" ("&amp;TEXT(C382,"m/dd")&amp;"~"&amp;TEXT(C388,"m/dd")&amp;")"</f>
        <v>2023년 3주차 (1/09~1/15)</v>
      </c>
      <c r="K387" s="6">
        <f>YEAR(C382)</f>
        <v>2023</v>
      </c>
      <c r="L387" s="6">
        <f>WEEKNUM(C382,2)</f>
        <v>3</v>
      </c>
    </row>
    <row r="388" spans="1:12" x14ac:dyDescent="0.45">
      <c r="A388" s="6">
        <f t="shared" si="43"/>
        <v>2023</v>
      </c>
      <c r="B388" s="6">
        <f t="shared" si="44"/>
        <v>1</v>
      </c>
      <c r="C388" s="7">
        <v>44941</v>
      </c>
      <c r="D388" s="6">
        <f t="shared" si="49"/>
        <v>7</v>
      </c>
      <c r="E388" s="6">
        <f t="shared" si="50"/>
        <v>3</v>
      </c>
      <c r="F388" s="6">
        <f t="shared" si="51"/>
        <v>2</v>
      </c>
      <c r="G388" s="6" t="str">
        <f t="shared" si="47"/>
        <v>01</v>
      </c>
      <c r="H388" s="6" t="str">
        <f t="shared" si="48"/>
        <v>01월 2주차</v>
      </c>
      <c r="I388" s="6" t="str">
        <f>H388&amp;" ("&amp;TEXT(C382,"m/dd")&amp;"~"&amp;TEXT(C388,"m/dd")&amp;")"</f>
        <v>01월 2주차 (1/09~1/15)</v>
      </c>
      <c r="J388" s="6" t="str">
        <f>A382&amp;"년 "&amp;WEEKNUM(C382,2)&amp;"주차"&amp;" ("&amp;TEXT(C382,"m/dd")&amp;"~"&amp;TEXT(C388,"m/dd")&amp;")"</f>
        <v>2023년 3주차 (1/09~1/15)</v>
      </c>
      <c r="K388" s="6">
        <f>YEAR(C382)</f>
        <v>2023</v>
      </c>
      <c r="L388" s="6">
        <f>WEEKNUM(C382,2)</f>
        <v>3</v>
      </c>
    </row>
    <row r="389" spans="1:12" x14ac:dyDescent="0.45">
      <c r="A389" s="6">
        <f t="shared" si="43"/>
        <v>2023</v>
      </c>
      <c r="B389" s="6">
        <f t="shared" si="44"/>
        <v>1</v>
      </c>
      <c r="C389" s="7">
        <v>44942</v>
      </c>
      <c r="D389" s="6">
        <f t="shared" si="49"/>
        <v>1</v>
      </c>
      <c r="E389" s="6">
        <f t="shared" si="50"/>
        <v>4</v>
      </c>
      <c r="F389" s="6">
        <f t="shared" si="51"/>
        <v>3</v>
      </c>
      <c r="G389" s="6" t="str">
        <f t="shared" si="47"/>
        <v>01</v>
      </c>
      <c r="H389" s="6" t="str">
        <f t="shared" si="48"/>
        <v>01월 3주차</v>
      </c>
      <c r="I389" s="6" t="str">
        <f>H389&amp;" ("&amp;TEXT(C389,"m/dd")&amp;"~"&amp;TEXT(C395,"m/dd")&amp;")"</f>
        <v>01월 3주차 (1/16~1/22)</v>
      </c>
      <c r="J389" s="6" t="str">
        <f>A389&amp;"년 "&amp;WEEKNUM(C389,2)&amp;"주차"&amp;" ("&amp;TEXT(C389,"m/dd")&amp;"~"&amp;TEXT(C395,"m/dd")&amp;")"</f>
        <v>2023년 4주차 (1/16~1/22)</v>
      </c>
      <c r="K389" s="6">
        <f>YEAR(C389)</f>
        <v>2023</v>
      </c>
      <c r="L389" s="6">
        <f>WEEKNUM(C389,2)</f>
        <v>4</v>
      </c>
    </row>
    <row r="390" spans="1:12" x14ac:dyDescent="0.45">
      <c r="A390" s="6">
        <f t="shared" si="43"/>
        <v>2023</v>
      </c>
      <c r="B390" s="6">
        <f t="shared" si="44"/>
        <v>1</v>
      </c>
      <c r="C390" s="7">
        <v>44943</v>
      </c>
      <c r="D390" s="6">
        <f t="shared" si="49"/>
        <v>2</v>
      </c>
      <c r="E390" s="6">
        <f t="shared" si="50"/>
        <v>4</v>
      </c>
      <c r="F390" s="6">
        <f t="shared" si="51"/>
        <v>3</v>
      </c>
      <c r="G390" s="6" t="str">
        <f t="shared" si="47"/>
        <v>01</v>
      </c>
      <c r="H390" s="6" t="str">
        <f t="shared" si="48"/>
        <v>01월 3주차</v>
      </c>
      <c r="I390" s="6" t="str">
        <f>H390&amp;" ("&amp;TEXT(C389,"m/dd")&amp;"~"&amp;TEXT(C395,"m/dd")&amp;")"</f>
        <v>01월 3주차 (1/16~1/22)</v>
      </c>
      <c r="J390" s="6" t="str">
        <f>A389&amp;"년 "&amp;WEEKNUM(C389,2)&amp;"주차"&amp;" ("&amp;TEXT(C389,"m/dd")&amp;"~"&amp;TEXT(C395,"m/dd")&amp;")"</f>
        <v>2023년 4주차 (1/16~1/22)</v>
      </c>
      <c r="K390" s="6">
        <f>YEAR(C389)</f>
        <v>2023</v>
      </c>
      <c r="L390" s="6">
        <f>WEEKNUM(C389,2)</f>
        <v>4</v>
      </c>
    </row>
    <row r="391" spans="1:12" x14ac:dyDescent="0.45">
      <c r="A391" s="6">
        <f t="shared" si="43"/>
        <v>2023</v>
      </c>
      <c r="B391" s="6">
        <f t="shared" si="44"/>
        <v>1</v>
      </c>
      <c r="C391" s="7">
        <v>44944</v>
      </c>
      <c r="D391" s="6">
        <f t="shared" si="49"/>
        <v>3</v>
      </c>
      <c r="E391" s="6">
        <f t="shared" si="50"/>
        <v>4</v>
      </c>
      <c r="F391" s="6">
        <f t="shared" si="51"/>
        <v>3</v>
      </c>
      <c r="G391" s="6" t="str">
        <f t="shared" si="47"/>
        <v>01</v>
      </c>
      <c r="H391" s="6" t="str">
        <f t="shared" si="48"/>
        <v>01월 3주차</v>
      </c>
      <c r="I391" s="6" t="str">
        <f>H391&amp;" ("&amp;TEXT(C389,"m/dd")&amp;"~"&amp;TEXT(C395,"m/dd")&amp;")"</f>
        <v>01월 3주차 (1/16~1/22)</v>
      </c>
      <c r="J391" s="6" t="str">
        <f>A389&amp;"년 "&amp;WEEKNUM(C389,2)&amp;"주차"&amp;" ("&amp;TEXT(C389,"m/dd")&amp;"~"&amp;TEXT(C395,"m/dd")&amp;")"</f>
        <v>2023년 4주차 (1/16~1/22)</v>
      </c>
      <c r="K391" s="6">
        <f>YEAR(C389)</f>
        <v>2023</v>
      </c>
      <c r="L391" s="6">
        <f>WEEKNUM(C389,2)</f>
        <v>4</v>
      </c>
    </row>
    <row r="392" spans="1:12" x14ac:dyDescent="0.45">
      <c r="A392" s="6">
        <f t="shared" si="43"/>
        <v>2023</v>
      </c>
      <c r="B392" s="6">
        <f t="shared" si="44"/>
        <v>1</v>
      </c>
      <c r="C392" s="7">
        <v>44945</v>
      </c>
      <c r="D392" s="6">
        <f t="shared" si="49"/>
        <v>4</v>
      </c>
      <c r="E392" s="6">
        <f t="shared" si="50"/>
        <v>4</v>
      </c>
      <c r="F392" s="6">
        <f t="shared" si="51"/>
        <v>3</v>
      </c>
      <c r="G392" s="6" t="str">
        <f t="shared" si="47"/>
        <v>01</v>
      </c>
      <c r="H392" s="6" t="str">
        <f t="shared" si="48"/>
        <v>01월 3주차</v>
      </c>
      <c r="I392" s="6" t="str">
        <f>H392&amp;" ("&amp;TEXT(C389,"m/dd")&amp;"~"&amp;TEXT(C395,"m/dd")&amp;")"</f>
        <v>01월 3주차 (1/16~1/22)</v>
      </c>
      <c r="J392" s="6" t="str">
        <f>A389&amp;"년 "&amp;WEEKNUM(C389,2)&amp;"주차"&amp;" ("&amp;TEXT(C389,"m/dd")&amp;"~"&amp;TEXT(C395,"m/dd")&amp;")"</f>
        <v>2023년 4주차 (1/16~1/22)</v>
      </c>
      <c r="K392" s="6">
        <f>YEAR(C389)</f>
        <v>2023</v>
      </c>
      <c r="L392" s="6">
        <f>WEEKNUM(C389,2)</f>
        <v>4</v>
      </c>
    </row>
    <row r="393" spans="1:12" x14ac:dyDescent="0.45">
      <c r="A393" s="6">
        <f t="shared" si="43"/>
        <v>2023</v>
      </c>
      <c r="B393" s="6">
        <f t="shared" si="44"/>
        <v>1</v>
      </c>
      <c r="C393" s="7">
        <v>44946</v>
      </c>
      <c r="D393" s="6">
        <f t="shared" si="49"/>
        <v>5</v>
      </c>
      <c r="E393" s="6">
        <f t="shared" si="50"/>
        <v>4</v>
      </c>
      <c r="F393" s="6">
        <f t="shared" si="51"/>
        <v>3</v>
      </c>
      <c r="G393" s="6" t="str">
        <f t="shared" si="47"/>
        <v>01</v>
      </c>
      <c r="H393" s="6" t="str">
        <f t="shared" si="48"/>
        <v>01월 3주차</v>
      </c>
      <c r="I393" s="6" t="str">
        <f>H393&amp;" ("&amp;TEXT(C389,"m/dd")&amp;"~"&amp;TEXT(C395,"m/dd")&amp;")"</f>
        <v>01월 3주차 (1/16~1/22)</v>
      </c>
      <c r="J393" s="6" t="str">
        <f>A389&amp;"년 "&amp;WEEKNUM(C389,2)&amp;"주차"&amp;" ("&amp;TEXT(C389,"m/dd")&amp;"~"&amp;TEXT(C395,"m/dd")&amp;")"</f>
        <v>2023년 4주차 (1/16~1/22)</v>
      </c>
      <c r="K393" s="6">
        <f>YEAR(C389)</f>
        <v>2023</v>
      </c>
      <c r="L393" s="6">
        <f>WEEKNUM(C389,2)</f>
        <v>4</v>
      </c>
    </row>
    <row r="394" spans="1:12" x14ac:dyDescent="0.45">
      <c r="A394" s="6">
        <f t="shared" si="43"/>
        <v>2023</v>
      </c>
      <c r="B394" s="6">
        <f t="shared" si="44"/>
        <v>1</v>
      </c>
      <c r="C394" s="7">
        <v>44947</v>
      </c>
      <c r="D394" s="6">
        <f t="shared" si="49"/>
        <v>6</v>
      </c>
      <c r="E394" s="6">
        <f t="shared" si="50"/>
        <v>4</v>
      </c>
      <c r="F394" s="6">
        <f t="shared" si="51"/>
        <v>3</v>
      </c>
      <c r="G394" s="6" t="str">
        <f t="shared" si="47"/>
        <v>01</v>
      </c>
      <c r="H394" s="6" t="str">
        <f t="shared" si="48"/>
        <v>01월 3주차</v>
      </c>
      <c r="I394" s="6" t="str">
        <f>H394&amp;" ("&amp;TEXT(C389,"m/dd")&amp;"~"&amp;TEXT(C395,"m/dd")&amp;")"</f>
        <v>01월 3주차 (1/16~1/22)</v>
      </c>
      <c r="J394" s="6" t="str">
        <f>A389&amp;"년 "&amp;WEEKNUM(C389,2)&amp;"주차"&amp;" ("&amp;TEXT(C389,"m/dd")&amp;"~"&amp;TEXT(C395,"m/dd")&amp;")"</f>
        <v>2023년 4주차 (1/16~1/22)</v>
      </c>
      <c r="K394" s="6">
        <f>YEAR(C389)</f>
        <v>2023</v>
      </c>
      <c r="L394" s="6">
        <f>WEEKNUM(C389,2)</f>
        <v>4</v>
      </c>
    </row>
    <row r="395" spans="1:12" x14ac:dyDescent="0.45">
      <c r="A395" s="6">
        <f t="shared" si="43"/>
        <v>2023</v>
      </c>
      <c r="B395" s="6">
        <f t="shared" ref="B395:B458" si="52">MONTH(C395)</f>
        <v>1</v>
      </c>
      <c r="C395" s="7">
        <v>44948</v>
      </c>
      <c r="D395" s="6">
        <f t="shared" si="49"/>
        <v>7</v>
      </c>
      <c r="E395" s="6">
        <f t="shared" si="50"/>
        <v>4</v>
      </c>
      <c r="F395" s="6">
        <f t="shared" si="51"/>
        <v>3</v>
      </c>
      <c r="G395" s="6" t="str">
        <f t="shared" ref="G395:G458" si="53">IF(LEN(B395)=1,_xlfn.CONCAT(0,B395),B395)</f>
        <v>01</v>
      </c>
      <c r="H395" s="6" t="str">
        <f t="shared" ref="H395:H458" si="54">G395&amp;"월 "&amp;F395&amp;"주차"</f>
        <v>01월 3주차</v>
      </c>
      <c r="I395" s="6" t="str">
        <f>H395&amp;" ("&amp;TEXT(C389,"m/dd")&amp;"~"&amp;TEXT(C395,"m/dd")&amp;")"</f>
        <v>01월 3주차 (1/16~1/22)</v>
      </c>
      <c r="J395" s="6" t="str">
        <f>A389&amp;"년 "&amp;WEEKNUM(C389,2)&amp;"주차"&amp;" ("&amp;TEXT(C389,"m/dd")&amp;"~"&amp;TEXT(C395,"m/dd")&amp;")"</f>
        <v>2023년 4주차 (1/16~1/22)</v>
      </c>
      <c r="K395" s="6">
        <f>YEAR(C389)</f>
        <v>2023</v>
      </c>
      <c r="L395" s="6">
        <f>WEEKNUM(C389,2)</f>
        <v>4</v>
      </c>
    </row>
    <row r="396" spans="1:12" x14ac:dyDescent="0.45">
      <c r="A396" s="6">
        <f t="shared" si="43"/>
        <v>2023</v>
      </c>
      <c r="B396" s="6">
        <f t="shared" si="52"/>
        <v>1</v>
      </c>
      <c r="C396" s="7">
        <v>44949</v>
      </c>
      <c r="D396" s="6">
        <f t="shared" si="49"/>
        <v>1</v>
      </c>
      <c r="E396" s="6">
        <f t="shared" si="50"/>
        <v>5</v>
      </c>
      <c r="F396" s="6">
        <f t="shared" si="51"/>
        <v>4</v>
      </c>
      <c r="G396" s="6" t="str">
        <f t="shared" si="53"/>
        <v>01</v>
      </c>
      <c r="H396" s="6" t="str">
        <f t="shared" si="54"/>
        <v>01월 4주차</v>
      </c>
      <c r="I396" s="6" t="str">
        <f>H396&amp;" ("&amp;TEXT(C396,"m/dd")&amp;"~"&amp;TEXT(C402,"m/dd")&amp;")"</f>
        <v>01월 4주차 (1/23~1/29)</v>
      </c>
      <c r="J396" s="6" t="str">
        <f>A396&amp;"년 "&amp;WEEKNUM(C396,2)&amp;"주차"&amp;" ("&amp;TEXT(C396,"m/dd")&amp;"~"&amp;TEXT(C402,"m/dd")&amp;")"</f>
        <v>2023년 5주차 (1/23~1/29)</v>
      </c>
      <c r="K396" s="6">
        <f>YEAR(C396)</f>
        <v>2023</v>
      </c>
      <c r="L396" s="6">
        <f>WEEKNUM(C396,2)</f>
        <v>5</v>
      </c>
    </row>
    <row r="397" spans="1:12" x14ac:dyDescent="0.45">
      <c r="A397" s="6">
        <f t="shared" si="43"/>
        <v>2023</v>
      </c>
      <c r="B397" s="6">
        <f t="shared" si="52"/>
        <v>1</v>
      </c>
      <c r="C397" s="7">
        <v>44950</v>
      </c>
      <c r="D397" s="6">
        <f t="shared" si="49"/>
        <v>2</v>
      </c>
      <c r="E397" s="6">
        <f t="shared" si="50"/>
        <v>5</v>
      </c>
      <c r="F397" s="6">
        <f t="shared" si="51"/>
        <v>4</v>
      </c>
      <c r="G397" s="6" t="str">
        <f t="shared" si="53"/>
        <v>01</v>
      </c>
      <c r="H397" s="6" t="str">
        <f t="shared" si="54"/>
        <v>01월 4주차</v>
      </c>
      <c r="I397" s="6" t="str">
        <f>H397&amp;" ("&amp;TEXT(C396,"m/dd")&amp;"~"&amp;TEXT(C402,"m/dd")&amp;")"</f>
        <v>01월 4주차 (1/23~1/29)</v>
      </c>
      <c r="J397" s="6" t="str">
        <f>A396&amp;"년 "&amp;WEEKNUM(C396,2)&amp;"주차"&amp;" ("&amp;TEXT(C396,"m/dd")&amp;"~"&amp;TEXT(C402,"m/dd")&amp;")"</f>
        <v>2023년 5주차 (1/23~1/29)</v>
      </c>
      <c r="K397" s="6">
        <f>YEAR(C396)</f>
        <v>2023</v>
      </c>
      <c r="L397" s="6">
        <f>WEEKNUM(C396,2)</f>
        <v>5</v>
      </c>
    </row>
    <row r="398" spans="1:12" x14ac:dyDescent="0.45">
      <c r="A398" s="6">
        <f t="shared" si="43"/>
        <v>2023</v>
      </c>
      <c r="B398" s="6">
        <f t="shared" si="52"/>
        <v>1</v>
      </c>
      <c r="C398" s="7">
        <v>44951</v>
      </c>
      <c r="D398" s="6">
        <f t="shared" si="49"/>
        <v>3</v>
      </c>
      <c r="E398" s="6">
        <f t="shared" si="50"/>
        <v>5</v>
      </c>
      <c r="F398" s="6">
        <f t="shared" si="51"/>
        <v>4</v>
      </c>
      <c r="G398" s="6" t="str">
        <f t="shared" si="53"/>
        <v>01</v>
      </c>
      <c r="H398" s="6" t="str">
        <f t="shared" si="54"/>
        <v>01월 4주차</v>
      </c>
      <c r="I398" s="6" t="str">
        <f>H398&amp;" ("&amp;TEXT(C396,"m/dd")&amp;"~"&amp;TEXT(C402,"m/dd")&amp;")"</f>
        <v>01월 4주차 (1/23~1/29)</v>
      </c>
      <c r="J398" s="6" t="str">
        <f>A396&amp;"년 "&amp;WEEKNUM(C396,2)&amp;"주차"&amp;" ("&amp;TEXT(C396,"m/dd")&amp;"~"&amp;TEXT(C402,"m/dd")&amp;")"</f>
        <v>2023년 5주차 (1/23~1/29)</v>
      </c>
      <c r="K398" s="6">
        <f>YEAR(C396)</f>
        <v>2023</v>
      </c>
      <c r="L398" s="6">
        <f>WEEKNUM(C396,2)</f>
        <v>5</v>
      </c>
    </row>
    <row r="399" spans="1:12" x14ac:dyDescent="0.45">
      <c r="A399" s="6">
        <f t="shared" ref="A399:A462" si="55">YEAR(C399)</f>
        <v>2023</v>
      </c>
      <c r="B399" s="6">
        <f t="shared" si="52"/>
        <v>1</v>
      </c>
      <c r="C399" s="7">
        <v>44952</v>
      </c>
      <c r="D399" s="6">
        <f t="shared" si="49"/>
        <v>4</v>
      </c>
      <c r="E399" s="6">
        <f t="shared" si="50"/>
        <v>5</v>
      </c>
      <c r="F399" s="6">
        <f t="shared" si="51"/>
        <v>4</v>
      </c>
      <c r="G399" s="6" t="str">
        <f t="shared" si="53"/>
        <v>01</v>
      </c>
      <c r="H399" s="6" t="str">
        <f t="shared" si="54"/>
        <v>01월 4주차</v>
      </c>
      <c r="I399" s="6" t="str">
        <f>H399&amp;" ("&amp;TEXT(C396,"m/dd")&amp;"~"&amp;TEXT(C402,"m/dd")&amp;")"</f>
        <v>01월 4주차 (1/23~1/29)</v>
      </c>
      <c r="J399" s="6" t="str">
        <f>A396&amp;"년 "&amp;WEEKNUM(C396,2)&amp;"주차"&amp;" ("&amp;TEXT(C396,"m/dd")&amp;"~"&amp;TEXT(C402,"m/dd")&amp;")"</f>
        <v>2023년 5주차 (1/23~1/29)</v>
      </c>
      <c r="K399" s="6">
        <f>YEAR(C396)</f>
        <v>2023</v>
      </c>
      <c r="L399" s="6">
        <f>WEEKNUM(C396,2)</f>
        <v>5</v>
      </c>
    </row>
    <row r="400" spans="1:12" x14ac:dyDescent="0.45">
      <c r="A400" s="6">
        <f t="shared" si="55"/>
        <v>2023</v>
      </c>
      <c r="B400" s="6">
        <f t="shared" si="52"/>
        <v>1</v>
      </c>
      <c r="C400" s="7">
        <v>44953</v>
      </c>
      <c r="D400" s="6">
        <f t="shared" si="49"/>
        <v>5</v>
      </c>
      <c r="E400" s="6">
        <f t="shared" si="50"/>
        <v>5</v>
      </c>
      <c r="F400" s="6">
        <f t="shared" si="51"/>
        <v>4</v>
      </c>
      <c r="G400" s="6" t="str">
        <f t="shared" si="53"/>
        <v>01</v>
      </c>
      <c r="H400" s="6" t="str">
        <f t="shared" si="54"/>
        <v>01월 4주차</v>
      </c>
      <c r="I400" s="6" t="str">
        <f>H400&amp;" ("&amp;TEXT(C396,"m/dd")&amp;"~"&amp;TEXT(C402,"m/dd")&amp;")"</f>
        <v>01월 4주차 (1/23~1/29)</v>
      </c>
      <c r="J400" s="6" t="str">
        <f>A396&amp;"년 "&amp;WEEKNUM(C396,2)&amp;"주차"&amp;" ("&amp;TEXT(C396,"m/dd")&amp;"~"&amp;TEXT(C402,"m/dd")&amp;")"</f>
        <v>2023년 5주차 (1/23~1/29)</v>
      </c>
      <c r="K400" s="6">
        <f>YEAR(C396)</f>
        <v>2023</v>
      </c>
      <c r="L400" s="6">
        <f>WEEKNUM(C396,2)</f>
        <v>5</v>
      </c>
    </row>
    <row r="401" spans="1:12" x14ac:dyDescent="0.45">
      <c r="A401" s="6">
        <f t="shared" si="55"/>
        <v>2023</v>
      </c>
      <c r="B401" s="6">
        <f t="shared" si="52"/>
        <v>1</v>
      </c>
      <c r="C401" s="7">
        <v>44954</v>
      </c>
      <c r="D401" s="6">
        <f t="shared" si="49"/>
        <v>6</v>
      </c>
      <c r="E401" s="6">
        <f t="shared" si="50"/>
        <v>5</v>
      </c>
      <c r="F401" s="6">
        <f t="shared" si="51"/>
        <v>4</v>
      </c>
      <c r="G401" s="6" t="str">
        <f t="shared" si="53"/>
        <v>01</v>
      </c>
      <c r="H401" s="6" t="str">
        <f t="shared" si="54"/>
        <v>01월 4주차</v>
      </c>
      <c r="I401" s="6" t="str">
        <f>H401&amp;" ("&amp;TEXT(C396,"m/dd")&amp;"~"&amp;TEXT(C402,"m/dd")&amp;")"</f>
        <v>01월 4주차 (1/23~1/29)</v>
      </c>
      <c r="J401" s="6" t="str">
        <f>A396&amp;"년 "&amp;WEEKNUM(C396,2)&amp;"주차"&amp;" ("&amp;TEXT(C396,"m/dd")&amp;"~"&amp;TEXT(C402,"m/dd")&amp;")"</f>
        <v>2023년 5주차 (1/23~1/29)</v>
      </c>
      <c r="K401" s="6">
        <f>YEAR(C396)</f>
        <v>2023</v>
      </c>
      <c r="L401" s="6">
        <f>WEEKNUM(C396,2)</f>
        <v>5</v>
      </c>
    </row>
    <row r="402" spans="1:12" x14ac:dyDescent="0.45">
      <c r="A402" s="6">
        <f t="shared" si="55"/>
        <v>2023</v>
      </c>
      <c r="B402" s="6">
        <f t="shared" si="52"/>
        <v>1</v>
      </c>
      <c r="C402" s="7">
        <v>44955</v>
      </c>
      <c r="D402" s="6">
        <f t="shared" si="49"/>
        <v>7</v>
      </c>
      <c r="E402" s="6">
        <f t="shared" si="50"/>
        <v>5</v>
      </c>
      <c r="F402" s="6">
        <f t="shared" si="51"/>
        <v>4</v>
      </c>
      <c r="G402" s="6" t="str">
        <f t="shared" si="53"/>
        <v>01</v>
      </c>
      <c r="H402" s="6" t="str">
        <f t="shared" si="54"/>
        <v>01월 4주차</v>
      </c>
      <c r="I402" s="6" t="str">
        <f>H402&amp;" ("&amp;TEXT(C396,"m/dd")&amp;"~"&amp;TEXT(C402,"m/dd")&amp;")"</f>
        <v>01월 4주차 (1/23~1/29)</v>
      </c>
      <c r="J402" s="6" t="str">
        <f>A396&amp;"년 "&amp;WEEKNUM(C396,2)&amp;"주차"&amp;" ("&amp;TEXT(C396,"m/dd")&amp;"~"&amp;TEXT(C402,"m/dd")&amp;")"</f>
        <v>2023년 5주차 (1/23~1/29)</v>
      </c>
      <c r="K402" s="6">
        <f>YEAR(C396)</f>
        <v>2023</v>
      </c>
      <c r="L402" s="6">
        <f>WEEKNUM(C396,2)</f>
        <v>5</v>
      </c>
    </row>
    <row r="403" spans="1:12" x14ac:dyDescent="0.45">
      <c r="A403" s="6">
        <f t="shared" si="55"/>
        <v>2023</v>
      </c>
      <c r="B403" s="6">
        <v>2</v>
      </c>
      <c r="C403" s="7">
        <v>44956</v>
      </c>
      <c r="D403" s="6">
        <f t="shared" si="49"/>
        <v>1</v>
      </c>
      <c r="E403" s="6">
        <f t="shared" si="50"/>
        <v>6</v>
      </c>
      <c r="F403" s="6">
        <v>1</v>
      </c>
      <c r="G403" s="6" t="str">
        <f t="shared" si="53"/>
        <v>02</v>
      </c>
      <c r="H403" s="6" t="str">
        <f t="shared" si="54"/>
        <v>02월 1주차</v>
      </c>
      <c r="I403" s="6" t="str">
        <f>H403&amp;" ("&amp;TEXT(C403,"m/dd")&amp;"~"&amp;TEXT(C409,"m/dd")&amp;")"</f>
        <v>02월 1주차 (1/30~2/05)</v>
      </c>
      <c r="J403" s="6" t="str">
        <f>A403&amp;"년 "&amp;WEEKNUM(C403,2)&amp;"주차"&amp;" ("&amp;TEXT(C403,"m/dd")&amp;"~"&amp;TEXT(C409,"m/dd")&amp;")"</f>
        <v>2023년 6주차 (1/30~2/05)</v>
      </c>
      <c r="K403" s="6">
        <f>YEAR(C403)</f>
        <v>2023</v>
      </c>
      <c r="L403" s="6">
        <f>WEEKNUM(C403,2)</f>
        <v>6</v>
      </c>
    </row>
    <row r="404" spans="1:12" x14ac:dyDescent="0.45">
      <c r="A404" s="6">
        <f t="shared" si="55"/>
        <v>2023</v>
      </c>
      <c r="B404" s="6">
        <v>2</v>
      </c>
      <c r="C404" s="7">
        <v>44957</v>
      </c>
      <c r="D404" s="6">
        <f t="shared" si="49"/>
        <v>2</v>
      </c>
      <c r="E404" s="6">
        <f t="shared" si="50"/>
        <v>6</v>
      </c>
      <c r="F404" s="6">
        <v>1</v>
      </c>
      <c r="G404" s="6" t="str">
        <f t="shared" si="53"/>
        <v>02</v>
      </c>
      <c r="H404" s="6" t="str">
        <f t="shared" si="54"/>
        <v>02월 1주차</v>
      </c>
      <c r="I404" s="6" t="str">
        <f>H404&amp;" ("&amp;TEXT(C403,"m/dd")&amp;"~"&amp;TEXT(C409,"m/dd")&amp;")"</f>
        <v>02월 1주차 (1/30~2/05)</v>
      </c>
      <c r="J404" s="6" t="str">
        <f>A403&amp;"년 "&amp;WEEKNUM(C403,2)&amp;"주차"&amp;" ("&amp;TEXT(C403,"m/dd")&amp;"~"&amp;TEXT(C409,"m/dd")&amp;")"</f>
        <v>2023년 6주차 (1/30~2/05)</v>
      </c>
      <c r="K404" s="6">
        <f>YEAR(C403)</f>
        <v>2023</v>
      </c>
      <c r="L404" s="6">
        <f>WEEKNUM(C403,2)</f>
        <v>6</v>
      </c>
    </row>
    <row r="405" spans="1:12" x14ac:dyDescent="0.45">
      <c r="A405" s="6">
        <f t="shared" si="55"/>
        <v>2023</v>
      </c>
      <c r="B405" s="6">
        <f t="shared" si="52"/>
        <v>2</v>
      </c>
      <c r="C405" s="7">
        <v>44958</v>
      </c>
      <c r="D405" s="6">
        <f t="shared" si="49"/>
        <v>3</v>
      </c>
      <c r="E405" s="6">
        <f t="shared" si="50"/>
        <v>6</v>
      </c>
      <c r="F405" s="6">
        <v>1</v>
      </c>
      <c r="G405" s="6" t="str">
        <f t="shared" si="53"/>
        <v>02</v>
      </c>
      <c r="H405" s="6" t="str">
        <f t="shared" si="54"/>
        <v>02월 1주차</v>
      </c>
      <c r="I405" s="6" t="str">
        <f>H405&amp;" ("&amp;TEXT(C403,"m/dd")&amp;"~"&amp;TEXT(C409,"m/dd")&amp;")"</f>
        <v>02월 1주차 (1/30~2/05)</v>
      </c>
      <c r="J405" s="6" t="str">
        <f>A403&amp;"년 "&amp;WEEKNUM(C403,2)&amp;"주차"&amp;" ("&amp;TEXT(C403,"m/dd")&amp;"~"&amp;TEXT(C409,"m/dd")&amp;")"</f>
        <v>2023년 6주차 (1/30~2/05)</v>
      </c>
      <c r="K405" s="6">
        <f>YEAR(C403)</f>
        <v>2023</v>
      </c>
      <c r="L405" s="6">
        <f>WEEKNUM(C403,2)</f>
        <v>6</v>
      </c>
    </row>
    <row r="406" spans="1:12" x14ac:dyDescent="0.45">
      <c r="A406" s="6">
        <f t="shared" si="55"/>
        <v>2023</v>
      </c>
      <c r="B406" s="6">
        <f t="shared" si="52"/>
        <v>2</v>
      </c>
      <c r="C406" s="7">
        <v>44959</v>
      </c>
      <c r="D406" s="6">
        <f t="shared" si="49"/>
        <v>4</v>
      </c>
      <c r="E406" s="6">
        <f t="shared" si="50"/>
        <v>6</v>
      </c>
      <c r="F406" s="6">
        <v>1</v>
      </c>
      <c r="G406" s="6" t="str">
        <f t="shared" si="53"/>
        <v>02</v>
      </c>
      <c r="H406" s="6" t="str">
        <f t="shared" si="54"/>
        <v>02월 1주차</v>
      </c>
      <c r="I406" s="6" t="str">
        <f>H406&amp;" ("&amp;TEXT(C403,"m/dd")&amp;"~"&amp;TEXT(C409,"m/dd")&amp;")"</f>
        <v>02월 1주차 (1/30~2/05)</v>
      </c>
      <c r="J406" s="6" t="str">
        <f>A403&amp;"년 "&amp;WEEKNUM(C403,2)&amp;"주차"&amp;" ("&amp;TEXT(C403,"m/dd")&amp;"~"&amp;TEXT(C409,"m/dd")&amp;")"</f>
        <v>2023년 6주차 (1/30~2/05)</v>
      </c>
      <c r="K406" s="6">
        <f>YEAR(C403)</f>
        <v>2023</v>
      </c>
      <c r="L406" s="6">
        <f>WEEKNUM(C403,2)</f>
        <v>6</v>
      </c>
    </row>
    <row r="407" spans="1:12" x14ac:dyDescent="0.45">
      <c r="A407" s="6">
        <f t="shared" si="55"/>
        <v>2023</v>
      </c>
      <c r="B407" s="6">
        <f t="shared" si="52"/>
        <v>2</v>
      </c>
      <c r="C407" s="7">
        <v>44960</v>
      </c>
      <c r="D407" s="6">
        <f t="shared" si="49"/>
        <v>5</v>
      </c>
      <c r="E407" s="6">
        <f t="shared" si="50"/>
        <v>6</v>
      </c>
      <c r="F407" s="6">
        <v>1</v>
      </c>
      <c r="G407" s="6" t="str">
        <f t="shared" si="53"/>
        <v>02</v>
      </c>
      <c r="H407" s="6" t="str">
        <f t="shared" si="54"/>
        <v>02월 1주차</v>
      </c>
      <c r="I407" s="6" t="str">
        <f>H407&amp;" ("&amp;TEXT(C403,"m/dd")&amp;"~"&amp;TEXT(C409,"m/dd")&amp;")"</f>
        <v>02월 1주차 (1/30~2/05)</v>
      </c>
      <c r="J407" s="6" t="str">
        <f>A403&amp;"년 "&amp;WEEKNUM(C403,2)&amp;"주차"&amp;" ("&amp;TEXT(C403,"m/dd")&amp;"~"&amp;TEXT(C409,"m/dd")&amp;")"</f>
        <v>2023년 6주차 (1/30~2/05)</v>
      </c>
      <c r="K407" s="6">
        <f>YEAR(C403)</f>
        <v>2023</v>
      </c>
      <c r="L407" s="6">
        <f>WEEKNUM(C403,2)</f>
        <v>6</v>
      </c>
    </row>
    <row r="408" spans="1:12" x14ac:dyDescent="0.45">
      <c r="A408" s="6">
        <f t="shared" si="55"/>
        <v>2023</v>
      </c>
      <c r="B408" s="6">
        <f t="shared" si="52"/>
        <v>2</v>
      </c>
      <c r="C408" s="7">
        <v>44961</v>
      </c>
      <c r="D408" s="6">
        <f t="shared" si="49"/>
        <v>6</v>
      </c>
      <c r="E408" s="6">
        <f t="shared" si="50"/>
        <v>6</v>
      </c>
      <c r="F408" s="6">
        <v>1</v>
      </c>
      <c r="G408" s="6" t="str">
        <f t="shared" si="53"/>
        <v>02</v>
      </c>
      <c r="H408" s="6" t="str">
        <f t="shared" si="54"/>
        <v>02월 1주차</v>
      </c>
      <c r="I408" s="6" t="str">
        <f>H408&amp;" ("&amp;TEXT(C403,"m/dd")&amp;"~"&amp;TEXT(C409,"m/dd")&amp;")"</f>
        <v>02월 1주차 (1/30~2/05)</v>
      </c>
      <c r="J408" s="6" t="str">
        <f>A403&amp;"년 "&amp;WEEKNUM(C403,2)&amp;"주차"&amp;" ("&amp;TEXT(C403,"m/dd")&amp;"~"&amp;TEXT(C409,"m/dd")&amp;")"</f>
        <v>2023년 6주차 (1/30~2/05)</v>
      </c>
      <c r="K408" s="6">
        <f>YEAR(C403)</f>
        <v>2023</v>
      </c>
      <c r="L408" s="6">
        <f>WEEKNUM(C403,2)</f>
        <v>6</v>
      </c>
    </row>
    <row r="409" spans="1:12" x14ac:dyDescent="0.45">
      <c r="A409" s="6">
        <f t="shared" si="55"/>
        <v>2023</v>
      </c>
      <c r="B409" s="6">
        <f t="shared" si="52"/>
        <v>2</v>
      </c>
      <c r="C409" s="7">
        <v>44962</v>
      </c>
      <c r="D409" s="6">
        <f t="shared" si="49"/>
        <v>7</v>
      </c>
      <c r="E409" s="6">
        <f t="shared" si="50"/>
        <v>6</v>
      </c>
      <c r="F409" s="6">
        <v>1</v>
      </c>
      <c r="G409" s="6" t="str">
        <f t="shared" si="53"/>
        <v>02</v>
      </c>
      <c r="H409" s="6" t="str">
        <f t="shared" si="54"/>
        <v>02월 1주차</v>
      </c>
      <c r="I409" s="6" t="str">
        <f>H409&amp;" ("&amp;TEXT(C403,"m/dd")&amp;"~"&amp;TEXT(C409,"m/dd")&amp;")"</f>
        <v>02월 1주차 (1/30~2/05)</v>
      </c>
      <c r="J409" s="6" t="str">
        <f>A403&amp;"년 "&amp;WEEKNUM(C403,2)&amp;"주차"&amp;" ("&amp;TEXT(C403,"m/dd")&amp;"~"&amp;TEXT(C409,"m/dd")&amp;")"</f>
        <v>2023년 6주차 (1/30~2/05)</v>
      </c>
      <c r="K409" s="6">
        <f>YEAR(C403)</f>
        <v>2023</v>
      </c>
      <c r="L409" s="6">
        <f>WEEKNUM(C403,2)</f>
        <v>6</v>
      </c>
    </row>
    <row r="410" spans="1:12" x14ac:dyDescent="0.45">
      <c r="A410" s="6">
        <f t="shared" si="55"/>
        <v>2023</v>
      </c>
      <c r="B410" s="6">
        <f t="shared" si="52"/>
        <v>2</v>
      </c>
      <c r="C410" s="7">
        <v>44963</v>
      </c>
      <c r="D410" s="6">
        <f t="shared" si="49"/>
        <v>1</v>
      </c>
      <c r="E410" s="6">
        <f t="shared" si="50"/>
        <v>7</v>
      </c>
      <c r="F410" s="6">
        <v>2</v>
      </c>
      <c r="G410" s="6" t="str">
        <f t="shared" si="53"/>
        <v>02</v>
      </c>
      <c r="H410" s="6" t="str">
        <f t="shared" si="54"/>
        <v>02월 2주차</v>
      </c>
      <c r="I410" s="6" t="str">
        <f>H410&amp;" ("&amp;TEXT(C410,"m/dd")&amp;"~"&amp;TEXT(C416,"m/dd")&amp;")"</f>
        <v>02월 2주차 (2/06~2/12)</v>
      </c>
      <c r="J410" s="6" t="str">
        <f>A410&amp;"년 "&amp;WEEKNUM(C410,2)&amp;"주차"&amp;" ("&amp;TEXT(C410,"m/dd")&amp;"~"&amp;TEXT(C416,"m/dd")&amp;")"</f>
        <v>2023년 7주차 (2/06~2/12)</v>
      </c>
      <c r="K410" s="6">
        <f>YEAR(C410)</f>
        <v>2023</v>
      </c>
      <c r="L410" s="6">
        <f>WEEKNUM(C410,2)</f>
        <v>7</v>
      </c>
    </row>
    <row r="411" spans="1:12" x14ac:dyDescent="0.45">
      <c r="A411" s="6">
        <f t="shared" si="55"/>
        <v>2023</v>
      </c>
      <c r="B411" s="6">
        <f t="shared" si="52"/>
        <v>2</v>
      </c>
      <c r="C411" s="7">
        <v>44964</v>
      </c>
      <c r="D411" s="6">
        <f t="shared" si="49"/>
        <v>2</v>
      </c>
      <c r="E411" s="6">
        <f t="shared" si="50"/>
        <v>7</v>
      </c>
      <c r="F411" s="6">
        <v>2</v>
      </c>
      <c r="G411" s="6" t="str">
        <f t="shared" si="53"/>
        <v>02</v>
      </c>
      <c r="H411" s="6" t="str">
        <f t="shared" si="54"/>
        <v>02월 2주차</v>
      </c>
      <c r="I411" s="6" t="str">
        <f>H411&amp;" ("&amp;TEXT(C410,"m/dd")&amp;"~"&amp;TEXT(C416,"m/dd")&amp;")"</f>
        <v>02월 2주차 (2/06~2/12)</v>
      </c>
      <c r="J411" s="6" t="str">
        <f>A410&amp;"년 "&amp;WEEKNUM(C410,2)&amp;"주차"&amp;" ("&amp;TEXT(C410,"m/dd")&amp;"~"&amp;TEXT(C416,"m/dd")&amp;")"</f>
        <v>2023년 7주차 (2/06~2/12)</v>
      </c>
      <c r="K411" s="6">
        <f>YEAR(C410)</f>
        <v>2023</v>
      </c>
      <c r="L411" s="6">
        <f>WEEKNUM(C410,2)</f>
        <v>7</v>
      </c>
    </row>
    <row r="412" spans="1:12" x14ac:dyDescent="0.45">
      <c r="A412" s="6">
        <f t="shared" si="55"/>
        <v>2023</v>
      </c>
      <c r="B412" s="6">
        <f t="shared" si="52"/>
        <v>2</v>
      </c>
      <c r="C412" s="7">
        <v>44965</v>
      </c>
      <c r="D412" s="6">
        <f t="shared" si="49"/>
        <v>3</v>
      </c>
      <c r="E412" s="6">
        <f t="shared" si="50"/>
        <v>7</v>
      </c>
      <c r="F412" s="6">
        <v>2</v>
      </c>
      <c r="G412" s="6" t="str">
        <f t="shared" si="53"/>
        <v>02</v>
      </c>
      <c r="H412" s="6" t="str">
        <f t="shared" si="54"/>
        <v>02월 2주차</v>
      </c>
      <c r="I412" s="6" t="str">
        <f>H412&amp;" ("&amp;TEXT(C410,"m/dd")&amp;"~"&amp;TEXT(C416,"m/dd")&amp;")"</f>
        <v>02월 2주차 (2/06~2/12)</v>
      </c>
      <c r="J412" s="6" t="str">
        <f>A410&amp;"년 "&amp;WEEKNUM(C410,2)&amp;"주차"&amp;" ("&amp;TEXT(C410,"m/dd")&amp;"~"&amp;TEXT(C416,"m/dd")&amp;")"</f>
        <v>2023년 7주차 (2/06~2/12)</v>
      </c>
      <c r="K412" s="6">
        <f>YEAR(C410)</f>
        <v>2023</v>
      </c>
      <c r="L412" s="6">
        <f>WEEKNUM(C410,2)</f>
        <v>7</v>
      </c>
    </row>
    <row r="413" spans="1:12" x14ac:dyDescent="0.45">
      <c r="A413" s="6">
        <f t="shared" si="55"/>
        <v>2023</v>
      </c>
      <c r="B413" s="6">
        <f t="shared" si="52"/>
        <v>2</v>
      </c>
      <c r="C413" s="7">
        <v>44966</v>
      </c>
      <c r="D413" s="6">
        <f t="shared" si="49"/>
        <v>4</v>
      </c>
      <c r="E413" s="6">
        <f t="shared" si="50"/>
        <v>7</v>
      </c>
      <c r="F413" s="6">
        <v>2</v>
      </c>
      <c r="G413" s="6" t="str">
        <f t="shared" si="53"/>
        <v>02</v>
      </c>
      <c r="H413" s="6" t="str">
        <f t="shared" si="54"/>
        <v>02월 2주차</v>
      </c>
      <c r="I413" s="6" t="str">
        <f>H413&amp;" ("&amp;TEXT(C410,"m/dd")&amp;"~"&amp;TEXT(C416,"m/dd")&amp;")"</f>
        <v>02월 2주차 (2/06~2/12)</v>
      </c>
      <c r="J413" s="6" t="str">
        <f>A410&amp;"년 "&amp;WEEKNUM(C410,2)&amp;"주차"&amp;" ("&amp;TEXT(C410,"m/dd")&amp;"~"&amp;TEXT(C416,"m/dd")&amp;")"</f>
        <v>2023년 7주차 (2/06~2/12)</v>
      </c>
      <c r="K413" s="6">
        <f>YEAR(C410)</f>
        <v>2023</v>
      </c>
      <c r="L413" s="6">
        <f>WEEKNUM(C410,2)</f>
        <v>7</v>
      </c>
    </row>
    <row r="414" spans="1:12" x14ac:dyDescent="0.45">
      <c r="A414" s="6">
        <f t="shared" si="55"/>
        <v>2023</v>
      </c>
      <c r="B414" s="6">
        <f t="shared" si="52"/>
        <v>2</v>
      </c>
      <c r="C414" s="7">
        <v>44967</v>
      </c>
      <c r="D414" s="6">
        <f t="shared" si="49"/>
        <v>5</v>
      </c>
      <c r="E414" s="6">
        <f t="shared" si="50"/>
        <v>7</v>
      </c>
      <c r="F414" s="6">
        <v>2</v>
      </c>
      <c r="G414" s="6" t="str">
        <f t="shared" si="53"/>
        <v>02</v>
      </c>
      <c r="H414" s="6" t="str">
        <f t="shared" si="54"/>
        <v>02월 2주차</v>
      </c>
      <c r="I414" s="6" t="str">
        <f>H414&amp;" ("&amp;TEXT(C410,"m/dd")&amp;"~"&amp;TEXT(C416,"m/dd")&amp;")"</f>
        <v>02월 2주차 (2/06~2/12)</v>
      </c>
      <c r="J414" s="6" t="str">
        <f>A410&amp;"년 "&amp;WEEKNUM(C410,2)&amp;"주차"&amp;" ("&amp;TEXT(C410,"m/dd")&amp;"~"&amp;TEXT(C416,"m/dd")&amp;")"</f>
        <v>2023년 7주차 (2/06~2/12)</v>
      </c>
      <c r="K414" s="6">
        <f>YEAR(C410)</f>
        <v>2023</v>
      </c>
      <c r="L414" s="6">
        <f>WEEKNUM(C410,2)</f>
        <v>7</v>
      </c>
    </row>
    <row r="415" spans="1:12" x14ac:dyDescent="0.45">
      <c r="A415" s="6">
        <f t="shared" si="55"/>
        <v>2023</v>
      </c>
      <c r="B415" s="6">
        <f t="shared" si="52"/>
        <v>2</v>
      </c>
      <c r="C415" s="7">
        <v>44968</v>
      </c>
      <c r="D415" s="6">
        <f>WEEKDAY(C415,2)</f>
        <v>6</v>
      </c>
      <c r="E415" s="6">
        <f>WEEKNUM(C415,2)</f>
        <v>7</v>
      </c>
      <c r="F415" s="6">
        <v>2</v>
      </c>
      <c r="G415" s="6" t="str">
        <f t="shared" si="53"/>
        <v>02</v>
      </c>
      <c r="H415" s="6" t="str">
        <f t="shared" si="54"/>
        <v>02월 2주차</v>
      </c>
      <c r="I415" s="6" t="str">
        <f>H415&amp;" ("&amp;TEXT(C410,"m/dd")&amp;"~"&amp;TEXT(C416,"m/dd")&amp;")"</f>
        <v>02월 2주차 (2/06~2/12)</v>
      </c>
      <c r="J415" s="6" t="str">
        <f>A410&amp;"년 "&amp;WEEKNUM(C410,2)&amp;"주차"&amp;" ("&amp;TEXT(C410,"m/dd")&amp;"~"&amp;TEXT(C416,"m/dd")&amp;")"</f>
        <v>2023년 7주차 (2/06~2/12)</v>
      </c>
      <c r="K415" s="6">
        <f>YEAR(C410)</f>
        <v>2023</v>
      </c>
      <c r="L415" s="6">
        <f>WEEKNUM(C410,2)</f>
        <v>7</v>
      </c>
    </row>
    <row r="416" spans="1:12" x14ac:dyDescent="0.45">
      <c r="A416" s="6">
        <f t="shared" si="55"/>
        <v>2023</v>
      </c>
      <c r="B416" s="6">
        <f t="shared" si="52"/>
        <v>2</v>
      </c>
      <c r="C416" s="7">
        <v>44969</v>
      </c>
      <c r="D416" s="6">
        <f t="shared" si="49"/>
        <v>7</v>
      </c>
      <c r="E416" s="6">
        <f t="shared" ref="E416:E447" si="56">WEEKNUM(C416,2)</f>
        <v>7</v>
      </c>
      <c r="F416" s="6">
        <v>2</v>
      </c>
      <c r="G416" s="6" t="str">
        <f t="shared" si="53"/>
        <v>02</v>
      </c>
      <c r="H416" s="6" t="str">
        <f t="shared" si="54"/>
        <v>02월 2주차</v>
      </c>
      <c r="I416" s="6" t="str">
        <f>H416&amp;" ("&amp;TEXT(C410,"m/dd")&amp;"~"&amp;TEXT(C416,"m/dd")&amp;")"</f>
        <v>02월 2주차 (2/06~2/12)</v>
      </c>
      <c r="J416" s="6" t="str">
        <f>A410&amp;"년 "&amp;WEEKNUM(C410,2)&amp;"주차"&amp;" ("&amp;TEXT(C410,"m/dd")&amp;"~"&amp;TEXT(C416,"m/dd")&amp;")"</f>
        <v>2023년 7주차 (2/06~2/12)</v>
      </c>
      <c r="K416" s="6">
        <f>YEAR(C410)</f>
        <v>2023</v>
      </c>
      <c r="L416" s="6">
        <f>WEEKNUM(C410,2)</f>
        <v>7</v>
      </c>
    </row>
    <row r="417" spans="1:12" x14ac:dyDescent="0.45">
      <c r="A417" s="6">
        <f t="shared" si="55"/>
        <v>2023</v>
      </c>
      <c r="B417" s="6">
        <f t="shared" si="52"/>
        <v>2</v>
      </c>
      <c r="C417" s="7">
        <v>44970</v>
      </c>
      <c r="D417" s="6">
        <f t="shared" si="49"/>
        <v>1</v>
      </c>
      <c r="E417" s="6">
        <f t="shared" si="56"/>
        <v>8</v>
      </c>
      <c r="F417" s="6">
        <v>3</v>
      </c>
      <c r="G417" s="6" t="str">
        <f t="shared" si="53"/>
        <v>02</v>
      </c>
      <c r="H417" s="6" t="str">
        <f t="shared" si="54"/>
        <v>02월 3주차</v>
      </c>
      <c r="I417" s="6" t="str">
        <f>H417&amp;" ("&amp;TEXT(C417,"m/dd")&amp;"~"&amp;TEXT(C423,"m/dd")&amp;")"</f>
        <v>02월 3주차 (2/13~2/19)</v>
      </c>
      <c r="J417" s="6" t="str">
        <f>A417&amp;"년 "&amp;WEEKNUM(C417,2)&amp;"주차"&amp;" ("&amp;TEXT(C417,"m/dd")&amp;"~"&amp;TEXT(C423,"m/dd")&amp;")"</f>
        <v>2023년 8주차 (2/13~2/19)</v>
      </c>
      <c r="K417" s="6">
        <f>YEAR(C417)</f>
        <v>2023</v>
      </c>
      <c r="L417" s="6">
        <f>WEEKNUM(C417,2)</f>
        <v>8</v>
      </c>
    </row>
    <row r="418" spans="1:12" x14ac:dyDescent="0.45">
      <c r="A418" s="6">
        <f t="shared" si="55"/>
        <v>2023</v>
      </c>
      <c r="B418" s="6">
        <f t="shared" si="52"/>
        <v>2</v>
      </c>
      <c r="C418" s="7">
        <v>44971</v>
      </c>
      <c r="D418" s="6">
        <f t="shared" si="49"/>
        <v>2</v>
      </c>
      <c r="E418" s="6">
        <f t="shared" si="56"/>
        <v>8</v>
      </c>
      <c r="F418" s="6">
        <v>3</v>
      </c>
      <c r="G418" s="6" t="str">
        <f t="shared" si="53"/>
        <v>02</v>
      </c>
      <c r="H418" s="6" t="str">
        <f t="shared" si="54"/>
        <v>02월 3주차</v>
      </c>
      <c r="I418" s="6" t="str">
        <f>H418&amp;" ("&amp;TEXT(C417,"m/dd")&amp;"~"&amp;TEXT(C423,"m/dd")&amp;")"</f>
        <v>02월 3주차 (2/13~2/19)</v>
      </c>
      <c r="J418" s="6" t="str">
        <f>A417&amp;"년 "&amp;WEEKNUM(C417,2)&amp;"주차"&amp;" ("&amp;TEXT(C417,"m/dd")&amp;"~"&amp;TEXT(C423,"m/dd")&amp;")"</f>
        <v>2023년 8주차 (2/13~2/19)</v>
      </c>
      <c r="K418" s="6">
        <f>YEAR(C417)</f>
        <v>2023</v>
      </c>
      <c r="L418" s="6">
        <f>WEEKNUM(C417,2)</f>
        <v>8</v>
      </c>
    </row>
    <row r="419" spans="1:12" x14ac:dyDescent="0.45">
      <c r="A419" s="6">
        <f t="shared" si="55"/>
        <v>2023</v>
      </c>
      <c r="B419" s="6">
        <f t="shared" si="52"/>
        <v>2</v>
      </c>
      <c r="C419" s="7">
        <v>44972</v>
      </c>
      <c r="D419" s="6">
        <f t="shared" si="49"/>
        <v>3</v>
      </c>
      <c r="E419" s="6">
        <f t="shared" si="56"/>
        <v>8</v>
      </c>
      <c r="F419" s="6">
        <v>3</v>
      </c>
      <c r="G419" s="6" t="str">
        <f t="shared" si="53"/>
        <v>02</v>
      </c>
      <c r="H419" s="6" t="str">
        <f t="shared" si="54"/>
        <v>02월 3주차</v>
      </c>
      <c r="I419" s="6" t="str">
        <f>H419&amp;" ("&amp;TEXT(C417,"m/dd")&amp;"~"&amp;TEXT(C423,"m/dd")&amp;")"</f>
        <v>02월 3주차 (2/13~2/19)</v>
      </c>
      <c r="J419" s="6" t="str">
        <f>A417&amp;"년 "&amp;WEEKNUM(C417,2)&amp;"주차"&amp;" ("&amp;TEXT(C417,"m/dd")&amp;"~"&amp;TEXT(C423,"m/dd")&amp;")"</f>
        <v>2023년 8주차 (2/13~2/19)</v>
      </c>
      <c r="K419" s="6">
        <f>YEAR(C417)</f>
        <v>2023</v>
      </c>
      <c r="L419" s="6">
        <f>WEEKNUM(C417,2)</f>
        <v>8</v>
      </c>
    </row>
    <row r="420" spans="1:12" x14ac:dyDescent="0.45">
      <c r="A420" s="6">
        <f t="shared" si="55"/>
        <v>2023</v>
      </c>
      <c r="B420" s="6">
        <f t="shared" si="52"/>
        <v>2</v>
      </c>
      <c r="C420" s="7">
        <v>44973</v>
      </c>
      <c r="D420" s="6">
        <f t="shared" si="49"/>
        <v>4</v>
      </c>
      <c r="E420" s="6">
        <f t="shared" si="56"/>
        <v>8</v>
      </c>
      <c r="F420" s="6">
        <v>3</v>
      </c>
      <c r="G420" s="6" t="str">
        <f t="shared" si="53"/>
        <v>02</v>
      </c>
      <c r="H420" s="6" t="str">
        <f t="shared" si="54"/>
        <v>02월 3주차</v>
      </c>
      <c r="I420" s="6" t="str">
        <f>H420&amp;" ("&amp;TEXT(C417,"m/dd")&amp;"~"&amp;TEXT(C423,"m/dd")&amp;")"</f>
        <v>02월 3주차 (2/13~2/19)</v>
      </c>
      <c r="J420" s="6" t="str">
        <f>A417&amp;"년 "&amp;WEEKNUM(C417,2)&amp;"주차"&amp;" ("&amp;TEXT(C417,"m/dd")&amp;"~"&amp;TEXT(C423,"m/dd")&amp;")"</f>
        <v>2023년 8주차 (2/13~2/19)</v>
      </c>
      <c r="K420" s="6">
        <f>YEAR(C417)</f>
        <v>2023</v>
      </c>
      <c r="L420" s="6">
        <f>WEEKNUM(C417,2)</f>
        <v>8</v>
      </c>
    </row>
    <row r="421" spans="1:12" x14ac:dyDescent="0.45">
      <c r="A421" s="6">
        <f t="shared" si="55"/>
        <v>2023</v>
      </c>
      <c r="B421" s="6">
        <f t="shared" si="52"/>
        <v>2</v>
      </c>
      <c r="C421" s="7">
        <v>44974</v>
      </c>
      <c r="D421" s="6">
        <f t="shared" si="49"/>
        <v>5</v>
      </c>
      <c r="E421" s="6">
        <f t="shared" si="56"/>
        <v>8</v>
      </c>
      <c r="F421" s="6">
        <v>3</v>
      </c>
      <c r="G421" s="6" t="str">
        <f t="shared" si="53"/>
        <v>02</v>
      </c>
      <c r="H421" s="6" t="str">
        <f t="shared" si="54"/>
        <v>02월 3주차</v>
      </c>
      <c r="I421" s="6" t="str">
        <f>H421&amp;" ("&amp;TEXT(C417,"m/dd")&amp;"~"&amp;TEXT(C423,"m/dd")&amp;")"</f>
        <v>02월 3주차 (2/13~2/19)</v>
      </c>
      <c r="J421" s="6" t="str">
        <f>A417&amp;"년 "&amp;WEEKNUM(C417,2)&amp;"주차"&amp;" ("&amp;TEXT(C417,"m/dd")&amp;"~"&amp;TEXT(C423,"m/dd")&amp;")"</f>
        <v>2023년 8주차 (2/13~2/19)</v>
      </c>
      <c r="K421" s="6">
        <f>YEAR(C417)</f>
        <v>2023</v>
      </c>
      <c r="L421" s="6">
        <f>WEEKNUM(C417,2)</f>
        <v>8</v>
      </c>
    </row>
    <row r="422" spans="1:12" x14ac:dyDescent="0.45">
      <c r="A422" s="6">
        <f t="shared" si="55"/>
        <v>2023</v>
      </c>
      <c r="B422" s="6">
        <f t="shared" si="52"/>
        <v>2</v>
      </c>
      <c r="C422" s="7">
        <v>44975</v>
      </c>
      <c r="D422" s="6">
        <f t="shared" si="49"/>
        <v>6</v>
      </c>
      <c r="E422" s="6">
        <f t="shared" si="56"/>
        <v>8</v>
      </c>
      <c r="F422" s="6">
        <v>3</v>
      </c>
      <c r="G422" s="6" t="str">
        <f t="shared" si="53"/>
        <v>02</v>
      </c>
      <c r="H422" s="6" t="str">
        <f t="shared" si="54"/>
        <v>02월 3주차</v>
      </c>
      <c r="I422" s="6" t="str">
        <f>H422&amp;" ("&amp;TEXT(C417,"m/dd")&amp;"~"&amp;TEXT(C423,"m/dd")&amp;")"</f>
        <v>02월 3주차 (2/13~2/19)</v>
      </c>
      <c r="J422" s="6" t="str">
        <f>A417&amp;"년 "&amp;WEEKNUM(C417,2)&amp;"주차"&amp;" ("&amp;TEXT(C417,"m/dd")&amp;"~"&amp;TEXT(C423,"m/dd")&amp;")"</f>
        <v>2023년 8주차 (2/13~2/19)</v>
      </c>
      <c r="K422" s="6">
        <f>YEAR(C417)</f>
        <v>2023</v>
      </c>
      <c r="L422" s="6">
        <f>WEEKNUM(C417,2)</f>
        <v>8</v>
      </c>
    </row>
    <row r="423" spans="1:12" x14ac:dyDescent="0.45">
      <c r="A423" s="6">
        <f t="shared" si="55"/>
        <v>2023</v>
      </c>
      <c r="B423" s="6">
        <f t="shared" si="52"/>
        <v>2</v>
      </c>
      <c r="C423" s="7">
        <v>44976</v>
      </c>
      <c r="D423" s="6">
        <f t="shared" si="49"/>
        <v>7</v>
      </c>
      <c r="E423" s="6">
        <f t="shared" si="56"/>
        <v>8</v>
      </c>
      <c r="F423" s="6">
        <v>3</v>
      </c>
      <c r="G423" s="6" t="str">
        <f t="shared" si="53"/>
        <v>02</v>
      </c>
      <c r="H423" s="6" t="str">
        <f t="shared" si="54"/>
        <v>02월 3주차</v>
      </c>
      <c r="I423" s="6" t="str">
        <f>H423&amp;" ("&amp;TEXT(C417,"m/dd")&amp;"~"&amp;TEXT(C423,"m/dd")&amp;")"</f>
        <v>02월 3주차 (2/13~2/19)</v>
      </c>
      <c r="J423" s="6" t="str">
        <f>A417&amp;"년 "&amp;WEEKNUM(C417,2)&amp;"주차"&amp;" ("&amp;TEXT(C417,"m/dd")&amp;"~"&amp;TEXT(C423,"m/dd")&amp;")"</f>
        <v>2023년 8주차 (2/13~2/19)</v>
      </c>
      <c r="K423" s="6">
        <f>YEAR(C417)</f>
        <v>2023</v>
      </c>
      <c r="L423" s="6">
        <f>WEEKNUM(C417,2)</f>
        <v>8</v>
      </c>
    </row>
    <row r="424" spans="1:12" x14ac:dyDescent="0.45">
      <c r="A424" s="6">
        <f t="shared" si="55"/>
        <v>2023</v>
      </c>
      <c r="B424" s="6">
        <f t="shared" si="52"/>
        <v>2</v>
      </c>
      <c r="C424" s="7">
        <v>44977</v>
      </c>
      <c r="D424" s="6">
        <f t="shared" si="49"/>
        <v>1</v>
      </c>
      <c r="E424" s="6">
        <f t="shared" si="56"/>
        <v>9</v>
      </c>
      <c r="F424" s="6">
        <v>4</v>
      </c>
      <c r="G424" s="6" t="str">
        <f t="shared" si="53"/>
        <v>02</v>
      </c>
      <c r="H424" s="6" t="str">
        <f t="shared" si="54"/>
        <v>02월 4주차</v>
      </c>
      <c r="I424" s="6" t="str">
        <f>H424&amp;" ("&amp;TEXT(C424,"m/dd")&amp;"~"&amp;TEXT(C430,"m/dd")&amp;")"</f>
        <v>02월 4주차 (2/20~2/26)</v>
      </c>
      <c r="J424" s="6" t="str">
        <f>A424&amp;"년 "&amp;WEEKNUM(C424,2)&amp;"주차"&amp;" ("&amp;TEXT(C424,"m/dd")&amp;"~"&amp;TEXT(C430,"m/dd")&amp;")"</f>
        <v>2023년 9주차 (2/20~2/26)</v>
      </c>
      <c r="K424" s="6">
        <f>YEAR(C424)</f>
        <v>2023</v>
      </c>
      <c r="L424" s="6">
        <f>WEEKNUM(C424,2)</f>
        <v>9</v>
      </c>
    </row>
    <row r="425" spans="1:12" x14ac:dyDescent="0.45">
      <c r="A425" s="6">
        <f t="shared" si="55"/>
        <v>2023</v>
      </c>
      <c r="B425" s="6">
        <f t="shared" si="52"/>
        <v>2</v>
      </c>
      <c r="C425" s="7">
        <v>44978</v>
      </c>
      <c r="D425" s="6">
        <f t="shared" si="49"/>
        <v>2</v>
      </c>
      <c r="E425" s="6">
        <f t="shared" si="56"/>
        <v>9</v>
      </c>
      <c r="F425" s="6">
        <v>4</v>
      </c>
      <c r="G425" s="6" t="str">
        <f t="shared" si="53"/>
        <v>02</v>
      </c>
      <c r="H425" s="6" t="str">
        <f t="shared" si="54"/>
        <v>02월 4주차</v>
      </c>
      <c r="I425" s="6" t="str">
        <f>H425&amp;" ("&amp;TEXT(C424,"m/dd")&amp;"~"&amp;TEXT(C430,"m/dd")&amp;")"</f>
        <v>02월 4주차 (2/20~2/26)</v>
      </c>
      <c r="J425" s="6" t="str">
        <f>A424&amp;"년 "&amp;WEEKNUM(C424,2)&amp;"주차"&amp;" ("&amp;TEXT(C424,"m/dd")&amp;"~"&amp;TEXT(C430,"m/dd")&amp;")"</f>
        <v>2023년 9주차 (2/20~2/26)</v>
      </c>
      <c r="K425" s="6">
        <f>YEAR(C424)</f>
        <v>2023</v>
      </c>
      <c r="L425" s="6">
        <f>WEEKNUM(C424,2)</f>
        <v>9</v>
      </c>
    </row>
    <row r="426" spans="1:12" x14ac:dyDescent="0.45">
      <c r="A426" s="6">
        <f t="shared" si="55"/>
        <v>2023</v>
      </c>
      <c r="B426" s="6">
        <f t="shared" si="52"/>
        <v>2</v>
      </c>
      <c r="C426" s="7">
        <v>44979</v>
      </c>
      <c r="D426" s="6">
        <f t="shared" si="49"/>
        <v>3</v>
      </c>
      <c r="E426" s="6">
        <f t="shared" si="56"/>
        <v>9</v>
      </c>
      <c r="F426" s="6">
        <v>4</v>
      </c>
      <c r="G426" s="6" t="str">
        <f t="shared" si="53"/>
        <v>02</v>
      </c>
      <c r="H426" s="6" t="str">
        <f t="shared" si="54"/>
        <v>02월 4주차</v>
      </c>
      <c r="I426" s="6" t="str">
        <f>H426&amp;" ("&amp;TEXT(C424,"m/dd")&amp;"~"&amp;TEXT(C430,"m/dd")&amp;")"</f>
        <v>02월 4주차 (2/20~2/26)</v>
      </c>
      <c r="J426" s="6" t="str">
        <f>A424&amp;"년 "&amp;WEEKNUM(C424,2)&amp;"주차"&amp;" ("&amp;TEXT(C424,"m/dd")&amp;"~"&amp;TEXT(C430,"m/dd")&amp;")"</f>
        <v>2023년 9주차 (2/20~2/26)</v>
      </c>
      <c r="K426" s="6">
        <f>YEAR(C424)</f>
        <v>2023</v>
      </c>
      <c r="L426" s="6">
        <f>WEEKNUM(C424,2)</f>
        <v>9</v>
      </c>
    </row>
    <row r="427" spans="1:12" x14ac:dyDescent="0.45">
      <c r="A427" s="6">
        <f t="shared" si="55"/>
        <v>2023</v>
      </c>
      <c r="B427" s="6">
        <f t="shared" si="52"/>
        <v>2</v>
      </c>
      <c r="C427" s="7">
        <v>44980</v>
      </c>
      <c r="D427" s="6">
        <f t="shared" si="49"/>
        <v>4</v>
      </c>
      <c r="E427" s="6">
        <f t="shared" si="56"/>
        <v>9</v>
      </c>
      <c r="F427" s="6">
        <v>4</v>
      </c>
      <c r="G427" s="6" t="str">
        <f t="shared" si="53"/>
        <v>02</v>
      </c>
      <c r="H427" s="6" t="str">
        <f t="shared" si="54"/>
        <v>02월 4주차</v>
      </c>
      <c r="I427" s="6" t="str">
        <f>H427&amp;" ("&amp;TEXT(C424,"m/dd")&amp;"~"&amp;TEXT(C430,"m/dd")&amp;")"</f>
        <v>02월 4주차 (2/20~2/26)</v>
      </c>
      <c r="J427" s="6" t="str">
        <f>A424&amp;"년 "&amp;WEEKNUM(C424,2)&amp;"주차"&amp;" ("&amp;TEXT(C424,"m/dd")&amp;"~"&amp;TEXT(C430,"m/dd")&amp;")"</f>
        <v>2023년 9주차 (2/20~2/26)</v>
      </c>
      <c r="K427" s="6">
        <f>YEAR(C424)</f>
        <v>2023</v>
      </c>
      <c r="L427" s="6">
        <f>WEEKNUM(C424,2)</f>
        <v>9</v>
      </c>
    </row>
    <row r="428" spans="1:12" x14ac:dyDescent="0.45">
      <c r="A428" s="6">
        <f t="shared" si="55"/>
        <v>2023</v>
      </c>
      <c r="B428" s="6">
        <f t="shared" si="52"/>
        <v>2</v>
      </c>
      <c r="C428" s="7">
        <v>44981</v>
      </c>
      <c r="D428" s="6">
        <f t="shared" si="49"/>
        <v>5</v>
      </c>
      <c r="E428" s="6">
        <f t="shared" si="56"/>
        <v>9</v>
      </c>
      <c r="F428" s="6">
        <v>4</v>
      </c>
      <c r="G428" s="6" t="str">
        <f t="shared" si="53"/>
        <v>02</v>
      </c>
      <c r="H428" s="6" t="str">
        <f t="shared" si="54"/>
        <v>02월 4주차</v>
      </c>
      <c r="I428" s="6" t="str">
        <f>H428&amp;" ("&amp;TEXT(C424,"m/dd")&amp;"~"&amp;TEXT(C430,"m/dd")&amp;")"</f>
        <v>02월 4주차 (2/20~2/26)</v>
      </c>
      <c r="J428" s="6" t="str">
        <f>A424&amp;"년 "&amp;WEEKNUM(C424,2)&amp;"주차"&amp;" ("&amp;TEXT(C424,"m/dd")&amp;"~"&amp;TEXT(C430,"m/dd")&amp;")"</f>
        <v>2023년 9주차 (2/20~2/26)</v>
      </c>
      <c r="K428" s="6">
        <f>YEAR(C424)</f>
        <v>2023</v>
      </c>
      <c r="L428" s="6">
        <f>WEEKNUM(C424,2)</f>
        <v>9</v>
      </c>
    </row>
    <row r="429" spans="1:12" x14ac:dyDescent="0.45">
      <c r="A429" s="6">
        <f t="shared" si="55"/>
        <v>2023</v>
      </c>
      <c r="B429" s="6">
        <f t="shared" si="52"/>
        <v>2</v>
      </c>
      <c r="C429" s="7">
        <v>44982</v>
      </c>
      <c r="D429" s="6">
        <f t="shared" si="49"/>
        <v>6</v>
      </c>
      <c r="E429" s="6">
        <f t="shared" si="56"/>
        <v>9</v>
      </c>
      <c r="F429" s="6">
        <v>4</v>
      </c>
      <c r="G429" s="6" t="str">
        <f t="shared" si="53"/>
        <v>02</v>
      </c>
      <c r="H429" s="6" t="str">
        <f t="shared" si="54"/>
        <v>02월 4주차</v>
      </c>
      <c r="I429" s="6" t="str">
        <f>H429&amp;" ("&amp;TEXT(C424,"m/dd")&amp;"~"&amp;TEXT(C430,"m/dd")&amp;")"</f>
        <v>02월 4주차 (2/20~2/26)</v>
      </c>
      <c r="J429" s="6" t="str">
        <f>A424&amp;"년 "&amp;WEEKNUM(C424,2)&amp;"주차"&amp;" ("&amp;TEXT(C424,"m/dd")&amp;"~"&amp;TEXT(C430,"m/dd")&amp;")"</f>
        <v>2023년 9주차 (2/20~2/26)</v>
      </c>
      <c r="K429" s="6">
        <f>YEAR(C424)</f>
        <v>2023</v>
      </c>
      <c r="L429" s="6">
        <f>WEEKNUM(C424,2)</f>
        <v>9</v>
      </c>
    </row>
    <row r="430" spans="1:12" x14ac:dyDescent="0.45">
      <c r="A430" s="6">
        <f t="shared" si="55"/>
        <v>2023</v>
      </c>
      <c r="B430" s="6">
        <f t="shared" si="52"/>
        <v>2</v>
      </c>
      <c r="C430" s="7">
        <v>44983</v>
      </c>
      <c r="D430" s="6">
        <f t="shared" si="49"/>
        <v>7</v>
      </c>
      <c r="E430" s="6">
        <f t="shared" si="56"/>
        <v>9</v>
      </c>
      <c r="F430" s="6">
        <v>4</v>
      </c>
      <c r="G430" s="6" t="str">
        <f t="shared" si="53"/>
        <v>02</v>
      </c>
      <c r="H430" s="6" t="str">
        <f t="shared" si="54"/>
        <v>02월 4주차</v>
      </c>
      <c r="I430" s="6" t="str">
        <f>H430&amp;" ("&amp;TEXT(C424,"m/dd")&amp;"~"&amp;TEXT(C430,"m/dd")&amp;")"</f>
        <v>02월 4주차 (2/20~2/26)</v>
      </c>
      <c r="J430" s="6" t="str">
        <f>A424&amp;"년 "&amp;WEEKNUM(C424,2)&amp;"주차"&amp;" ("&amp;TEXT(C424,"m/dd")&amp;"~"&amp;TEXT(C430,"m/dd")&amp;")"</f>
        <v>2023년 9주차 (2/20~2/26)</v>
      </c>
      <c r="K430" s="6">
        <f>YEAR(C424)</f>
        <v>2023</v>
      </c>
      <c r="L430" s="6">
        <f>WEEKNUM(C424,2)</f>
        <v>9</v>
      </c>
    </row>
    <row r="431" spans="1:12" x14ac:dyDescent="0.45">
      <c r="A431" s="6">
        <f t="shared" si="55"/>
        <v>2023</v>
      </c>
      <c r="B431" s="6">
        <v>3</v>
      </c>
      <c r="C431" s="7">
        <v>44984</v>
      </c>
      <c r="D431" s="6">
        <f t="shared" si="49"/>
        <v>1</v>
      </c>
      <c r="E431" s="6">
        <f t="shared" si="56"/>
        <v>10</v>
      </c>
      <c r="F431" s="6">
        <v>1</v>
      </c>
      <c r="G431" s="6" t="str">
        <f t="shared" si="53"/>
        <v>03</v>
      </c>
      <c r="H431" s="6" t="str">
        <f t="shared" si="54"/>
        <v>03월 1주차</v>
      </c>
      <c r="I431" s="6" t="str">
        <f>H431&amp;" ("&amp;TEXT(C431,"m/dd")&amp;"~"&amp;TEXT(C437,"m/dd")&amp;")"</f>
        <v>03월 1주차 (2/27~3/05)</v>
      </c>
      <c r="J431" s="6" t="str">
        <f>A431&amp;"년 "&amp;WEEKNUM(C431,2)&amp;"주차"&amp;" ("&amp;TEXT(C431,"m/dd")&amp;"~"&amp;TEXT(C437,"m/dd")&amp;")"</f>
        <v>2023년 10주차 (2/27~3/05)</v>
      </c>
      <c r="K431" s="6">
        <f>YEAR(C431)</f>
        <v>2023</v>
      </c>
      <c r="L431" s="6">
        <f>WEEKNUM(C431,2)</f>
        <v>10</v>
      </c>
    </row>
    <row r="432" spans="1:12" x14ac:dyDescent="0.45">
      <c r="A432" s="6">
        <f t="shared" si="55"/>
        <v>2023</v>
      </c>
      <c r="B432" s="6">
        <v>3</v>
      </c>
      <c r="C432" s="7">
        <v>44985</v>
      </c>
      <c r="D432" s="6">
        <f t="shared" si="49"/>
        <v>2</v>
      </c>
      <c r="E432" s="6">
        <f t="shared" si="56"/>
        <v>10</v>
      </c>
      <c r="F432" s="6">
        <v>1</v>
      </c>
      <c r="G432" s="6" t="str">
        <f t="shared" si="53"/>
        <v>03</v>
      </c>
      <c r="H432" s="6" t="str">
        <f t="shared" si="54"/>
        <v>03월 1주차</v>
      </c>
      <c r="I432" s="6" t="str">
        <f>H432&amp;" ("&amp;TEXT(C431,"m/dd")&amp;"~"&amp;TEXT(C437,"m/dd")&amp;")"</f>
        <v>03월 1주차 (2/27~3/05)</v>
      </c>
      <c r="J432" s="6" t="str">
        <f>A431&amp;"년 "&amp;WEEKNUM(C431,2)&amp;"주차"&amp;" ("&amp;TEXT(C431,"m/dd")&amp;"~"&amp;TEXT(C437,"m/dd")&amp;")"</f>
        <v>2023년 10주차 (2/27~3/05)</v>
      </c>
      <c r="K432" s="6">
        <f>YEAR(C431)</f>
        <v>2023</v>
      </c>
      <c r="L432" s="6">
        <f>WEEKNUM(C431,2)</f>
        <v>10</v>
      </c>
    </row>
    <row r="433" spans="1:12" x14ac:dyDescent="0.45">
      <c r="A433" s="6">
        <f t="shared" si="55"/>
        <v>2023</v>
      </c>
      <c r="B433" s="6">
        <f t="shared" si="52"/>
        <v>3</v>
      </c>
      <c r="C433" s="7">
        <v>44986</v>
      </c>
      <c r="D433" s="6">
        <f t="shared" si="49"/>
        <v>3</v>
      </c>
      <c r="E433" s="6">
        <f t="shared" si="56"/>
        <v>10</v>
      </c>
      <c r="F433" s="6">
        <v>1</v>
      </c>
      <c r="G433" s="6" t="str">
        <f t="shared" si="53"/>
        <v>03</v>
      </c>
      <c r="H433" s="6" t="str">
        <f t="shared" si="54"/>
        <v>03월 1주차</v>
      </c>
      <c r="I433" s="6" t="str">
        <f>H433&amp;" ("&amp;TEXT(C431,"m/dd")&amp;"~"&amp;TEXT(C437,"m/dd")&amp;")"</f>
        <v>03월 1주차 (2/27~3/05)</v>
      </c>
      <c r="J433" s="6" t="str">
        <f>A431&amp;"년 "&amp;WEEKNUM(C431,2)&amp;"주차"&amp;" ("&amp;TEXT(C431,"m/dd")&amp;"~"&amp;TEXT(C437,"m/dd")&amp;")"</f>
        <v>2023년 10주차 (2/27~3/05)</v>
      </c>
      <c r="K433" s="6">
        <f>YEAR(C431)</f>
        <v>2023</v>
      </c>
      <c r="L433" s="6">
        <f>WEEKNUM(C431,2)</f>
        <v>10</v>
      </c>
    </row>
    <row r="434" spans="1:12" x14ac:dyDescent="0.45">
      <c r="A434" s="6">
        <f t="shared" si="55"/>
        <v>2023</v>
      </c>
      <c r="B434" s="6">
        <f t="shared" si="52"/>
        <v>3</v>
      </c>
      <c r="C434" s="7">
        <v>44987</v>
      </c>
      <c r="D434" s="6">
        <f t="shared" si="49"/>
        <v>4</v>
      </c>
      <c r="E434" s="6">
        <f t="shared" si="56"/>
        <v>10</v>
      </c>
      <c r="F434" s="6">
        <v>1</v>
      </c>
      <c r="G434" s="6" t="str">
        <f t="shared" si="53"/>
        <v>03</v>
      </c>
      <c r="H434" s="6" t="str">
        <f t="shared" si="54"/>
        <v>03월 1주차</v>
      </c>
      <c r="I434" s="6" t="str">
        <f>H434&amp;" ("&amp;TEXT(C431,"m/dd")&amp;"~"&amp;TEXT(C437,"m/dd")&amp;")"</f>
        <v>03월 1주차 (2/27~3/05)</v>
      </c>
      <c r="J434" s="6" t="str">
        <f>A431&amp;"년 "&amp;WEEKNUM(C431,2)&amp;"주차"&amp;" ("&amp;TEXT(C431,"m/dd")&amp;"~"&amp;TEXT(C437,"m/dd")&amp;")"</f>
        <v>2023년 10주차 (2/27~3/05)</v>
      </c>
      <c r="K434" s="6">
        <f>YEAR(C431)</f>
        <v>2023</v>
      </c>
      <c r="L434" s="6">
        <f>WEEKNUM(C431,2)</f>
        <v>10</v>
      </c>
    </row>
    <row r="435" spans="1:12" x14ac:dyDescent="0.45">
      <c r="A435" s="6">
        <f t="shared" si="55"/>
        <v>2023</v>
      </c>
      <c r="B435" s="6">
        <f t="shared" si="52"/>
        <v>3</v>
      </c>
      <c r="C435" s="7">
        <v>44988</v>
      </c>
      <c r="D435" s="6">
        <f t="shared" si="49"/>
        <v>5</v>
      </c>
      <c r="E435" s="6">
        <f t="shared" si="56"/>
        <v>10</v>
      </c>
      <c r="F435" s="6">
        <v>1</v>
      </c>
      <c r="G435" s="6" t="str">
        <f t="shared" si="53"/>
        <v>03</v>
      </c>
      <c r="H435" s="6" t="str">
        <f t="shared" si="54"/>
        <v>03월 1주차</v>
      </c>
      <c r="I435" s="6" t="str">
        <f>H435&amp;" ("&amp;TEXT(C431,"m/dd")&amp;"~"&amp;TEXT(C437,"m/dd")&amp;")"</f>
        <v>03월 1주차 (2/27~3/05)</v>
      </c>
      <c r="J435" s="6" t="str">
        <f>A431&amp;"년 "&amp;WEEKNUM(C431,2)&amp;"주차"&amp;" ("&amp;TEXT(C431,"m/dd")&amp;"~"&amp;TEXT(C437,"m/dd")&amp;")"</f>
        <v>2023년 10주차 (2/27~3/05)</v>
      </c>
      <c r="K435" s="6">
        <f>YEAR(C431)</f>
        <v>2023</v>
      </c>
      <c r="L435" s="6">
        <f>WEEKNUM(C431,2)</f>
        <v>10</v>
      </c>
    </row>
    <row r="436" spans="1:12" x14ac:dyDescent="0.45">
      <c r="A436" s="6">
        <f t="shared" si="55"/>
        <v>2023</v>
      </c>
      <c r="B436" s="6">
        <f t="shared" si="52"/>
        <v>3</v>
      </c>
      <c r="C436" s="7">
        <v>44989</v>
      </c>
      <c r="D436" s="6">
        <f t="shared" si="49"/>
        <v>6</v>
      </c>
      <c r="E436" s="6">
        <f t="shared" si="56"/>
        <v>10</v>
      </c>
      <c r="F436" s="6">
        <v>1</v>
      </c>
      <c r="G436" s="6" t="str">
        <f t="shared" si="53"/>
        <v>03</v>
      </c>
      <c r="H436" s="6" t="str">
        <f t="shared" si="54"/>
        <v>03월 1주차</v>
      </c>
      <c r="I436" s="6" t="str">
        <f>H436&amp;" ("&amp;TEXT(C431,"m/dd")&amp;"~"&amp;TEXT(C437,"m/dd")&amp;")"</f>
        <v>03월 1주차 (2/27~3/05)</v>
      </c>
      <c r="J436" s="6" t="str">
        <f>A431&amp;"년 "&amp;WEEKNUM(C431,2)&amp;"주차"&amp;" ("&amp;TEXT(C431,"m/dd")&amp;"~"&amp;TEXT(C437,"m/dd")&amp;")"</f>
        <v>2023년 10주차 (2/27~3/05)</v>
      </c>
      <c r="K436" s="6">
        <f>YEAR(C431)</f>
        <v>2023</v>
      </c>
      <c r="L436" s="6">
        <f>WEEKNUM(C431,2)</f>
        <v>10</v>
      </c>
    </row>
    <row r="437" spans="1:12" x14ac:dyDescent="0.45">
      <c r="A437" s="6">
        <f t="shared" si="55"/>
        <v>2023</v>
      </c>
      <c r="B437" s="6">
        <f t="shared" si="52"/>
        <v>3</v>
      </c>
      <c r="C437" s="7">
        <v>44990</v>
      </c>
      <c r="D437" s="6">
        <f t="shared" si="49"/>
        <v>7</v>
      </c>
      <c r="E437" s="6">
        <f t="shared" si="56"/>
        <v>10</v>
      </c>
      <c r="F437" s="6">
        <v>1</v>
      </c>
      <c r="G437" s="6" t="str">
        <f t="shared" si="53"/>
        <v>03</v>
      </c>
      <c r="H437" s="6" t="str">
        <f t="shared" si="54"/>
        <v>03월 1주차</v>
      </c>
      <c r="I437" s="6" t="str">
        <f>H437&amp;" ("&amp;TEXT(C431,"m/dd")&amp;"~"&amp;TEXT(C437,"m/dd")&amp;")"</f>
        <v>03월 1주차 (2/27~3/05)</v>
      </c>
      <c r="J437" s="6" t="str">
        <f>A431&amp;"년 "&amp;WEEKNUM(C431,2)&amp;"주차"&amp;" ("&amp;TEXT(C431,"m/dd")&amp;"~"&amp;TEXT(C437,"m/dd")&amp;")"</f>
        <v>2023년 10주차 (2/27~3/05)</v>
      </c>
      <c r="K437" s="6">
        <f>YEAR(C431)</f>
        <v>2023</v>
      </c>
      <c r="L437" s="6">
        <f>WEEKNUM(C431,2)</f>
        <v>10</v>
      </c>
    </row>
    <row r="438" spans="1:12" x14ac:dyDescent="0.45">
      <c r="A438" s="6">
        <f t="shared" si="55"/>
        <v>2023</v>
      </c>
      <c r="B438" s="6">
        <f t="shared" si="52"/>
        <v>3</v>
      </c>
      <c r="C438" s="7">
        <v>44991</v>
      </c>
      <c r="D438" s="6">
        <f t="shared" si="49"/>
        <v>1</v>
      </c>
      <c r="E438" s="6">
        <f t="shared" si="56"/>
        <v>11</v>
      </c>
      <c r="F438" s="6">
        <v>2</v>
      </c>
      <c r="G438" s="6" t="str">
        <f t="shared" si="53"/>
        <v>03</v>
      </c>
      <c r="H438" s="6" t="str">
        <f t="shared" si="54"/>
        <v>03월 2주차</v>
      </c>
      <c r="I438" s="6" t="str">
        <f>H438&amp;" ("&amp;TEXT(C438,"m/dd")&amp;"~"&amp;TEXT(C444,"m/dd")&amp;")"</f>
        <v>03월 2주차 (3/06~3/12)</v>
      </c>
      <c r="J438" s="6" t="str">
        <f>A438&amp;"년 "&amp;WEEKNUM(C438,2)&amp;"주차"&amp;" ("&amp;TEXT(C438,"m/dd")&amp;"~"&amp;TEXT(C444,"m/dd")&amp;")"</f>
        <v>2023년 11주차 (3/06~3/12)</v>
      </c>
      <c r="K438" s="6">
        <f>YEAR(C438)</f>
        <v>2023</v>
      </c>
      <c r="L438" s="6">
        <f>WEEKNUM(C438,2)</f>
        <v>11</v>
      </c>
    </row>
    <row r="439" spans="1:12" x14ac:dyDescent="0.45">
      <c r="A439" s="6">
        <f t="shared" si="55"/>
        <v>2023</v>
      </c>
      <c r="B439" s="6">
        <f t="shared" si="52"/>
        <v>3</v>
      </c>
      <c r="C439" s="7">
        <v>44992</v>
      </c>
      <c r="D439" s="6">
        <f t="shared" ref="D439:D447" si="57">WEEKDAY(C439,2)</f>
        <v>2</v>
      </c>
      <c r="E439" s="6">
        <f t="shared" si="56"/>
        <v>11</v>
      </c>
      <c r="F439" s="6">
        <v>2</v>
      </c>
      <c r="G439" s="6" t="str">
        <f t="shared" si="53"/>
        <v>03</v>
      </c>
      <c r="H439" s="6" t="str">
        <f t="shared" si="54"/>
        <v>03월 2주차</v>
      </c>
      <c r="I439" s="6" t="str">
        <f>H439&amp;" ("&amp;TEXT(C438,"m/dd")&amp;"~"&amp;TEXT(C444,"m/dd")&amp;")"</f>
        <v>03월 2주차 (3/06~3/12)</v>
      </c>
      <c r="J439" s="6" t="str">
        <f>A438&amp;"년 "&amp;WEEKNUM(C438,2)&amp;"주차"&amp;" ("&amp;TEXT(C438,"m/dd")&amp;"~"&amp;TEXT(C444,"m/dd")&amp;")"</f>
        <v>2023년 11주차 (3/06~3/12)</v>
      </c>
      <c r="K439" s="6">
        <f>YEAR(C438)</f>
        <v>2023</v>
      </c>
      <c r="L439" s="6">
        <f>WEEKNUM(C438,2)</f>
        <v>11</v>
      </c>
    </row>
    <row r="440" spans="1:12" x14ac:dyDescent="0.45">
      <c r="A440" s="6">
        <f t="shared" si="55"/>
        <v>2023</v>
      </c>
      <c r="B440" s="6">
        <f t="shared" si="52"/>
        <v>3</v>
      </c>
      <c r="C440" s="7">
        <v>44993</v>
      </c>
      <c r="D440" s="6">
        <f t="shared" si="57"/>
        <v>3</v>
      </c>
      <c r="E440" s="6">
        <f t="shared" si="56"/>
        <v>11</v>
      </c>
      <c r="F440" s="6">
        <v>2</v>
      </c>
      <c r="G440" s="6" t="str">
        <f t="shared" si="53"/>
        <v>03</v>
      </c>
      <c r="H440" s="6" t="str">
        <f t="shared" si="54"/>
        <v>03월 2주차</v>
      </c>
      <c r="I440" s="6" t="str">
        <f>H440&amp;" ("&amp;TEXT(C438,"m/dd")&amp;"~"&amp;TEXT(C444,"m/dd")&amp;")"</f>
        <v>03월 2주차 (3/06~3/12)</v>
      </c>
      <c r="J440" s="6" t="str">
        <f>A438&amp;"년 "&amp;WEEKNUM(C438,2)&amp;"주차"&amp;" ("&amp;TEXT(C438,"m/dd")&amp;"~"&amp;TEXT(C444,"m/dd")&amp;")"</f>
        <v>2023년 11주차 (3/06~3/12)</v>
      </c>
      <c r="K440" s="6">
        <f>YEAR(C438)</f>
        <v>2023</v>
      </c>
      <c r="L440" s="6">
        <f>WEEKNUM(C438,2)</f>
        <v>11</v>
      </c>
    </row>
    <row r="441" spans="1:12" x14ac:dyDescent="0.45">
      <c r="A441" s="6">
        <f t="shared" si="55"/>
        <v>2023</v>
      </c>
      <c r="B441" s="6">
        <f t="shared" si="52"/>
        <v>3</v>
      </c>
      <c r="C441" s="7">
        <v>44994</v>
      </c>
      <c r="D441" s="6">
        <f t="shared" si="57"/>
        <v>4</v>
      </c>
      <c r="E441" s="6">
        <f t="shared" si="56"/>
        <v>11</v>
      </c>
      <c r="F441" s="6">
        <v>2</v>
      </c>
      <c r="G441" s="6" t="str">
        <f t="shared" si="53"/>
        <v>03</v>
      </c>
      <c r="H441" s="6" t="str">
        <f t="shared" si="54"/>
        <v>03월 2주차</v>
      </c>
      <c r="I441" s="6" t="str">
        <f>H441&amp;" ("&amp;TEXT(C438,"m/dd")&amp;"~"&amp;TEXT(C444,"m/dd")&amp;")"</f>
        <v>03월 2주차 (3/06~3/12)</v>
      </c>
      <c r="J441" s="6" t="str">
        <f>A438&amp;"년 "&amp;WEEKNUM(C438,2)&amp;"주차"&amp;" ("&amp;TEXT(C438,"m/dd")&amp;"~"&amp;TEXT(C444,"m/dd")&amp;")"</f>
        <v>2023년 11주차 (3/06~3/12)</v>
      </c>
      <c r="K441" s="6">
        <f>YEAR(C438)</f>
        <v>2023</v>
      </c>
      <c r="L441" s="6">
        <f>WEEKNUM(C438,2)</f>
        <v>11</v>
      </c>
    </row>
    <row r="442" spans="1:12" x14ac:dyDescent="0.45">
      <c r="A442" s="6">
        <f t="shared" si="55"/>
        <v>2023</v>
      </c>
      <c r="B442" s="6">
        <f t="shared" si="52"/>
        <v>3</v>
      </c>
      <c r="C442" s="7">
        <v>44995</v>
      </c>
      <c r="D442" s="6">
        <f t="shared" si="57"/>
        <v>5</v>
      </c>
      <c r="E442" s="6">
        <f t="shared" si="56"/>
        <v>11</v>
      </c>
      <c r="F442" s="6">
        <v>2</v>
      </c>
      <c r="G442" s="6" t="str">
        <f t="shared" si="53"/>
        <v>03</v>
      </c>
      <c r="H442" s="6" t="str">
        <f t="shared" si="54"/>
        <v>03월 2주차</v>
      </c>
      <c r="I442" s="6" t="str">
        <f>H442&amp;" ("&amp;TEXT(C438,"m/dd")&amp;"~"&amp;TEXT(C444,"m/dd")&amp;")"</f>
        <v>03월 2주차 (3/06~3/12)</v>
      </c>
      <c r="J442" s="6" t="str">
        <f>A438&amp;"년 "&amp;WEEKNUM(C438,2)&amp;"주차"&amp;" ("&amp;TEXT(C438,"m/dd")&amp;"~"&amp;TEXT(C444,"m/dd")&amp;")"</f>
        <v>2023년 11주차 (3/06~3/12)</v>
      </c>
      <c r="K442" s="6">
        <f>YEAR(C438)</f>
        <v>2023</v>
      </c>
      <c r="L442" s="6">
        <f>WEEKNUM(C438,2)</f>
        <v>11</v>
      </c>
    </row>
    <row r="443" spans="1:12" x14ac:dyDescent="0.45">
      <c r="A443" s="6">
        <f t="shared" si="55"/>
        <v>2023</v>
      </c>
      <c r="B443" s="6">
        <f t="shared" si="52"/>
        <v>3</v>
      </c>
      <c r="C443" s="7">
        <v>44996</v>
      </c>
      <c r="D443" s="6">
        <f t="shared" si="57"/>
        <v>6</v>
      </c>
      <c r="E443" s="6">
        <f t="shared" si="56"/>
        <v>11</v>
      </c>
      <c r="F443" s="6">
        <v>2</v>
      </c>
      <c r="G443" s="6" t="str">
        <f t="shared" si="53"/>
        <v>03</v>
      </c>
      <c r="H443" s="6" t="str">
        <f t="shared" si="54"/>
        <v>03월 2주차</v>
      </c>
      <c r="I443" s="6" t="str">
        <f>H443&amp;" ("&amp;TEXT(C438,"m/dd")&amp;"~"&amp;TEXT(C444,"m/dd")&amp;")"</f>
        <v>03월 2주차 (3/06~3/12)</v>
      </c>
      <c r="J443" s="6" t="str">
        <f>A438&amp;"년 "&amp;WEEKNUM(C438,2)&amp;"주차"&amp;" ("&amp;TEXT(C438,"m/dd")&amp;"~"&amp;TEXT(C444,"m/dd")&amp;")"</f>
        <v>2023년 11주차 (3/06~3/12)</v>
      </c>
      <c r="K443" s="6">
        <f>YEAR(C438)</f>
        <v>2023</v>
      </c>
      <c r="L443" s="6">
        <f>WEEKNUM(C438,2)</f>
        <v>11</v>
      </c>
    </row>
    <row r="444" spans="1:12" x14ac:dyDescent="0.45">
      <c r="A444" s="6">
        <f t="shared" si="55"/>
        <v>2023</v>
      </c>
      <c r="B444" s="6">
        <f t="shared" si="52"/>
        <v>3</v>
      </c>
      <c r="C444" s="7">
        <v>44997</v>
      </c>
      <c r="D444" s="6">
        <f t="shared" si="57"/>
        <v>7</v>
      </c>
      <c r="E444" s="6">
        <f t="shared" si="56"/>
        <v>11</v>
      </c>
      <c r="F444" s="6">
        <v>2</v>
      </c>
      <c r="G444" s="6" t="str">
        <f t="shared" si="53"/>
        <v>03</v>
      </c>
      <c r="H444" s="6" t="str">
        <f t="shared" si="54"/>
        <v>03월 2주차</v>
      </c>
      <c r="I444" s="6" t="str">
        <f>H444&amp;" ("&amp;TEXT(C438,"m/dd")&amp;"~"&amp;TEXT(C444,"m/dd")&amp;")"</f>
        <v>03월 2주차 (3/06~3/12)</v>
      </c>
      <c r="J444" s="6" t="str">
        <f>A438&amp;"년 "&amp;WEEKNUM(C438,2)&amp;"주차"&amp;" ("&amp;TEXT(C438,"m/dd")&amp;"~"&amp;TEXT(C444,"m/dd")&amp;")"</f>
        <v>2023년 11주차 (3/06~3/12)</v>
      </c>
      <c r="K444" s="6">
        <f>YEAR(C438)</f>
        <v>2023</v>
      </c>
      <c r="L444" s="6">
        <f>WEEKNUM(C438,2)</f>
        <v>11</v>
      </c>
    </row>
    <row r="445" spans="1:12" x14ac:dyDescent="0.45">
      <c r="A445" s="6">
        <f t="shared" si="55"/>
        <v>2023</v>
      </c>
      <c r="B445" s="6">
        <f t="shared" si="52"/>
        <v>3</v>
      </c>
      <c r="C445" s="7">
        <v>44998</v>
      </c>
      <c r="D445" s="6">
        <f t="shared" si="57"/>
        <v>1</v>
      </c>
      <c r="E445" s="6">
        <f t="shared" si="56"/>
        <v>12</v>
      </c>
      <c r="F445" s="6">
        <v>3</v>
      </c>
      <c r="G445" s="6" t="str">
        <f t="shared" si="53"/>
        <v>03</v>
      </c>
      <c r="H445" s="6" t="str">
        <f t="shared" si="54"/>
        <v>03월 3주차</v>
      </c>
      <c r="I445" s="6" t="str">
        <f>H445&amp;" ("&amp;TEXT(C445,"m/dd")&amp;"~"&amp;TEXT(C451,"m/dd")&amp;")"</f>
        <v>03월 3주차 (3/13~3/19)</v>
      </c>
      <c r="J445" s="6" t="str">
        <f>A445&amp;"년 "&amp;WEEKNUM(C445,2)&amp;"주차"&amp;" ("&amp;TEXT(C445,"m/dd")&amp;"~"&amp;TEXT(C451,"m/dd")&amp;")"</f>
        <v>2023년 12주차 (3/13~3/19)</v>
      </c>
      <c r="K445" s="6">
        <f>YEAR(C445)</f>
        <v>2023</v>
      </c>
      <c r="L445" s="6">
        <f>WEEKNUM(C445,2)</f>
        <v>12</v>
      </c>
    </row>
    <row r="446" spans="1:12" x14ac:dyDescent="0.45">
      <c r="A446" s="6">
        <f t="shared" si="55"/>
        <v>2023</v>
      </c>
      <c r="B446" s="6">
        <f t="shared" si="52"/>
        <v>3</v>
      </c>
      <c r="C446" s="7">
        <v>44999</v>
      </c>
      <c r="D446" s="6">
        <f t="shared" si="57"/>
        <v>2</v>
      </c>
      <c r="E446" s="6">
        <f t="shared" si="56"/>
        <v>12</v>
      </c>
      <c r="F446" s="6">
        <v>3</v>
      </c>
      <c r="G446" s="6" t="str">
        <f t="shared" si="53"/>
        <v>03</v>
      </c>
      <c r="H446" s="6" t="str">
        <f t="shared" si="54"/>
        <v>03월 3주차</v>
      </c>
      <c r="I446" s="6" t="str">
        <f>H446&amp;" ("&amp;TEXT(C445,"m/dd")&amp;"~"&amp;TEXT(C451,"m/dd")&amp;")"</f>
        <v>03월 3주차 (3/13~3/19)</v>
      </c>
      <c r="J446" s="6" t="str">
        <f>A445&amp;"년 "&amp;WEEKNUM(C445,2)&amp;"주차"&amp;" ("&amp;TEXT(C445,"m/dd")&amp;"~"&amp;TEXT(C451,"m/dd")&amp;")"</f>
        <v>2023년 12주차 (3/13~3/19)</v>
      </c>
      <c r="K446" s="6">
        <f>YEAR(C445)</f>
        <v>2023</v>
      </c>
      <c r="L446" s="6">
        <f>WEEKNUM(C445,2)</f>
        <v>12</v>
      </c>
    </row>
    <row r="447" spans="1:12" x14ac:dyDescent="0.45">
      <c r="A447" s="6">
        <f t="shared" si="55"/>
        <v>2023</v>
      </c>
      <c r="B447" s="6">
        <f t="shared" si="52"/>
        <v>3</v>
      </c>
      <c r="C447" s="7">
        <v>45000</v>
      </c>
      <c r="D447" s="6">
        <f t="shared" si="57"/>
        <v>3</v>
      </c>
      <c r="E447" s="6">
        <f t="shared" si="56"/>
        <v>12</v>
      </c>
      <c r="F447" s="6">
        <v>3</v>
      </c>
      <c r="G447" s="6" t="str">
        <f t="shared" si="53"/>
        <v>03</v>
      </c>
      <c r="H447" s="6" t="str">
        <f t="shared" si="54"/>
        <v>03월 3주차</v>
      </c>
      <c r="I447" s="6" t="str">
        <f>H447&amp;" ("&amp;TEXT(C445,"m/dd")&amp;"~"&amp;TEXT(C451,"m/dd")&amp;")"</f>
        <v>03월 3주차 (3/13~3/19)</v>
      </c>
      <c r="J447" s="6" t="str">
        <f>A445&amp;"년 "&amp;WEEKNUM(C445,2)&amp;"주차"&amp;" ("&amp;TEXT(C445,"m/dd")&amp;"~"&amp;TEXT(C451,"m/dd")&amp;")"</f>
        <v>2023년 12주차 (3/13~3/19)</v>
      </c>
      <c r="K447" s="6">
        <f>YEAR(C445)</f>
        <v>2023</v>
      </c>
      <c r="L447" s="6">
        <f>WEEKNUM(C445,2)</f>
        <v>12</v>
      </c>
    </row>
    <row r="448" spans="1:12" x14ac:dyDescent="0.45">
      <c r="A448" s="6">
        <f t="shared" si="55"/>
        <v>2023</v>
      </c>
      <c r="B448" s="6">
        <f t="shared" si="52"/>
        <v>3</v>
      </c>
      <c r="C448" s="7">
        <v>45001</v>
      </c>
      <c r="D448" s="6">
        <f>WEEKDAY(C448,2)</f>
        <v>4</v>
      </c>
      <c r="E448" s="6">
        <f>WEEKNUM(C448,2)</f>
        <v>12</v>
      </c>
      <c r="F448" s="6">
        <v>3</v>
      </c>
      <c r="G448" s="6" t="str">
        <f t="shared" si="53"/>
        <v>03</v>
      </c>
      <c r="H448" s="6" t="str">
        <f t="shared" si="54"/>
        <v>03월 3주차</v>
      </c>
      <c r="I448" s="6" t="str">
        <f>H448&amp;" ("&amp;TEXT(C445,"m/dd")&amp;"~"&amp;TEXT(C451,"m/dd")&amp;")"</f>
        <v>03월 3주차 (3/13~3/19)</v>
      </c>
      <c r="J448" s="6" t="str">
        <f>A445&amp;"년 "&amp;WEEKNUM(C445,2)&amp;"주차"&amp;" ("&amp;TEXT(C445,"m/dd")&amp;"~"&amp;TEXT(C451,"m/dd")&amp;")"</f>
        <v>2023년 12주차 (3/13~3/19)</v>
      </c>
      <c r="K448" s="6">
        <f>YEAR(C445)</f>
        <v>2023</v>
      </c>
      <c r="L448" s="6">
        <f>WEEKNUM(C445,2)</f>
        <v>12</v>
      </c>
    </row>
    <row r="449" spans="1:12" x14ac:dyDescent="0.45">
      <c r="A449" s="6">
        <f t="shared" si="55"/>
        <v>2023</v>
      </c>
      <c r="B449" s="6">
        <f t="shared" si="52"/>
        <v>3</v>
      </c>
      <c r="C449" s="7">
        <v>45002</v>
      </c>
      <c r="D449" s="6">
        <f t="shared" ref="D449:D469" si="58">WEEKDAY(C449,2)</f>
        <v>5</v>
      </c>
      <c r="E449" s="6">
        <f t="shared" ref="E449:E469" si="59">WEEKNUM(C449,2)</f>
        <v>12</v>
      </c>
      <c r="F449" s="6">
        <v>3</v>
      </c>
      <c r="G449" s="6" t="str">
        <f t="shared" si="53"/>
        <v>03</v>
      </c>
      <c r="H449" s="6" t="str">
        <f t="shared" si="54"/>
        <v>03월 3주차</v>
      </c>
      <c r="I449" s="6" t="str">
        <f>H449&amp;" ("&amp;TEXT(C445,"m/dd")&amp;"~"&amp;TEXT(C451,"m/dd")&amp;")"</f>
        <v>03월 3주차 (3/13~3/19)</v>
      </c>
      <c r="J449" s="6" t="str">
        <f>A445&amp;"년 "&amp;WEEKNUM(C445,2)&amp;"주차"&amp;" ("&amp;TEXT(C445,"m/dd")&amp;"~"&amp;TEXT(C451,"m/dd")&amp;")"</f>
        <v>2023년 12주차 (3/13~3/19)</v>
      </c>
      <c r="K449" s="6">
        <f>YEAR(C445)</f>
        <v>2023</v>
      </c>
      <c r="L449" s="6">
        <f>WEEKNUM(C445,2)</f>
        <v>12</v>
      </c>
    </row>
    <row r="450" spans="1:12" x14ac:dyDescent="0.45">
      <c r="A450" s="6">
        <f t="shared" si="55"/>
        <v>2023</v>
      </c>
      <c r="B450" s="6">
        <f t="shared" si="52"/>
        <v>3</v>
      </c>
      <c r="C450" s="7">
        <v>45003</v>
      </c>
      <c r="D450" s="6">
        <f t="shared" si="58"/>
        <v>6</v>
      </c>
      <c r="E450" s="6">
        <f t="shared" si="59"/>
        <v>12</v>
      </c>
      <c r="F450" s="6">
        <v>3</v>
      </c>
      <c r="G450" s="6" t="str">
        <f t="shared" si="53"/>
        <v>03</v>
      </c>
      <c r="H450" s="6" t="str">
        <f t="shared" si="54"/>
        <v>03월 3주차</v>
      </c>
      <c r="I450" s="6" t="str">
        <f>H450&amp;" ("&amp;TEXT(C445,"m/dd")&amp;"~"&amp;TEXT(C451,"m/dd")&amp;")"</f>
        <v>03월 3주차 (3/13~3/19)</v>
      </c>
      <c r="J450" s="6" t="str">
        <f>A445&amp;"년 "&amp;WEEKNUM(C445,2)&amp;"주차"&amp;" ("&amp;TEXT(C445,"m/dd")&amp;"~"&amp;TEXT(C451,"m/dd")&amp;")"</f>
        <v>2023년 12주차 (3/13~3/19)</v>
      </c>
      <c r="K450" s="6">
        <f>YEAR(C445)</f>
        <v>2023</v>
      </c>
      <c r="L450" s="6">
        <f>WEEKNUM(C445,2)</f>
        <v>12</v>
      </c>
    </row>
    <row r="451" spans="1:12" x14ac:dyDescent="0.45">
      <c r="A451" s="6">
        <f t="shared" si="55"/>
        <v>2023</v>
      </c>
      <c r="B451" s="6">
        <f t="shared" si="52"/>
        <v>3</v>
      </c>
      <c r="C451" s="7">
        <v>45004</v>
      </c>
      <c r="D451" s="6">
        <f t="shared" si="58"/>
        <v>7</v>
      </c>
      <c r="E451" s="6">
        <f t="shared" si="59"/>
        <v>12</v>
      </c>
      <c r="F451" s="6">
        <v>3</v>
      </c>
      <c r="G451" s="6" t="str">
        <f t="shared" si="53"/>
        <v>03</v>
      </c>
      <c r="H451" s="6" t="str">
        <f t="shared" si="54"/>
        <v>03월 3주차</v>
      </c>
      <c r="I451" s="6" t="str">
        <f>H451&amp;" ("&amp;TEXT(C445,"m/dd")&amp;"~"&amp;TEXT(C451,"m/dd")&amp;")"</f>
        <v>03월 3주차 (3/13~3/19)</v>
      </c>
      <c r="J451" s="6" t="str">
        <f>A445&amp;"년 "&amp;WEEKNUM(C445,2)&amp;"주차"&amp;" ("&amp;TEXT(C445,"m/dd")&amp;"~"&amp;TEXT(C451,"m/dd")&amp;")"</f>
        <v>2023년 12주차 (3/13~3/19)</v>
      </c>
      <c r="K451" s="6">
        <f>YEAR(C445)</f>
        <v>2023</v>
      </c>
      <c r="L451" s="6">
        <f>WEEKNUM(C445,2)</f>
        <v>12</v>
      </c>
    </row>
    <row r="452" spans="1:12" x14ac:dyDescent="0.45">
      <c r="A452" s="6">
        <f t="shared" si="55"/>
        <v>2023</v>
      </c>
      <c r="B452" s="6">
        <f t="shared" si="52"/>
        <v>3</v>
      </c>
      <c r="C452" s="7">
        <v>45005</v>
      </c>
      <c r="D452" s="6">
        <f t="shared" si="58"/>
        <v>1</v>
      </c>
      <c r="E452" s="6">
        <f t="shared" si="59"/>
        <v>13</v>
      </c>
      <c r="F452" s="6">
        <v>4</v>
      </c>
      <c r="G452" s="6" t="str">
        <f t="shared" si="53"/>
        <v>03</v>
      </c>
      <c r="H452" s="6" t="str">
        <f t="shared" si="54"/>
        <v>03월 4주차</v>
      </c>
      <c r="I452" s="6" t="str">
        <f>H452&amp;" ("&amp;TEXT(C452,"m/dd")&amp;"~"&amp;TEXT(C458,"m/dd")&amp;")"</f>
        <v>03월 4주차 (3/20~3/26)</v>
      </c>
      <c r="J452" s="6" t="str">
        <f>A452&amp;"년 "&amp;WEEKNUM(C452,2)&amp;"주차"&amp;" ("&amp;TEXT(C452,"m/dd")&amp;"~"&amp;TEXT(C458,"m/dd")&amp;")"</f>
        <v>2023년 13주차 (3/20~3/26)</v>
      </c>
      <c r="K452" s="6">
        <f>YEAR(C452)</f>
        <v>2023</v>
      </c>
      <c r="L452" s="6">
        <f>WEEKNUM(C452,2)</f>
        <v>13</v>
      </c>
    </row>
    <row r="453" spans="1:12" x14ac:dyDescent="0.45">
      <c r="A453" s="6">
        <f t="shared" si="55"/>
        <v>2023</v>
      </c>
      <c r="B453" s="6">
        <f t="shared" si="52"/>
        <v>3</v>
      </c>
      <c r="C453" s="7">
        <v>45006</v>
      </c>
      <c r="D453" s="6">
        <f t="shared" si="58"/>
        <v>2</v>
      </c>
      <c r="E453" s="6">
        <f t="shared" si="59"/>
        <v>13</v>
      </c>
      <c r="F453" s="6">
        <v>4</v>
      </c>
      <c r="G453" s="6" t="str">
        <f t="shared" si="53"/>
        <v>03</v>
      </c>
      <c r="H453" s="6" t="str">
        <f t="shared" si="54"/>
        <v>03월 4주차</v>
      </c>
      <c r="I453" s="6" t="str">
        <f>H453&amp;" ("&amp;TEXT(C452,"m/dd")&amp;"~"&amp;TEXT(C458,"m/dd")&amp;")"</f>
        <v>03월 4주차 (3/20~3/26)</v>
      </c>
      <c r="J453" s="6" t="str">
        <f>A452&amp;"년 "&amp;WEEKNUM(C452,2)&amp;"주차"&amp;" ("&amp;TEXT(C452,"m/dd")&amp;"~"&amp;TEXT(C458,"m/dd")&amp;")"</f>
        <v>2023년 13주차 (3/20~3/26)</v>
      </c>
      <c r="K453" s="6">
        <f>YEAR(C452)</f>
        <v>2023</v>
      </c>
      <c r="L453" s="6">
        <f>WEEKNUM(C452,2)</f>
        <v>13</v>
      </c>
    </row>
    <row r="454" spans="1:12" x14ac:dyDescent="0.45">
      <c r="A454" s="6">
        <f t="shared" si="55"/>
        <v>2023</v>
      </c>
      <c r="B454" s="6">
        <f t="shared" si="52"/>
        <v>3</v>
      </c>
      <c r="C454" s="7">
        <v>45007</v>
      </c>
      <c r="D454" s="6">
        <f t="shared" si="58"/>
        <v>3</v>
      </c>
      <c r="E454" s="6">
        <f t="shared" si="59"/>
        <v>13</v>
      </c>
      <c r="F454" s="6">
        <v>4</v>
      </c>
      <c r="G454" s="6" t="str">
        <f t="shared" si="53"/>
        <v>03</v>
      </c>
      <c r="H454" s="6" t="str">
        <f t="shared" si="54"/>
        <v>03월 4주차</v>
      </c>
      <c r="I454" s="6" t="str">
        <f>H454&amp;" ("&amp;TEXT(C452,"m/dd")&amp;"~"&amp;TEXT(C458,"m/dd")&amp;")"</f>
        <v>03월 4주차 (3/20~3/26)</v>
      </c>
      <c r="J454" s="6" t="str">
        <f>A452&amp;"년 "&amp;WEEKNUM(C452,2)&amp;"주차"&amp;" ("&amp;TEXT(C452,"m/dd")&amp;"~"&amp;TEXT(C458,"m/dd")&amp;")"</f>
        <v>2023년 13주차 (3/20~3/26)</v>
      </c>
      <c r="K454" s="6">
        <f>YEAR(C452)</f>
        <v>2023</v>
      </c>
      <c r="L454" s="6">
        <f>WEEKNUM(C452,2)</f>
        <v>13</v>
      </c>
    </row>
    <row r="455" spans="1:12" x14ac:dyDescent="0.45">
      <c r="A455" s="6">
        <f t="shared" si="55"/>
        <v>2023</v>
      </c>
      <c r="B455" s="6">
        <f t="shared" si="52"/>
        <v>3</v>
      </c>
      <c r="C455" s="7">
        <v>45008</v>
      </c>
      <c r="D455" s="6">
        <f t="shared" si="58"/>
        <v>4</v>
      </c>
      <c r="E455" s="6">
        <f t="shared" si="59"/>
        <v>13</v>
      </c>
      <c r="F455" s="6">
        <v>4</v>
      </c>
      <c r="G455" s="6" t="str">
        <f t="shared" si="53"/>
        <v>03</v>
      </c>
      <c r="H455" s="6" t="str">
        <f t="shared" si="54"/>
        <v>03월 4주차</v>
      </c>
      <c r="I455" s="6" t="str">
        <f>H455&amp;" ("&amp;TEXT(C452,"m/dd")&amp;"~"&amp;TEXT(C458,"m/dd")&amp;")"</f>
        <v>03월 4주차 (3/20~3/26)</v>
      </c>
      <c r="J455" s="6" t="str">
        <f>A452&amp;"년 "&amp;WEEKNUM(C452,2)&amp;"주차"&amp;" ("&amp;TEXT(C452,"m/dd")&amp;"~"&amp;TEXT(C458,"m/dd")&amp;")"</f>
        <v>2023년 13주차 (3/20~3/26)</v>
      </c>
      <c r="K455" s="6">
        <f>YEAR(C452)</f>
        <v>2023</v>
      </c>
      <c r="L455" s="6">
        <f>WEEKNUM(C452,2)</f>
        <v>13</v>
      </c>
    </row>
    <row r="456" spans="1:12" x14ac:dyDescent="0.45">
      <c r="A456" s="6">
        <f t="shared" si="55"/>
        <v>2023</v>
      </c>
      <c r="B456" s="6">
        <f t="shared" si="52"/>
        <v>3</v>
      </c>
      <c r="C456" s="7">
        <v>45009</v>
      </c>
      <c r="D456" s="6">
        <f t="shared" si="58"/>
        <v>5</v>
      </c>
      <c r="E456" s="6">
        <f t="shared" si="59"/>
        <v>13</v>
      </c>
      <c r="F456" s="6">
        <v>4</v>
      </c>
      <c r="G456" s="6" t="str">
        <f t="shared" si="53"/>
        <v>03</v>
      </c>
      <c r="H456" s="6" t="str">
        <f t="shared" si="54"/>
        <v>03월 4주차</v>
      </c>
      <c r="I456" s="6" t="str">
        <f>H456&amp;" ("&amp;TEXT(C452,"m/dd")&amp;"~"&amp;TEXT(C458,"m/dd")&amp;")"</f>
        <v>03월 4주차 (3/20~3/26)</v>
      </c>
      <c r="J456" s="6" t="str">
        <f>A452&amp;"년 "&amp;WEEKNUM(C452,2)&amp;"주차"&amp;" ("&amp;TEXT(C452,"m/dd")&amp;"~"&amp;TEXT(C458,"m/dd")&amp;")"</f>
        <v>2023년 13주차 (3/20~3/26)</v>
      </c>
      <c r="K456" s="6">
        <f>YEAR(C452)</f>
        <v>2023</v>
      </c>
      <c r="L456" s="6">
        <f>WEEKNUM(C452,2)</f>
        <v>13</v>
      </c>
    </row>
    <row r="457" spans="1:12" x14ac:dyDescent="0.45">
      <c r="A457" s="6">
        <f t="shared" si="55"/>
        <v>2023</v>
      </c>
      <c r="B457" s="6">
        <f t="shared" si="52"/>
        <v>3</v>
      </c>
      <c r="C457" s="7">
        <v>45010</v>
      </c>
      <c r="D457" s="6">
        <f t="shared" si="58"/>
        <v>6</v>
      </c>
      <c r="E457" s="6">
        <f t="shared" si="59"/>
        <v>13</v>
      </c>
      <c r="F457" s="6">
        <v>4</v>
      </c>
      <c r="G457" s="6" t="str">
        <f t="shared" si="53"/>
        <v>03</v>
      </c>
      <c r="H457" s="6" t="str">
        <f t="shared" si="54"/>
        <v>03월 4주차</v>
      </c>
      <c r="I457" s="6" t="str">
        <f>H457&amp;" ("&amp;TEXT(C452,"m/dd")&amp;"~"&amp;TEXT(C458,"m/dd")&amp;")"</f>
        <v>03월 4주차 (3/20~3/26)</v>
      </c>
      <c r="J457" s="6" t="str">
        <f>A452&amp;"년 "&amp;WEEKNUM(C452,2)&amp;"주차"&amp;" ("&amp;TEXT(C452,"m/dd")&amp;"~"&amp;TEXT(C458,"m/dd")&amp;")"</f>
        <v>2023년 13주차 (3/20~3/26)</v>
      </c>
      <c r="K457" s="6">
        <f>YEAR(C452)</f>
        <v>2023</v>
      </c>
      <c r="L457" s="6">
        <f>WEEKNUM(C452,2)</f>
        <v>13</v>
      </c>
    </row>
    <row r="458" spans="1:12" x14ac:dyDescent="0.45">
      <c r="A458" s="6">
        <f t="shared" si="55"/>
        <v>2023</v>
      </c>
      <c r="B458" s="6">
        <f t="shared" si="52"/>
        <v>3</v>
      </c>
      <c r="C458" s="7">
        <v>45011</v>
      </c>
      <c r="D458" s="6">
        <f t="shared" si="58"/>
        <v>7</v>
      </c>
      <c r="E458" s="6">
        <f t="shared" si="59"/>
        <v>13</v>
      </c>
      <c r="F458" s="6">
        <v>4</v>
      </c>
      <c r="G458" s="6" t="str">
        <f t="shared" si="53"/>
        <v>03</v>
      </c>
      <c r="H458" s="6" t="str">
        <f t="shared" si="54"/>
        <v>03월 4주차</v>
      </c>
      <c r="I458" s="6" t="str">
        <f>H458&amp;" ("&amp;TEXT(C452,"m/dd")&amp;"~"&amp;TEXT(C458,"m/dd")&amp;")"</f>
        <v>03월 4주차 (3/20~3/26)</v>
      </c>
      <c r="J458" s="6" t="str">
        <f>A452&amp;"년 "&amp;WEEKNUM(C452,2)&amp;"주차"&amp;" ("&amp;TEXT(C452,"m/dd")&amp;"~"&amp;TEXT(C458,"m/dd")&amp;")"</f>
        <v>2023년 13주차 (3/20~3/26)</v>
      </c>
      <c r="K458" s="6">
        <f>YEAR(C452)</f>
        <v>2023</v>
      </c>
      <c r="L458" s="6">
        <f>WEEKNUM(C452,2)</f>
        <v>13</v>
      </c>
    </row>
    <row r="459" spans="1:12" x14ac:dyDescent="0.45">
      <c r="A459" s="6">
        <f t="shared" si="55"/>
        <v>2023</v>
      </c>
      <c r="B459" s="6">
        <f t="shared" ref="B459:B521" si="60">MONTH(C459)</f>
        <v>3</v>
      </c>
      <c r="C459" s="7">
        <v>45012</v>
      </c>
      <c r="D459" s="6">
        <f t="shared" si="58"/>
        <v>1</v>
      </c>
      <c r="E459" s="6">
        <f t="shared" si="59"/>
        <v>14</v>
      </c>
      <c r="F459" s="6">
        <v>5</v>
      </c>
      <c r="G459" s="6" t="str">
        <f t="shared" ref="G459:G522" si="61">IF(LEN(B459)=1,_xlfn.CONCAT(0,B459),B459)</f>
        <v>03</v>
      </c>
      <c r="H459" s="6" t="str">
        <f t="shared" ref="H459:H522" si="62">G459&amp;"월 "&amp;F459&amp;"주차"</f>
        <v>03월 5주차</v>
      </c>
      <c r="I459" s="6" t="str">
        <f>H459&amp;" ("&amp;TEXT(C459,"m/dd")&amp;"~"&amp;TEXT(C465,"m/dd")&amp;")"</f>
        <v>03월 5주차 (3/27~4/02)</v>
      </c>
      <c r="J459" s="6" t="str">
        <f>A459&amp;"년 "&amp;WEEKNUM(C459,2)&amp;"주차"&amp;" ("&amp;TEXT(C459,"m/dd")&amp;"~"&amp;TEXT(C465,"m/dd")&amp;")"</f>
        <v>2023년 14주차 (3/27~4/02)</v>
      </c>
      <c r="K459" s="6">
        <f>YEAR(C459)</f>
        <v>2023</v>
      </c>
      <c r="L459" s="6">
        <f>WEEKNUM(C459,2)</f>
        <v>14</v>
      </c>
    </row>
    <row r="460" spans="1:12" x14ac:dyDescent="0.45">
      <c r="A460" s="6">
        <f t="shared" si="55"/>
        <v>2023</v>
      </c>
      <c r="B460" s="6">
        <f t="shared" si="60"/>
        <v>3</v>
      </c>
      <c r="C460" s="7">
        <v>45013</v>
      </c>
      <c r="D460" s="6">
        <f t="shared" si="58"/>
        <v>2</v>
      </c>
      <c r="E460" s="6">
        <f t="shared" si="59"/>
        <v>14</v>
      </c>
      <c r="F460" s="6">
        <v>5</v>
      </c>
      <c r="G460" s="6" t="str">
        <f t="shared" si="61"/>
        <v>03</v>
      </c>
      <c r="H460" s="6" t="str">
        <f t="shared" si="62"/>
        <v>03월 5주차</v>
      </c>
      <c r="I460" s="6" t="str">
        <f>H460&amp;" ("&amp;TEXT(C459,"m/dd")&amp;"~"&amp;TEXT(C465,"m/dd")&amp;")"</f>
        <v>03월 5주차 (3/27~4/02)</v>
      </c>
      <c r="J460" s="6" t="str">
        <f>A459&amp;"년 "&amp;WEEKNUM(C459,2)&amp;"주차"&amp;" ("&amp;TEXT(C459,"m/dd")&amp;"~"&amp;TEXT(C465,"m/dd")&amp;")"</f>
        <v>2023년 14주차 (3/27~4/02)</v>
      </c>
      <c r="K460" s="6">
        <f>YEAR(C459)</f>
        <v>2023</v>
      </c>
      <c r="L460" s="6">
        <f>WEEKNUM(C459,2)</f>
        <v>14</v>
      </c>
    </row>
    <row r="461" spans="1:12" x14ac:dyDescent="0.45">
      <c r="A461" s="6">
        <f t="shared" si="55"/>
        <v>2023</v>
      </c>
      <c r="B461" s="6">
        <f t="shared" si="60"/>
        <v>3</v>
      </c>
      <c r="C461" s="7">
        <v>45014</v>
      </c>
      <c r="D461" s="6">
        <f t="shared" si="58"/>
        <v>3</v>
      </c>
      <c r="E461" s="6">
        <f t="shared" si="59"/>
        <v>14</v>
      </c>
      <c r="F461" s="6">
        <v>5</v>
      </c>
      <c r="G461" s="6" t="str">
        <f t="shared" si="61"/>
        <v>03</v>
      </c>
      <c r="H461" s="6" t="str">
        <f t="shared" si="62"/>
        <v>03월 5주차</v>
      </c>
      <c r="I461" s="6" t="str">
        <f>H461&amp;" ("&amp;TEXT(C459,"m/dd")&amp;"~"&amp;TEXT(C465,"m/dd")&amp;")"</f>
        <v>03월 5주차 (3/27~4/02)</v>
      </c>
      <c r="J461" s="6" t="str">
        <f>A459&amp;"년 "&amp;WEEKNUM(C459,2)&amp;"주차"&amp;" ("&amp;TEXT(C459,"m/dd")&amp;"~"&amp;TEXT(C465,"m/dd")&amp;")"</f>
        <v>2023년 14주차 (3/27~4/02)</v>
      </c>
      <c r="K461" s="6">
        <f>YEAR(C459)</f>
        <v>2023</v>
      </c>
      <c r="L461" s="6">
        <f>WEEKNUM(C459,2)</f>
        <v>14</v>
      </c>
    </row>
    <row r="462" spans="1:12" x14ac:dyDescent="0.45">
      <c r="A462" s="6">
        <f t="shared" si="55"/>
        <v>2023</v>
      </c>
      <c r="B462" s="6">
        <f t="shared" si="60"/>
        <v>3</v>
      </c>
      <c r="C462" s="7">
        <v>45015</v>
      </c>
      <c r="D462" s="6">
        <f t="shared" si="58"/>
        <v>4</v>
      </c>
      <c r="E462" s="6">
        <f t="shared" si="59"/>
        <v>14</v>
      </c>
      <c r="F462" s="6">
        <v>5</v>
      </c>
      <c r="G462" s="6" t="str">
        <f t="shared" si="61"/>
        <v>03</v>
      </c>
      <c r="H462" s="6" t="str">
        <f t="shared" si="62"/>
        <v>03월 5주차</v>
      </c>
      <c r="I462" s="6" t="str">
        <f>H462&amp;" ("&amp;TEXT(C459,"m/dd")&amp;"~"&amp;TEXT(C465,"m/dd")&amp;")"</f>
        <v>03월 5주차 (3/27~4/02)</v>
      </c>
      <c r="J462" s="6" t="str">
        <f>A459&amp;"년 "&amp;WEEKNUM(C459,2)&amp;"주차"&amp;" ("&amp;TEXT(C459,"m/dd")&amp;"~"&amp;TEXT(C465,"m/dd")&amp;")"</f>
        <v>2023년 14주차 (3/27~4/02)</v>
      </c>
      <c r="K462" s="6">
        <f>YEAR(C459)</f>
        <v>2023</v>
      </c>
      <c r="L462" s="6">
        <f>WEEKNUM(C459,2)</f>
        <v>14</v>
      </c>
    </row>
    <row r="463" spans="1:12" x14ac:dyDescent="0.45">
      <c r="A463" s="6">
        <f t="shared" ref="A463:A526" si="63">YEAR(C463)</f>
        <v>2023</v>
      </c>
      <c r="B463" s="6">
        <f t="shared" si="60"/>
        <v>3</v>
      </c>
      <c r="C463" s="7">
        <v>45016</v>
      </c>
      <c r="D463" s="6">
        <f t="shared" si="58"/>
        <v>5</v>
      </c>
      <c r="E463" s="6">
        <f t="shared" si="59"/>
        <v>14</v>
      </c>
      <c r="F463" s="6">
        <v>5</v>
      </c>
      <c r="G463" s="6" t="str">
        <f t="shared" si="61"/>
        <v>03</v>
      </c>
      <c r="H463" s="6" t="str">
        <f t="shared" si="62"/>
        <v>03월 5주차</v>
      </c>
      <c r="I463" s="6" t="str">
        <f>H463&amp;" ("&amp;TEXT(C459,"m/dd")&amp;"~"&amp;TEXT(C465,"m/dd")&amp;")"</f>
        <v>03월 5주차 (3/27~4/02)</v>
      </c>
      <c r="J463" s="6" t="str">
        <f>A459&amp;"년 "&amp;WEEKNUM(C459,2)&amp;"주차"&amp;" ("&amp;TEXT(C459,"m/dd")&amp;"~"&amp;TEXT(C465,"m/dd")&amp;")"</f>
        <v>2023년 14주차 (3/27~4/02)</v>
      </c>
      <c r="K463" s="6">
        <f>YEAR(C459)</f>
        <v>2023</v>
      </c>
      <c r="L463" s="6">
        <f>WEEKNUM(C459,2)</f>
        <v>14</v>
      </c>
    </row>
    <row r="464" spans="1:12" x14ac:dyDescent="0.45">
      <c r="A464" s="6">
        <f t="shared" si="63"/>
        <v>2023</v>
      </c>
      <c r="B464" s="6">
        <f t="shared" si="60"/>
        <v>4</v>
      </c>
      <c r="C464" s="7">
        <v>45017</v>
      </c>
      <c r="D464" s="6">
        <f t="shared" si="58"/>
        <v>6</v>
      </c>
      <c r="E464" s="6">
        <f t="shared" si="59"/>
        <v>14</v>
      </c>
      <c r="F464" s="6">
        <v>5</v>
      </c>
      <c r="G464" s="6" t="str">
        <f t="shared" si="61"/>
        <v>04</v>
      </c>
      <c r="H464" s="6" t="str">
        <f t="shared" si="62"/>
        <v>04월 5주차</v>
      </c>
      <c r="I464" s="6" t="str">
        <f>H464&amp;" ("&amp;TEXT(C459,"m/dd")&amp;"~"&amp;TEXT(C465,"m/dd")&amp;")"</f>
        <v>04월 5주차 (3/27~4/02)</v>
      </c>
      <c r="J464" s="6" t="str">
        <f>A459&amp;"년 "&amp;WEEKNUM(C459,2)&amp;"주차"&amp;" ("&amp;TEXT(C459,"m/dd")&amp;"~"&amp;TEXT(C465,"m/dd")&amp;")"</f>
        <v>2023년 14주차 (3/27~4/02)</v>
      </c>
      <c r="K464" s="6">
        <f>YEAR(C459)</f>
        <v>2023</v>
      </c>
      <c r="L464" s="6">
        <f>WEEKNUM(C459,2)</f>
        <v>14</v>
      </c>
    </row>
    <row r="465" spans="1:12" x14ac:dyDescent="0.45">
      <c r="A465" s="6">
        <f t="shared" si="63"/>
        <v>2023</v>
      </c>
      <c r="B465" s="6">
        <f t="shared" si="60"/>
        <v>4</v>
      </c>
      <c r="C465" s="7">
        <v>45018</v>
      </c>
      <c r="D465" s="6">
        <f t="shared" si="58"/>
        <v>7</v>
      </c>
      <c r="E465" s="6">
        <f t="shared" si="59"/>
        <v>14</v>
      </c>
      <c r="F465" s="6">
        <v>5</v>
      </c>
      <c r="G465" s="6" t="str">
        <f t="shared" si="61"/>
        <v>04</v>
      </c>
      <c r="H465" s="6" t="str">
        <f t="shared" si="62"/>
        <v>04월 5주차</v>
      </c>
      <c r="I465" s="6" t="str">
        <f>H465&amp;" ("&amp;TEXT(C459,"m/dd")&amp;"~"&amp;TEXT(C465,"m/dd")&amp;")"</f>
        <v>04월 5주차 (3/27~4/02)</v>
      </c>
      <c r="J465" s="6" t="str">
        <f>A459&amp;"년 "&amp;WEEKNUM(C459,2)&amp;"주차"&amp;" ("&amp;TEXT(C459,"m/dd")&amp;"~"&amp;TEXT(C465,"m/dd")&amp;")"</f>
        <v>2023년 14주차 (3/27~4/02)</v>
      </c>
      <c r="K465" s="6">
        <f>YEAR(C459)</f>
        <v>2023</v>
      </c>
      <c r="L465" s="6">
        <f>WEEKNUM(C459,2)</f>
        <v>14</v>
      </c>
    </row>
    <row r="466" spans="1:12" x14ac:dyDescent="0.45">
      <c r="A466" s="6">
        <f t="shared" si="63"/>
        <v>2023</v>
      </c>
      <c r="B466" s="6">
        <f t="shared" si="60"/>
        <v>4</v>
      </c>
      <c r="C466" s="7">
        <v>45019</v>
      </c>
      <c r="D466" s="6">
        <f t="shared" si="58"/>
        <v>1</v>
      </c>
      <c r="E466" s="6">
        <f t="shared" si="59"/>
        <v>15</v>
      </c>
      <c r="F466" s="6">
        <f>WEEKNUM(DATE(YEAR(C466),1,DAY(C466-WEEKDAY(C466,2)+1)),WEEKDAY(DATE(YEAR(C466),1,1),11)+10)</f>
        <v>1</v>
      </c>
      <c r="G466" s="6" t="str">
        <f t="shared" si="61"/>
        <v>04</v>
      </c>
      <c r="H466" s="6" t="str">
        <f t="shared" si="62"/>
        <v>04월 1주차</v>
      </c>
      <c r="I466" s="6" t="str">
        <f>H466&amp;" ("&amp;TEXT(C466,"m/dd")&amp;"~"&amp;TEXT(C472,"m/dd")&amp;")"</f>
        <v>04월 1주차 (4/03~4/09)</v>
      </c>
      <c r="J466" s="6" t="str">
        <f>A466&amp;"년 "&amp;WEEKNUM(C466,2)&amp;"주차"&amp;" ("&amp;TEXT(C466,"m/dd")&amp;"~"&amp;TEXT(C472,"m/dd")&amp;")"</f>
        <v>2023년 15주차 (4/03~4/09)</v>
      </c>
      <c r="K466" s="6">
        <f>YEAR(C466)</f>
        <v>2023</v>
      </c>
      <c r="L466" s="6">
        <f>WEEKNUM(C466,2)</f>
        <v>15</v>
      </c>
    </row>
    <row r="467" spans="1:12" x14ac:dyDescent="0.45">
      <c r="A467" s="6">
        <f t="shared" si="63"/>
        <v>2023</v>
      </c>
      <c r="B467" s="6">
        <f t="shared" si="60"/>
        <v>4</v>
      </c>
      <c r="C467" s="7">
        <v>45020</v>
      </c>
      <c r="D467" s="6">
        <f t="shared" si="58"/>
        <v>2</v>
      </c>
      <c r="E467" s="6">
        <f t="shared" si="59"/>
        <v>15</v>
      </c>
      <c r="F467" s="6">
        <f>WEEKNUM(DATE(YEAR(C467),1,DAY(C467-WEEKDAY(C467,2)+1)),WEEKDAY(DATE(YEAR(C467),1,1),11)+10)</f>
        <v>1</v>
      </c>
      <c r="G467" s="6" t="str">
        <f t="shared" si="61"/>
        <v>04</v>
      </c>
      <c r="H467" s="6" t="str">
        <f t="shared" si="62"/>
        <v>04월 1주차</v>
      </c>
      <c r="I467" s="6" t="str">
        <f>H467&amp;" ("&amp;TEXT(C466,"m/dd")&amp;"~"&amp;TEXT(C472,"m/dd")&amp;")"</f>
        <v>04월 1주차 (4/03~4/09)</v>
      </c>
      <c r="J467" s="6" t="str">
        <f>A466&amp;"년 "&amp;WEEKNUM(C466,2)&amp;"주차"&amp;" ("&amp;TEXT(C466,"m/dd")&amp;"~"&amp;TEXT(C472,"m/dd")&amp;")"</f>
        <v>2023년 15주차 (4/03~4/09)</v>
      </c>
      <c r="K467" s="6">
        <f>YEAR(C466)</f>
        <v>2023</v>
      </c>
      <c r="L467" s="6">
        <f>WEEKNUM(C466,2)</f>
        <v>15</v>
      </c>
    </row>
    <row r="468" spans="1:12" x14ac:dyDescent="0.45">
      <c r="A468" s="6">
        <f t="shared" si="63"/>
        <v>2023</v>
      </c>
      <c r="B468" s="6">
        <f t="shared" si="60"/>
        <v>4</v>
      </c>
      <c r="C468" s="7">
        <v>45021</v>
      </c>
      <c r="D468" s="6">
        <f t="shared" si="58"/>
        <v>3</v>
      </c>
      <c r="E468" s="6">
        <f t="shared" si="59"/>
        <v>15</v>
      </c>
      <c r="F468" s="6">
        <f>WEEKNUM(DATE(YEAR(C468),1,DAY(C468-WEEKDAY(C468,2)+1)),WEEKDAY(DATE(YEAR(C468),1,1),11)+10)</f>
        <v>1</v>
      </c>
      <c r="G468" s="6" t="str">
        <f t="shared" si="61"/>
        <v>04</v>
      </c>
      <c r="H468" s="6" t="str">
        <f t="shared" si="62"/>
        <v>04월 1주차</v>
      </c>
      <c r="I468" s="6" t="str">
        <f>H468&amp;" ("&amp;TEXT(C466,"m/dd")&amp;"~"&amp;TEXT(C472,"m/dd")&amp;")"</f>
        <v>04월 1주차 (4/03~4/09)</v>
      </c>
      <c r="J468" s="6" t="str">
        <f>A466&amp;"년 "&amp;WEEKNUM(C466,2)&amp;"주차"&amp;" ("&amp;TEXT(C466,"m/dd")&amp;"~"&amp;TEXT(C472,"m/dd")&amp;")"</f>
        <v>2023년 15주차 (4/03~4/09)</v>
      </c>
      <c r="K468" s="6">
        <f>YEAR(C466)</f>
        <v>2023</v>
      </c>
      <c r="L468" s="6">
        <f>WEEKNUM(C466,2)</f>
        <v>15</v>
      </c>
    </row>
    <row r="469" spans="1:12" x14ac:dyDescent="0.45">
      <c r="A469" s="6">
        <f t="shared" si="63"/>
        <v>2023</v>
      </c>
      <c r="B469" s="6">
        <f t="shared" si="60"/>
        <v>4</v>
      </c>
      <c r="C469" s="7">
        <v>45022</v>
      </c>
      <c r="D469" s="6">
        <f t="shared" si="58"/>
        <v>4</v>
      </c>
      <c r="E469" s="6">
        <f t="shared" si="59"/>
        <v>15</v>
      </c>
      <c r="F469" s="6">
        <f>WEEKNUM(DATE(YEAR(C469),1,DAY(C469-WEEKDAY(C469,2)+1)),WEEKDAY(DATE(YEAR(C469),1,1),11)+10)</f>
        <v>1</v>
      </c>
      <c r="G469" s="6" t="str">
        <f t="shared" si="61"/>
        <v>04</v>
      </c>
      <c r="H469" s="6" t="str">
        <f t="shared" si="62"/>
        <v>04월 1주차</v>
      </c>
      <c r="I469" s="6" t="str">
        <f>H469&amp;" ("&amp;TEXT(C466,"m/dd")&amp;"~"&amp;TEXT(C472,"m/dd")&amp;")"</f>
        <v>04월 1주차 (4/03~4/09)</v>
      </c>
      <c r="J469" s="6" t="str">
        <f>A466&amp;"년 "&amp;WEEKNUM(C466,2)&amp;"주차"&amp;" ("&amp;TEXT(C466,"m/dd")&amp;"~"&amp;TEXT(C472,"m/dd")&amp;")"</f>
        <v>2023년 15주차 (4/03~4/09)</v>
      </c>
      <c r="K469" s="6">
        <f>YEAR(C466)</f>
        <v>2023</v>
      </c>
      <c r="L469" s="6">
        <f>WEEKNUM(C466,2)</f>
        <v>15</v>
      </c>
    </row>
    <row r="470" spans="1:12" x14ac:dyDescent="0.45">
      <c r="A470" s="6">
        <f t="shared" si="63"/>
        <v>2023</v>
      </c>
      <c r="B470" s="6">
        <f t="shared" si="60"/>
        <v>4</v>
      </c>
      <c r="C470" s="7">
        <v>45023</v>
      </c>
      <c r="D470" s="6">
        <f>WEEKDAY(C470,2)</f>
        <v>5</v>
      </c>
      <c r="E470" s="6">
        <f>WEEKNUM(C470,2)</f>
        <v>15</v>
      </c>
      <c r="F470" s="6">
        <f>WEEKNUM(DATE(YEAR(C470),1,DAY(C470-WEEKDAY(C470,2)+1)),WEEKDAY(DATE(YEAR(C470),1,1),11)+10)</f>
        <v>1</v>
      </c>
      <c r="G470" s="6" t="str">
        <f t="shared" si="61"/>
        <v>04</v>
      </c>
      <c r="H470" s="6" t="str">
        <f t="shared" si="62"/>
        <v>04월 1주차</v>
      </c>
      <c r="I470" s="6" t="str">
        <f>H470&amp;" ("&amp;TEXT(C466,"m/dd")&amp;"~"&amp;TEXT(C472,"m/dd")&amp;")"</f>
        <v>04월 1주차 (4/03~4/09)</v>
      </c>
      <c r="J470" s="6" t="str">
        <f>A466&amp;"년 "&amp;WEEKNUM(C466,2)&amp;"주차"&amp;" ("&amp;TEXT(C466,"m/dd")&amp;"~"&amp;TEXT(C472,"m/dd")&amp;")"</f>
        <v>2023년 15주차 (4/03~4/09)</v>
      </c>
      <c r="K470" s="6">
        <f>YEAR(C466)</f>
        <v>2023</v>
      </c>
      <c r="L470" s="6">
        <f>WEEKNUM(C466,2)</f>
        <v>15</v>
      </c>
    </row>
    <row r="471" spans="1:12" x14ac:dyDescent="0.45">
      <c r="A471" s="6">
        <f t="shared" si="63"/>
        <v>2023</v>
      </c>
      <c r="B471" s="6">
        <f t="shared" si="60"/>
        <v>4</v>
      </c>
      <c r="C471" s="7">
        <v>45024</v>
      </c>
      <c r="D471" s="6">
        <f t="shared" ref="D471:D534" si="64">WEEKDAY(C471,2)</f>
        <v>6</v>
      </c>
      <c r="E471" s="6">
        <f t="shared" ref="E471:E534" si="65">WEEKNUM(C471,2)</f>
        <v>15</v>
      </c>
      <c r="F471" s="6">
        <f t="shared" ref="F471:F521" si="66">WEEKNUM(DATE(YEAR(C471),1,DAY(C471-WEEKDAY(C471,2)+1)),WEEKDAY(DATE(YEAR(C471),1,1),11)+10)</f>
        <v>1</v>
      </c>
      <c r="G471" s="6" t="str">
        <f t="shared" si="61"/>
        <v>04</v>
      </c>
      <c r="H471" s="6" t="str">
        <f t="shared" si="62"/>
        <v>04월 1주차</v>
      </c>
      <c r="I471" s="6" t="str">
        <f>H471&amp;" ("&amp;TEXT(C466,"m/dd")&amp;"~"&amp;TEXT(C472,"m/dd")&amp;")"</f>
        <v>04월 1주차 (4/03~4/09)</v>
      </c>
      <c r="J471" s="6" t="str">
        <f>A466&amp;"년 "&amp;WEEKNUM(C466,2)&amp;"주차"&amp;" ("&amp;TEXT(C466,"m/dd")&amp;"~"&amp;TEXT(C472,"m/dd")&amp;")"</f>
        <v>2023년 15주차 (4/03~4/09)</v>
      </c>
      <c r="K471" s="6">
        <f>YEAR(C466)</f>
        <v>2023</v>
      </c>
      <c r="L471" s="6">
        <f>WEEKNUM(C466,2)</f>
        <v>15</v>
      </c>
    </row>
    <row r="472" spans="1:12" x14ac:dyDescent="0.45">
      <c r="A472" s="6">
        <f t="shared" si="63"/>
        <v>2023</v>
      </c>
      <c r="B472" s="6">
        <f t="shared" si="60"/>
        <v>4</v>
      </c>
      <c r="C472" s="7">
        <v>45025</v>
      </c>
      <c r="D472" s="6">
        <f t="shared" si="64"/>
        <v>7</v>
      </c>
      <c r="E472" s="6">
        <f t="shared" si="65"/>
        <v>15</v>
      </c>
      <c r="F472" s="6">
        <f t="shared" si="66"/>
        <v>1</v>
      </c>
      <c r="G472" s="6" t="str">
        <f t="shared" si="61"/>
        <v>04</v>
      </c>
      <c r="H472" s="6" t="str">
        <f t="shared" si="62"/>
        <v>04월 1주차</v>
      </c>
      <c r="I472" s="6" t="str">
        <f>H472&amp;" ("&amp;TEXT(C466,"m/dd")&amp;"~"&amp;TEXT(C472,"m/dd")&amp;")"</f>
        <v>04월 1주차 (4/03~4/09)</v>
      </c>
      <c r="J472" s="6" t="str">
        <f>A466&amp;"년 "&amp;WEEKNUM(C466,2)&amp;"주차"&amp;" ("&amp;TEXT(C466,"m/dd")&amp;"~"&amp;TEXT(C472,"m/dd")&amp;")"</f>
        <v>2023년 15주차 (4/03~4/09)</v>
      </c>
      <c r="K472" s="6">
        <f>YEAR(C466)</f>
        <v>2023</v>
      </c>
      <c r="L472" s="6">
        <f>WEEKNUM(C466,2)</f>
        <v>15</v>
      </c>
    </row>
    <row r="473" spans="1:12" x14ac:dyDescent="0.45">
      <c r="A473" s="6">
        <f t="shared" si="63"/>
        <v>2023</v>
      </c>
      <c r="B473" s="6">
        <f t="shared" si="60"/>
        <v>4</v>
      </c>
      <c r="C473" s="7">
        <v>45026</v>
      </c>
      <c r="D473" s="6">
        <f t="shared" si="64"/>
        <v>1</v>
      </c>
      <c r="E473" s="6">
        <f t="shared" si="65"/>
        <v>16</v>
      </c>
      <c r="F473" s="6">
        <f t="shared" si="66"/>
        <v>2</v>
      </c>
      <c r="G473" s="6" t="str">
        <f t="shared" si="61"/>
        <v>04</v>
      </c>
      <c r="H473" s="6" t="str">
        <f t="shared" si="62"/>
        <v>04월 2주차</v>
      </c>
      <c r="I473" s="6" t="str">
        <f>H473&amp;" ("&amp;TEXT(C473,"m/dd")&amp;"~"&amp;TEXT(C479,"m/dd")&amp;")"</f>
        <v>04월 2주차 (4/10~4/16)</v>
      </c>
      <c r="J473" s="6" t="str">
        <f>A473&amp;"년 "&amp;WEEKNUM(C473,2)&amp;"주차"&amp;" ("&amp;TEXT(C473,"m/dd")&amp;"~"&amp;TEXT(C479,"m/dd")&amp;")"</f>
        <v>2023년 16주차 (4/10~4/16)</v>
      </c>
      <c r="K473" s="6">
        <f>YEAR(C473)</f>
        <v>2023</v>
      </c>
      <c r="L473" s="6">
        <f>WEEKNUM(C473,2)</f>
        <v>16</v>
      </c>
    </row>
    <row r="474" spans="1:12" x14ac:dyDescent="0.45">
      <c r="A474" s="6">
        <f t="shared" si="63"/>
        <v>2023</v>
      </c>
      <c r="B474" s="6">
        <f t="shared" si="60"/>
        <v>4</v>
      </c>
      <c r="C474" s="7">
        <v>45027</v>
      </c>
      <c r="D474" s="6">
        <f t="shared" si="64"/>
        <v>2</v>
      </c>
      <c r="E474" s="6">
        <f t="shared" si="65"/>
        <v>16</v>
      </c>
      <c r="F474" s="6">
        <f t="shared" si="66"/>
        <v>2</v>
      </c>
      <c r="G474" s="6" t="str">
        <f t="shared" si="61"/>
        <v>04</v>
      </c>
      <c r="H474" s="6" t="str">
        <f t="shared" si="62"/>
        <v>04월 2주차</v>
      </c>
      <c r="I474" s="6" t="str">
        <f>H474&amp;" ("&amp;TEXT(C473,"m/dd")&amp;"~"&amp;TEXT(C479,"m/dd")&amp;")"</f>
        <v>04월 2주차 (4/10~4/16)</v>
      </c>
      <c r="J474" s="6" t="str">
        <f>A473&amp;"년 "&amp;WEEKNUM(C473,2)&amp;"주차"&amp;" ("&amp;TEXT(C473,"m/dd")&amp;"~"&amp;TEXT(C479,"m/dd")&amp;")"</f>
        <v>2023년 16주차 (4/10~4/16)</v>
      </c>
      <c r="K474" s="6">
        <f>YEAR(C473)</f>
        <v>2023</v>
      </c>
      <c r="L474" s="6">
        <f>WEEKNUM(C473,2)</f>
        <v>16</v>
      </c>
    </row>
    <row r="475" spans="1:12" x14ac:dyDescent="0.45">
      <c r="A475" s="6">
        <f t="shared" si="63"/>
        <v>2023</v>
      </c>
      <c r="B475" s="6">
        <f t="shared" si="60"/>
        <v>4</v>
      </c>
      <c r="C475" s="7">
        <v>45028</v>
      </c>
      <c r="D475" s="6">
        <f t="shared" si="64"/>
        <v>3</v>
      </c>
      <c r="E475" s="6">
        <f t="shared" si="65"/>
        <v>16</v>
      </c>
      <c r="F475" s="6">
        <f t="shared" si="66"/>
        <v>2</v>
      </c>
      <c r="G475" s="6" t="str">
        <f t="shared" si="61"/>
        <v>04</v>
      </c>
      <c r="H475" s="6" t="str">
        <f t="shared" si="62"/>
        <v>04월 2주차</v>
      </c>
      <c r="I475" s="6" t="str">
        <f>H475&amp;" ("&amp;TEXT(C473,"m/dd")&amp;"~"&amp;TEXT(C479,"m/dd")&amp;")"</f>
        <v>04월 2주차 (4/10~4/16)</v>
      </c>
      <c r="J475" s="6" t="str">
        <f>A473&amp;"년 "&amp;WEEKNUM(C473,2)&amp;"주차"&amp;" ("&amp;TEXT(C473,"m/dd")&amp;"~"&amp;TEXT(C479,"m/dd")&amp;")"</f>
        <v>2023년 16주차 (4/10~4/16)</v>
      </c>
      <c r="K475" s="6">
        <f>YEAR(C473)</f>
        <v>2023</v>
      </c>
      <c r="L475" s="6">
        <f>WEEKNUM(C473,2)</f>
        <v>16</v>
      </c>
    </row>
    <row r="476" spans="1:12" x14ac:dyDescent="0.45">
      <c r="A476" s="6">
        <f t="shared" si="63"/>
        <v>2023</v>
      </c>
      <c r="B476" s="6">
        <f t="shared" si="60"/>
        <v>4</v>
      </c>
      <c r="C476" s="7">
        <v>45029</v>
      </c>
      <c r="D476" s="6">
        <f t="shared" si="64"/>
        <v>4</v>
      </c>
      <c r="E476" s="6">
        <f t="shared" si="65"/>
        <v>16</v>
      </c>
      <c r="F476" s="6">
        <f t="shared" si="66"/>
        <v>2</v>
      </c>
      <c r="G476" s="6" t="str">
        <f t="shared" si="61"/>
        <v>04</v>
      </c>
      <c r="H476" s="6" t="str">
        <f t="shared" si="62"/>
        <v>04월 2주차</v>
      </c>
      <c r="I476" s="6" t="str">
        <f>H476&amp;" ("&amp;TEXT(C473,"m/dd")&amp;"~"&amp;TEXT(C479,"m/dd")&amp;")"</f>
        <v>04월 2주차 (4/10~4/16)</v>
      </c>
      <c r="J476" s="6" t="str">
        <f>A473&amp;"년 "&amp;WEEKNUM(C473,2)&amp;"주차"&amp;" ("&amp;TEXT(C473,"m/dd")&amp;"~"&amp;TEXT(C479,"m/dd")&amp;")"</f>
        <v>2023년 16주차 (4/10~4/16)</v>
      </c>
      <c r="K476" s="6">
        <f>YEAR(C473)</f>
        <v>2023</v>
      </c>
      <c r="L476" s="6">
        <f>WEEKNUM(C473,2)</f>
        <v>16</v>
      </c>
    </row>
    <row r="477" spans="1:12" x14ac:dyDescent="0.45">
      <c r="A477" s="6">
        <f t="shared" si="63"/>
        <v>2023</v>
      </c>
      <c r="B477" s="6">
        <f t="shared" si="60"/>
        <v>4</v>
      </c>
      <c r="C477" s="7">
        <v>45030</v>
      </c>
      <c r="D477" s="6">
        <f t="shared" si="64"/>
        <v>5</v>
      </c>
      <c r="E477" s="6">
        <f t="shared" si="65"/>
        <v>16</v>
      </c>
      <c r="F477" s="6">
        <f t="shared" si="66"/>
        <v>2</v>
      </c>
      <c r="G477" s="6" t="str">
        <f t="shared" si="61"/>
        <v>04</v>
      </c>
      <c r="H477" s="6" t="str">
        <f t="shared" si="62"/>
        <v>04월 2주차</v>
      </c>
      <c r="I477" s="6" t="str">
        <f>H477&amp;" ("&amp;TEXT(C473,"m/dd")&amp;"~"&amp;TEXT(C479,"m/dd")&amp;")"</f>
        <v>04월 2주차 (4/10~4/16)</v>
      </c>
      <c r="J477" s="6" t="str">
        <f>A473&amp;"년 "&amp;WEEKNUM(C473,2)&amp;"주차"&amp;" ("&amp;TEXT(C473,"m/dd")&amp;"~"&amp;TEXT(C479,"m/dd")&amp;")"</f>
        <v>2023년 16주차 (4/10~4/16)</v>
      </c>
      <c r="K477" s="6">
        <f>YEAR(C473)</f>
        <v>2023</v>
      </c>
      <c r="L477" s="6">
        <f>WEEKNUM(C473,2)</f>
        <v>16</v>
      </c>
    </row>
    <row r="478" spans="1:12" x14ac:dyDescent="0.45">
      <c r="A478" s="6">
        <f t="shared" si="63"/>
        <v>2023</v>
      </c>
      <c r="B478" s="6">
        <f t="shared" si="60"/>
        <v>4</v>
      </c>
      <c r="C478" s="7">
        <v>45031</v>
      </c>
      <c r="D478" s="6">
        <f t="shared" si="64"/>
        <v>6</v>
      </c>
      <c r="E478" s="6">
        <f t="shared" si="65"/>
        <v>16</v>
      </c>
      <c r="F478" s="6">
        <f t="shared" si="66"/>
        <v>2</v>
      </c>
      <c r="G478" s="6" t="str">
        <f t="shared" si="61"/>
        <v>04</v>
      </c>
      <c r="H478" s="6" t="str">
        <f t="shared" si="62"/>
        <v>04월 2주차</v>
      </c>
      <c r="I478" s="6" t="str">
        <f>H478&amp;" ("&amp;TEXT(C473,"m/dd")&amp;"~"&amp;TEXT(C479,"m/dd")&amp;")"</f>
        <v>04월 2주차 (4/10~4/16)</v>
      </c>
      <c r="J478" s="6" t="str">
        <f>A473&amp;"년 "&amp;WEEKNUM(C473,2)&amp;"주차"&amp;" ("&amp;TEXT(C473,"m/dd")&amp;"~"&amp;TEXT(C479,"m/dd")&amp;")"</f>
        <v>2023년 16주차 (4/10~4/16)</v>
      </c>
      <c r="K478" s="6">
        <f>YEAR(C473)</f>
        <v>2023</v>
      </c>
      <c r="L478" s="6">
        <f>WEEKNUM(C473,2)</f>
        <v>16</v>
      </c>
    </row>
    <row r="479" spans="1:12" x14ac:dyDescent="0.45">
      <c r="A479" s="6">
        <f t="shared" si="63"/>
        <v>2023</v>
      </c>
      <c r="B479" s="6">
        <f t="shared" si="60"/>
        <v>4</v>
      </c>
      <c r="C479" s="7">
        <v>45032</v>
      </c>
      <c r="D479" s="6">
        <f t="shared" si="64"/>
        <v>7</v>
      </c>
      <c r="E479" s="6">
        <f t="shared" si="65"/>
        <v>16</v>
      </c>
      <c r="F479" s="6">
        <f t="shared" si="66"/>
        <v>2</v>
      </c>
      <c r="G479" s="6" t="str">
        <f t="shared" si="61"/>
        <v>04</v>
      </c>
      <c r="H479" s="6" t="str">
        <f t="shared" si="62"/>
        <v>04월 2주차</v>
      </c>
      <c r="I479" s="6" t="str">
        <f>H479&amp;" ("&amp;TEXT(C473,"m/dd")&amp;"~"&amp;TEXT(C479,"m/dd")&amp;")"</f>
        <v>04월 2주차 (4/10~4/16)</v>
      </c>
      <c r="J479" s="6" t="str">
        <f>A473&amp;"년 "&amp;WEEKNUM(C473,2)&amp;"주차"&amp;" ("&amp;TEXT(C473,"m/dd")&amp;"~"&amp;TEXT(C479,"m/dd")&amp;")"</f>
        <v>2023년 16주차 (4/10~4/16)</v>
      </c>
      <c r="K479" s="6">
        <f>YEAR(C473)</f>
        <v>2023</v>
      </c>
      <c r="L479" s="6">
        <f>WEEKNUM(C473,2)</f>
        <v>16</v>
      </c>
    </row>
    <row r="480" spans="1:12" x14ac:dyDescent="0.45">
      <c r="A480" s="6">
        <f t="shared" si="63"/>
        <v>2023</v>
      </c>
      <c r="B480" s="6">
        <f t="shared" si="60"/>
        <v>4</v>
      </c>
      <c r="C480" s="7">
        <v>45033</v>
      </c>
      <c r="D480" s="6">
        <f t="shared" si="64"/>
        <v>1</v>
      </c>
      <c r="E480" s="6">
        <f t="shared" si="65"/>
        <v>17</v>
      </c>
      <c r="F480" s="6">
        <f t="shared" si="66"/>
        <v>3</v>
      </c>
      <c r="G480" s="6" t="str">
        <f t="shared" si="61"/>
        <v>04</v>
      </c>
      <c r="H480" s="6" t="str">
        <f t="shared" si="62"/>
        <v>04월 3주차</v>
      </c>
      <c r="I480" s="6" t="str">
        <f>H480&amp;" ("&amp;TEXT(C480,"m/dd")&amp;"~"&amp;TEXT(C486,"m/dd")&amp;")"</f>
        <v>04월 3주차 (4/17~4/23)</v>
      </c>
      <c r="J480" s="6" t="str">
        <f>A480&amp;"년 "&amp;WEEKNUM(C480,2)&amp;"주차"&amp;" ("&amp;TEXT(C480,"m/dd")&amp;"~"&amp;TEXT(C486,"m/dd")&amp;")"</f>
        <v>2023년 17주차 (4/17~4/23)</v>
      </c>
      <c r="K480" s="6">
        <f>YEAR(C480)</f>
        <v>2023</v>
      </c>
      <c r="L480" s="6">
        <f>WEEKNUM(C480,2)</f>
        <v>17</v>
      </c>
    </row>
    <row r="481" spans="1:12" x14ac:dyDescent="0.45">
      <c r="A481" s="6">
        <f t="shared" si="63"/>
        <v>2023</v>
      </c>
      <c r="B481" s="6">
        <f t="shared" si="60"/>
        <v>4</v>
      </c>
      <c r="C481" s="7">
        <v>45034</v>
      </c>
      <c r="D481" s="6">
        <f t="shared" si="64"/>
        <v>2</v>
      </c>
      <c r="E481" s="6">
        <f t="shared" si="65"/>
        <v>17</v>
      </c>
      <c r="F481" s="6">
        <f t="shared" si="66"/>
        <v>3</v>
      </c>
      <c r="G481" s="6" t="str">
        <f t="shared" si="61"/>
        <v>04</v>
      </c>
      <c r="H481" s="6" t="str">
        <f t="shared" si="62"/>
        <v>04월 3주차</v>
      </c>
      <c r="I481" s="6" t="str">
        <f>H481&amp;" ("&amp;TEXT(C480,"m/dd")&amp;"~"&amp;TEXT(C486,"m/dd")&amp;")"</f>
        <v>04월 3주차 (4/17~4/23)</v>
      </c>
      <c r="J481" s="6" t="str">
        <f>A480&amp;"년 "&amp;WEEKNUM(C480,2)&amp;"주차"&amp;" ("&amp;TEXT(C480,"m/dd")&amp;"~"&amp;TEXT(C486,"m/dd")&amp;")"</f>
        <v>2023년 17주차 (4/17~4/23)</v>
      </c>
      <c r="K481" s="6">
        <f>YEAR(C480)</f>
        <v>2023</v>
      </c>
      <c r="L481" s="6">
        <f>WEEKNUM(C480,2)</f>
        <v>17</v>
      </c>
    </row>
    <row r="482" spans="1:12" x14ac:dyDescent="0.45">
      <c r="A482" s="6">
        <f t="shared" si="63"/>
        <v>2023</v>
      </c>
      <c r="B482" s="6">
        <f t="shared" si="60"/>
        <v>4</v>
      </c>
      <c r="C482" s="7">
        <v>45035</v>
      </c>
      <c r="D482" s="6">
        <f t="shared" si="64"/>
        <v>3</v>
      </c>
      <c r="E482" s="6">
        <f t="shared" si="65"/>
        <v>17</v>
      </c>
      <c r="F482" s="6">
        <f t="shared" si="66"/>
        <v>3</v>
      </c>
      <c r="G482" s="6" t="str">
        <f t="shared" si="61"/>
        <v>04</v>
      </c>
      <c r="H482" s="6" t="str">
        <f t="shared" si="62"/>
        <v>04월 3주차</v>
      </c>
      <c r="I482" s="6" t="str">
        <f>H482&amp;" ("&amp;TEXT(C480,"m/dd")&amp;"~"&amp;TEXT(C486,"m/dd")&amp;")"</f>
        <v>04월 3주차 (4/17~4/23)</v>
      </c>
      <c r="J482" s="6" t="str">
        <f>A480&amp;"년 "&amp;WEEKNUM(C480,2)&amp;"주차"&amp;" ("&amp;TEXT(C480,"m/dd")&amp;"~"&amp;TEXT(C486,"m/dd")&amp;")"</f>
        <v>2023년 17주차 (4/17~4/23)</v>
      </c>
      <c r="K482" s="6">
        <f>YEAR(C480)</f>
        <v>2023</v>
      </c>
      <c r="L482" s="6">
        <f>WEEKNUM(C480,2)</f>
        <v>17</v>
      </c>
    </row>
    <row r="483" spans="1:12" x14ac:dyDescent="0.45">
      <c r="A483" s="6">
        <f t="shared" si="63"/>
        <v>2023</v>
      </c>
      <c r="B483" s="6">
        <f t="shared" si="60"/>
        <v>4</v>
      </c>
      <c r="C483" s="7">
        <v>45036</v>
      </c>
      <c r="D483" s="6">
        <f t="shared" si="64"/>
        <v>4</v>
      </c>
      <c r="E483" s="6">
        <f t="shared" si="65"/>
        <v>17</v>
      </c>
      <c r="F483" s="6">
        <f t="shared" si="66"/>
        <v>3</v>
      </c>
      <c r="G483" s="6" t="str">
        <f t="shared" si="61"/>
        <v>04</v>
      </c>
      <c r="H483" s="6" t="str">
        <f t="shared" si="62"/>
        <v>04월 3주차</v>
      </c>
      <c r="I483" s="6" t="str">
        <f>H483&amp;" ("&amp;TEXT(C480,"m/dd")&amp;"~"&amp;TEXT(C486,"m/dd")&amp;")"</f>
        <v>04월 3주차 (4/17~4/23)</v>
      </c>
      <c r="J483" s="6" t="str">
        <f>A480&amp;"년 "&amp;WEEKNUM(C480,2)&amp;"주차"&amp;" ("&amp;TEXT(C480,"m/dd")&amp;"~"&amp;TEXT(C486,"m/dd")&amp;")"</f>
        <v>2023년 17주차 (4/17~4/23)</v>
      </c>
      <c r="K483" s="6">
        <f>YEAR(C480)</f>
        <v>2023</v>
      </c>
      <c r="L483" s="6">
        <f>WEEKNUM(C480,2)</f>
        <v>17</v>
      </c>
    </row>
    <row r="484" spans="1:12" x14ac:dyDescent="0.45">
      <c r="A484" s="6">
        <f t="shared" si="63"/>
        <v>2023</v>
      </c>
      <c r="B484" s="6">
        <f t="shared" si="60"/>
        <v>4</v>
      </c>
      <c r="C484" s="7">
        <v>45037</v>
      </c>
      <c r="D484" s="6">
        <f t="shared" si="64"/>
        <v>5</v>
      </c>
      <c r="E484" s="6">
        <f t="shared" si="65"/>
        <v>17</v>
      </c>
      <c r="F484" s="6">
        <f t="shared" si="66"/>
        <v>3</v>
      </c>
      <c r="G484" s="6" t="str">
        <f t="shared" si="61"/>
        <v>04</v>
      </c>
      <c r="H484" s="6" t="str">
        <f t="shared" si="62"/>
        <v>04월 3주차</v>
      </c>
      <c r="I484" s="6" t="str">
        <f>H484&amp;" ("&amp;TEXT(C480,"m/dd")&amp;"~"&amp;TEXT(C486,"m/dd")&amp;")"</f>
        <v>04월 3주차 (4/17~4/23)</v>
      </c>
      <c r="J484" s="6" t="str">
        <f>A480&amp;"년 "&amp;WEEKNUM(C480,2)&amp;"주차"&amp;" ("&amp;TEXT(C480,"m/dd")&amp;"~"&amp;TEXT(C486,"m/dd")&amp;")"</f>
        <v>2023년 17주차 (4/17~4/23)</v>
      </c>
      <c r="K484" s="6">
        <f>YEAR(C480)</f>
        <v>2023</v>
      </c>
      <c r="L484" s="6">
        <f>WEEKNUM(C480,2)</f>
        <v>17</v>
      </c>
    </row>
    <row r="485" spans="1:12" x14ac:dyDescent="0.45">
      <c r="A485" s="6">
        <f t="shared" si="63"/>
        <v>2023</v>
      </c>
      <c r="B485" s="6">
        <f t="shared" si="60"/>
        <v>4</v>
      </c>
      <c r="C485" s="7">
        <v>45038</v>
      </c>
      <c r="D485" s="6">
        <f t="shared" si="64"/>
        <v>6</v>
      </c>
      <c r="E485" s="6">
        <f t="shared" si="65"/>
        <v>17</v>
      </c>
      <c r="F485" s="6">
        <f t="shared" si="66"/>
        <v>3</v>
      </c>
      <c r="G485" s="6" t="str">
        <f t="shared" si="61"/>
        <v>04</v>
      </c>
      <c r="H485" s="6" t="str">
        <f t="shared" si="62"/>
        <v>04월 3주차</v>
      </c>
      <c r="I485" s="6" t="str">
        <f>H485&amp;" ("&amp;TEXT(C480,"m/dd")&amp;"~"&amp;TEXT(C486,"m/dd")&amp;")"</f>
        <v>04월 3주차 (4/17~4/23)</v>
      </c>
      <c r="J485" s="6" t="str">
        <f>A480&amp;"년 "&amp;WEEKNUM(C480,2)&amp;"주차"&amp;" ("&amp;TEXT(C480,"m/dd")&amp;"~"&amp;TEXT(C486,"m/dd")&amp;")"</f>
        <v>2023년 17주차 (4/17~4/23)</v>
      </c>
      <c r="K485" s="6">
        <f>YEAR(C480)</f>
        <v>2023</v>
      </c>
      <c r="L485" s="6">
        <f>WEEKNUM(C480,2)</f>
        <v>17</v>
      </c>
    </row>
    <row r="486" spans="1:12" x14ac:dyDescent="0.45">
      <c r="A486" s="6">
        <f t="shared" si="63"/>
        <v>2023</v>
      </c>
      <c r="B486" s="6">
        <f t="shared" si="60"/>
        <v>4</v>
      </c>
      <c r="C486" s="7">
        <v>45039</v>
      </c>
      <c r="D486" s="6">
        <f t="shared" si="64"/>
        <v>7</v>
      </c>
      <c r="E486" s="6">
        <f t="shared" si="65"/>
        <v>17</v>
      </c>
      <c r="F486" s="6">
        <f t="shared" si="66"/>
        <v>3</v>
      </c>
      <c r="G486" s="6" t="str">
        <f t="shared" si="61"/>
        <v>04</v>
      </c>
      <c r="H486" s="6" t="str">
        <f t="shared" si="62"/>
        <v>04월 3주차</v>
      </c>
      <c r="I486" s="6" t="str">
        <f>H486&amp;" ("&amp;TEXT(C480,"m/dd")&amp;"~"&amp;TEXT(C486,"m/dd")&amp;")"</f>
        <v>04월 3주차 (4/17~4/23)</v>
      </c>
      <c r="J486" s="6" t="str">
        <f>A480&amp;"년 "&amp;WEEKNUM(C480,2)&amp;"주차"&amp;" ("&amp;TEXT(C480,"m/dd")&amp;"~"&amp;TEXT(C486,"m/dd")&amp;")"</f>
        <v>2023년 17주차 (4/17~4/23)</v>
      </c>
      <c r="K486" s="6">
        <f>YEAR(C480)</f>
        <v>2023</v>
      </c>
      <c r="L486" s="6">
        <f>WEEKNUM(C480,2)</f>
        <v>17</v>
      </c>
    </row>
    <row r="487" spans="1:12" x14ac:dyDescent="0.45">
      <c r="A487" s="6">
        <f t="shared" si="63"/>
        <v>2023</v>
      </c>
      <c r="B487" s="6">
        <f t="shared" si="60"/>
        <v>4</v>
      </c>
      <c r="C487" s="7">
        <v>45040</v>
      </c>
      <c r="D487" s="6">
        <f t="shared" si="64"/>
        <v>1</v>
      </c>
      <c r="E487" s="6">
        <f t="shared" si="65"/>
        <v>18</v>
      </c>
      <c r="F487" s="6">
        <f t="shared" si="66"/>
        <v>4</v>
      </c>
      <c r="G487" s="6" t="str">
        <f t="shared" si="61"/>
        <v>04</v>
      </c>
      <c r="H487" s="6" t="str">
        <f t="shared" si="62"/>
        <v>04월 4주차</v>
      </c>
      <c r="I487" s="6" t="str">
        <f>H487&amp;" ("&amp;TEXT(C487,"m/dd")&amp;"~"&amp;TEXT(C493,"m/dd")&amp;")"</f>
        <v>04월 4주차 (4/24~4/30)</v>
      </c>
      <c r="J487" s="6" t="str">
        <f>A487&amp;"년 "&amp;WEEKNUM(C487,2)&amp;"주차"&amp;" ("&amp;TEXT(C487,"m/dd")&amp;"~"&amp;TEXT(C493,"m/dd")&amp;")"</f>
        <v>2023년 18주차 (4/24~4/30)</v>
      </c>
      <c r="K487" s="6">
        <f>YEAR(C487)</f>
        <v>2023</v>
      </c>
      <c r="L487" s="6">
        <f>WEEKNUM(C487,2)</f>
        <v>18</v>
      </c>
    </row>
    <row r="488" spans="1:12" x14ac:dyDescent="0.45">
      <c r="A488" s="6">
        <f t="shared" si="63"/>
        <v>2023</v>
      </c>
      <c r="B488" s="6">
        <f t="shared" si="60"/>
        <v>4</v>
      </c>
      <c r="C488" s="7">
        <v>45041</v>
      </c>
      <c r="D488" s="6">
        <f t="shared" si="64"/>
        <v>2</v>
      </c>
      <c r="E488" s="6">
        <f t="shared" si="65"/>
        <v>18</v>
      </c>
      <c r="F488" s="6">
        <f t="shared" si="66"/>
        <v>4</v>
      </c>
      <c r="G488" s="6" t="str">
        <f t="shared" si="61"/>
        <v>04</v>
      </c>
      <c r="H488" s="6" t="str">
        <f t="shared" si="62"/>
        <v>04월 4주차</v>
      </c>
      <c r="I488" s="6" t="str">
        <f>H488&amp;" ("&amp;TEXT(C487,"m/dd")&amp;"~"&amp;TEXT(C493,"m/dd")&amp;")"</f>
        <v>04월 4주차 (4/24~4/30)</v>
      </c>
      <c r="J488" s="6" t="str">
        <f>A487&amp;"년 "&amp;WEEKNUM(C487,2)&amp;"주차"&amp;" ("&amp;TEXT(C487,"m/dd")&amp;"~"&amp;TEXT(C493,"m/dd")&amp;")"</f>
        <v>2023년 18주차 (4/24~4/30)</v>
      </c>
      <c r="K488" s="6">
        <f>YEAR(C487)</f>
        <v>2023</v>
      </c>
      <c r="L488" s="6">
        <f>WEEKNUM(C487,2)</f>
        <v>18</v>
      </c>
    </row>
    <row r="489" spans="1:12" x14ac:dyDescent="0.45">
      <c r="A489" s="6">
        <f t="shared" si="63"/>
        <v>2023</v>
      </c>
      <c r="B489" s="6">
        <f t="shared" si="60"/>
        <v>4</v>
      </c>
      <c r="C489" s="7">
        <v>45042</v>
      </c>
      <c r="D489" s="6">
        <f t="shared" si="64"/>
        <v>3</v>
      </c>
      <c r="E489" s="6">
        <f t="shared" si="65"/>
        <v>18</v>
      </c>
      <c r="F489" s="6">
        <f t="shared" si="66"/>
        <v>4</v>
      </c>
      <c r="G489" s="6" t="str">
        <f t="shared" si="61"/>
        <v>04</v>
      </c>
      <c r="H489" s="6" t="str">
        <f t="shared" si="62"/>
        <v>04월 4주차</v>
      </c>
      <c r="I489" s="6" t="str">
        <f>H489&amp;" ("&amp;TEXT(C487,"m/dd")&amp;"~"&amp;TEXT(C493,"m/dd")&amp;")"</f>
        <v>04월 4주차 (4/24~4/30)</v>
      </c>
      <c r="J489" s="6" t="str">
        <f>A487&amp;"년 "&amp;WEEKNUM(C487,2)&amp;"주차"&amp;" ("&amp;TEXT(C487,"m/dd")&amp;"~"&amp;TEXT(C493,"m/dd")&amp;")"</f>
        <v>2023년 18주차 (4/24~4/30)</v>
      </c>
      <c r="K489" s="6">
        <f>YEAR(C487)</f>
        <v>2023</v>
      </c>
      <c r="L489" s="6">
        <f>WEEKNUM(C487,2)</f>
        <v>18</v>
      </c>
    </row>
    <row r="490" spans="1:12" x14ac:dyDescent="0.45">
      <c r="A490" s="6">
        <f t="shared" si="63"/>
        <v>2023</v>
      </c>
      <c r="B490" s="6">
        <f t="shared" si="60"/>
        <v>4</v>
      </c>
      <c r="C490" s="7">
        <v>45043</v>
      </c>
      <c r="D490" s="6">
        <f t="shared" si="64"/>
        <v>4</v>
      </c>
      <c r="E490" s="6">
        <f t="shared" si="65"/>
        <v>18</v>
      </c>
      <c r="F490" s="6">
        <f t="shared" si="66"/>
        <v>4</v>
      </c>
      <c r="G490" s="6" t="str">
        <f t="shared" si="61"/>
        <v>04</v>
      </c>
      <c r="H490" s="6" t="str">
        <f t="shared" si="62"/>
        <v>04월 4주차</v>
      </c>
      <c r="I490" s="6" t="str">
        <f>H490&amp;" ("&amp;TEXT(C487,"m/dd")&amp;"~"&amp;TEXT(C493,"m/dd")&amp;")"</f>
        <v>04월 4주차 (4/24~4/30)</v>
      </c>
      <c r="J490" s="6" t="str">
        <f>A487&amp;"년 "&amp;WEEKNUM(C487,2)&amp;"주차"&amp;" ("&amp;TEXT(C487,"m/dd")&amp;"~"&amp;TEXT(C493,"m/dd")&amp;")"</f>
        <v>2023년 18주차 (4/24~4/30)</v>
      </c>
      <c r="K490" s="6">
        <f>YEAR(C487)</f>
        <v>2023</v>
      </c>
      <c r="L490" s="6">
        <f>WEEKNUM(C487,2)</f>
        <v>18</v>
      </c>
    </row>
    <row r="491" spans="1:12" x14ac:dyDescent="0.45">
      <c r="A491" s="6">
        <f t="shared" si="63"/>
        <v>2023</v>
      </c>
      <c r="B491" s="6">
        <f t="shared" si="60"/>
        <v>4</v>
      </c>
      <c r="C491" s="7">
        <v>45044</v>
      </c>
      <c r="D491" s="6">
        <f t="shared" si="64"/>
        <v>5</v>
      </c>
      <c r="E491" s="6">
        <f t="shared" si="65"/>
        <v>18</v>
      </c>
      <c r="F491" s="6">
        <f t="shared" si="66"/>
        <v>4</v>
      </c>
      <c r="G491" s="6" t="str">
        <f t="shared" si="61"/>
        <v>04</v>
      </c>
      <c r="H491" s="6" t="str">
        <f t="shared" si="62"/>
        <v>04월 4주차</v>
      </c>
      <c r="I491" s="6" t="str">
        <f>H491&amp;" ("&amp;TEXT(C487,"m/dd")&amp;"~"&amp;TEXT(C493,"m/dd")&amp;")"</f>
        <v>04월 4주차 (4/24~4/30)</v>
      </c>
      <c r="J491" s="6" t="str">
        <f>A487&amp;"년 "&amp;WEEKNUM(C487,2)&amp;"주차"&amp;" ("&amp;TEXT(C487,"m/dd")&amp;"~"&amp;TEXT(C493,"m/dd")&amp;")"</f>
        <v>2023년 18주차 (4/24~4/30)</v>
      </c>
      <c r="K491" s="6">
        <f>YEAR(C487)</f>
        <v>2023</v>
      </c>
      <c r="L491" s="6">
        <f>WEEKNUM(C487,2)</f>
        <v>18</v>
      </c>
    </row>
    <row r="492" spans="1:12" x14ac:dyDescent="0.45">
      <c r="A492" s="6">
        <f t="shared" si="63"/>
        <v>2023</v>
      </c>
      <c r="B492" s="6">
        <f t="shared" si="60"/>
        <v>4</v>
      </c>
      <c r="C492" s="7">
        <v>45045</v>
      </c>
      <c r="D492" s="6">
        <f t="shared" si="64"/>
        <v>6</v>
      </c>
      <c r="E492" s="6">
        <f t="shared" si="65"/>
        <v>18</v>
      </c>
      <c r="F492" s="6">
        <f t="shared" si="66"/>
        <v>4</v>
      </c>
      <c r="G492" s="6" t="str">
        <f t="shared" si="61"/>
        <v>04</v>
      </c>
      <c r="H492" s="6" t="str">
        <f t="shared" si="62"/>
        <v>04월 4주차</v>
      </c>
      <c r="I492" s="6" t="str">
        <f>H492&amp;" ("&amp;TEXT(C487,"m/dd")&amp;"~"&amp;TEXT(C493,"m/dd")&amp;")"</f>
        <v>04월 4주차 (4/24~4/30)</v>
      </c>
      <c r="J492" s="6" t="str">
        <f>A487&amp;"년 "&amp;WEEKNUM(C487,2)&amp;"주차"&amp;" ("&amp;TEXT(C487,"m/dd")&amp;"~"&amp;TEXT(C493,"m/dd")&amp;")"</f>
        <v>2023년 18주차 (4/24~4/30)</v>
      </c>
      <c r="K492" s="6">
        <f>YEAR(C487)</f>
        <v>2023</v>
      </c>
      <c r="L492" s="6">
        <f>WEEKNUM(C487,2)</f>
        <v>18</v>
      </c>
    </row>
    <row r="493" spans="1:12" x14ac:dyDescent="0.45">
      <c r="A493" s="6">
        <f t="shared" si="63"/>
        <v>2023</v>
      </c>
      <c r="B493" s="6">
        <f t="shared" si="60"/>
        <v>4</v>
      </c>
      <c r="C493" s="7">
        <v>45046</v>
      </c>
      <c r="D493" s="6">
        <f t="shared" si="64"/>
        <v>7</v>
      </c>
      <c r="E493" s="6">
        <f t="shared" si="65"/>
        <v>18</v>
      </c>
      <c r="F493" s="6">
        <f t="shared" si="66"/>
        <v>4</v>
      </c>
      <c r="G493" s="6" t="str">
        <f t="shared" si="61"/>
        <v>04</v>
      </c>
      <c r="H493" s="6" t="str">
        <f t="shared" si="62"/>
        <v>04월 4주차</v>
      </c>
      <c r="I493" s="6" t="str">
        <f>H493&amp;" ("&amp;TEXT(C487,"m/dd")&amp;"~"&amp;TEXT(C493,"m/dd")&amp;")"</f>
        <v>04월 4주차 (4/24~4/30)</v>
      </c>
      <c r="J493" s="6" t="str">
        <f>A487&amp;"년 "&amp;WEEKNUM(C487,2)&amp;"주차"&amp;" ("&amp;TEXT(C487,"m/dd")&amp;"~"&amp;TEXT(C493,"m/dd")&amp;")"</f>
        <v>2023년 18주차 (4/24~4/30)</v>
      </c>
      <c r="K493" s="6">
        <f>YEAR(C487)</f>
        <v>2023</v>
      </c>
      <c r="L493" s="6">
        <f>WEEKNUM(C487,2)</f>
        <v>18</v>
      </c>
    </row>
    <row r="494" spans="1:12" x14ac:dyDescent="0.45">
      <c r="A494" s="6">
        <f t="shared" si="63"/>
        <v>2023</v>
      </c>
      <c r="B494" s="6">
        <f t="shared" si="60"/>
        <v>5</v>
      </c>
      <c r="C494" s="7">
        <v>45047</v>
      </c>
      <c r="D494" s="6">
        <f t="shared" si="64"/>
        <v>1</v>
      </c>
      <c r="E494" s="6">
        <f t="shared" si="65"/>
        <v>19</v>
      </c>
      <c r="F494" s="6">
        <f t="shared" si="66"/>
        <v>1</v>
      </c>
      <c r="G494" s="6" t="str">
        <f t="shared" si="61"/>
        <v>05</v>
      </c>
      <c r="H494" s="6" t="str">
        <f t="shared" si="62"/>
        <v>05월 1주차</v>
      </c>
      <c r="I494" s="6" t="str">
        <f>H494&amp;" ("&amp;TEXT(C494,"m/dd")&amp;"~"&amp;TEXT(C500,"m/dd")&amp;")"</f>
        <v>05월 1주차 (5/01~5/07)</v>
      </c>
      <c r="J494" s="6" t="str">
        <f>A494&amp;"년 "&amp;WEEKNUM(C494,2)&amp;"주차"&amp;" ("&amp;TEXT(C494,"m/dd")&amp;"~"&amp;TEXT(C500,"m/dd")&amp;")"</f>
        <v>2023년 19주차 (5/01~5/07)</v>
      </c>
      <c r="K494" s="6">
        <f>YEAR(C494)</f>
        <v>2023</v>
      </c>
      <c r="L494" s="6">
        <f>WEEKNUM(C494,2)</f>
        <v>19</v>
      </c>
    </row>
    <row r="495" spans="1:12" x14ac:dyDescent="0.45">
      <c r="A495" s="6">
        <f t="shared" si="63"/>
        <v>2023</v>
      </c>
      <c r="B495" s="6">
        <f t="shared" si="60"/>
        <v>5</v>
      </c>
      <c r="C495" s="7">
        <v>45048</v>
      </c>
      <c r="D495" s="6">
        <f t="shared" si="64"/>
        <v>2</v>
      </c>
      <c r="E495" s="6">
        <f t="shared" si="65"/>
        <v>19</v>
      </c>
      <c r="F495" s="6">
        <f t="shared" si="66"/>
        <v>1</v>
      </c>
      <c r="G495" s="6" t="str">
        <f t="shared" si="61"/>
        <v>05</v>
      </c>
      <c r="H495" s="6" t="str">
        <f t="shared" si="62"/>
        <v>05월 1주차</v>
      </c>
      <c r="I495" s="6" t="str">
        <f>H495&amp;" ("&amp;TEXT(C494,"m/dd")&amp;"~"&amp;TEXT(C500,"m/dd")&amp;")"</f>
        <v>05월 1주차 (5/01~5/07)</v>
      </c>
      <c r="J495" s="6" t="str">
        <f>A494&amp;"년 "&amp;WEEKNUM(C494,2)&amp;"주차"&amp;" ("&amp;TEXT(C494,"m/dd")&amp;"~"&amp;TEXT(C500,"m/dd")&amp;")"</f>
        <v>2023년 19주차 (5/01~5/07)</v>
      </c>
      <c r="K495" s="6">
        <f t="shared" ref="K495:K558" si="67">YEAR(C495)</f>
        <v>2023</v>
      </c>
      <c r="L495" s="6">
        <f t="shared" ref="L495:L558" si="68">WEEKNUM(C495,2)</f>
        <v>19</v>
      </c>
    </row>
    <row r="496" spans="1:12" x14ac:dyDescent="0.45">
      <c r="A496" s="6">
        <f t="shared" si="63"/>
        <v>2023</v>
      </c>
      <c r="B496" s="6">
        <f t="shared" si="60"/>
        <v>5</v>
      </c>
      <c r="C496" s="7">
        <v>45049</v>
      </c>
      <c r="D496" s="6">
        <f t="shared" si="64"/>
        <v>3</v>
      </c>
      <c r="E496" s="6">
        <f t="shared" si="65"/>
        <v>19</v>
      </c>
      <c r="F496" s="6">
        <f t="shared" si="66"/>
        <v>1</v>
      </c>
      <c r="G496" s="6" t="str">
        <f t="shared" si="61"/>
        <v>05</v>
      </c>
      <c r="H496" s="6" t="str">
        <f t="shared" si="62"/>
        <v>05월 1주차</v>
      </c>
      <c r="I496" s="6" t="str">
        <f>H496&amp;" ("&amp;TEXT(C494,"m/dd")&amp;"~"&amp;TEXT(C500,"m/dd")&amp;")"</f>
        <v>05월 1주차 (5/01~5/07)</v>
      </c>
      <c r="J496" s="6" t="str">
        <f>A494&amp;"년 "&amp;WEEKNUM(C494,2)&amp;"주차"&amp;" ("&amp;TEXT(C494,"m/dd")&amp;"~"&amp;TEXT(C500,"m/dd")&amp;")"</f>
        <v>2023년 19주차 (5/01~5/07)</v>
      </c>
      <c r="K496" s="6">
        <f t="shared" si="67"/>
        <v>2023</v>
      </c>
      <c r="L496" s="6">
        <f t="shared" si="68"/>
        <v>19</v>
      </c>
    </row>
    <row r="497" spans="1:12" x14ac:dyDescent="0.45">
      <c r="A497" s="6">
        <f t="shared" si="63"/>
        <v>2023</v>
      </c>
      <c r="B497" s="6">
        <f t="shared" si="60"/>
        <v>5</v>
      </c>
      <c r="C497" s="7">
        <v>45050</v>
      </c>
      <c r="D497" s="6">
        <f t="shared" si="64"/>
        <v>4</v>
      </c>
      <c r="E497" s="6">
        <f t="shared" si="65"/>
        <v>19</v>
      </c>
      <c r="F497" s="6">
        <f t="shared" si="66"/>
        <v>1</v>
      </c>
      <c r="G497" s="6" t="str">
        <f t="shared" si="61"/>
        <v>05</v>
      </c>
      <c r="H497" s="6" t="str">
        <f t="shared" si="62"/>
        <v>05월 1주차</v>
      </c>
      <c r="I497" s="6" t="str">
        <f>H497&amp;" ("&amp;TEXT(C494,"m/dd")&amp;"~"&amp;TEXT(C500,"m/dd")&amp;")"</f>
        <v>05월 1주차 (5/01~5/07)</v>
      </c>
      <c r="J497" s="6" t="str">
        <f>A494&amp;"년 "&amp;WEEKNUM(C494,2)&amp;"주차"&amp;" ("&amp;TEXT(C494,"m/dd")&amp;"~"&amp;TEXT(C500,"m/dd")&amp;")"</f>
        <v>2023년 19주차 (5/01~5/07)</v>
      </c>
      <c r="K497" s="6">
        <f t="shared" si="67"/>
        <v>2023</v>
      </c>
      <c r="L497" s="6">
        <f t="shared" si="68"/>
        <v>19</v>
      </c>
    </row>
    <row r="498" spans="1:12" x14ac:dyDescent="0.45">
      <c r="A498" s="6">
        <f t="shared" si="63"/>
        <v>2023</v>
      </c>
      <c r="B498" s="6">
        <f t="shared" si="60"/>
        <v>5</v>
      </c>
      <c r="C498" s="7">
        <v>45051</v>
      </c>
      <c r="D498" s="6">
        <f t="shared" si="64"/>
        <v>5</v>
      </c>
      <c r="E498" s="6">
        <f t="shared" si="65"/>
        <v>19</v>
      </c>
      <c r="F498" s="6">
        <f t="shared" si="66"/>
        <v>1</v>
      </c>
      <c r="G498" s="6" t="str">
        <f t="shared" si="61"/>
        <v>05</v>
      </c>
      <c r="H498" s="6" t="str">
        <f t="shared" si="62"/>
        <v>05월 1주차</v>
      </c>
      <c r="I498" s="6" t="str">
        <f>H498&amp;" ("&amp;TEXT(C494,"m/dd")&amp;"~"&amp;TEXT(C500,"m/dd")&amp;")"</f>
        <v>05월 1주차 (5/01~5/07)</v>
      </c>
      <c r="J498" s="6" t="str">
        <f>A494&amp;"년 "&amp;WEEKNUM(C494,2)&amp;"주차"&amp;" ("&amp;TEXT(C494,"m/dd")&amp;"~"&amp;TEXT(C500,"m/dd")&amp;")"</f>
        <v>2023년 19주차 (5/01~5/07)</v>
      </c>
      <c r="K498" s="6">
        <f t="shared" si="67"/>
        <v>2023</v>
      </c>
      <c r="L498" s="6">
        <f t="shared" si="68"/>
        <v>19</v>
      </c>
    </row>
    <row r="499" spans="1:12" x14ac:dyDescent="0.45">
      <c r="A499" s="6">
        <f t="shared" si="63"/>
        <v>2023</v>
      </c>
      <c r="B499" s="6">
        <f t="shared" si="60"/>
        <v>5</v>
      </c>
      <c r="C499" s="7">
        <v>45052</v>
      </c>
      <c r="D499" s="6">
        <f t="shared" si="64"/>
        <v>6</v>
      </c>
      <c r="E499" s="6">
        <f t="shared" si="65"/>
        <v>19</v>
      </c>
      <c r="F499" s="6">
        <f t="shared" si="66"/>
        <v>1</v>
      </c>
      <c r="G499" s="6" t="str">
        <f t="shared" si="61"/>
        <v>05</v>
      </c>
      <c r="H499" s="6" t="str">
        <f t="shared" si="62"/>
        <v>05월 1주차</v>
      </c>
      <c r="I499" s="6" t="str">
        <f>H499&amp;" ("&amp;TEXT(C494,"m/dd")&amp;"~"&amp;TEXT(C500,"m/dd")&amp;")"</f>
        <v>05월 1주차 (5/01~5/07)</v>
      </c>
      <c r="J499" s="6" t="str">
        <f>A494&amp;"년 "&amp;WEEKNUM(C494,2)&amp;"주차"&amp;" ("&amp;TEXT(C494,"m/dd")&amp;"~"&amp;TEXT(C500,"m/dd")&amp;")"</f>
        <v>2023년 19주차 (5/01~5/07)</v>
      </c>
      <c r="K499" s="6">
        <f t="shared" si="67"/>
        <v>2023</v>
      </c>
      <c r="L499" s="6">
        <f t="shared" si="68"/>
        <v>19</v>
      </c>
    </row>
    <row r="500" spans="1:12" x14ac:dyDescent="0.45">
      <c r="A500" s="6">
        <f t="shared" si="63"/>
        <v>2023</v>
      </c>
      <c r="B500" s="6">
        <f t="shared" si="60"/>
        <v>5</v>
      </c>
      <c r="C500" s="7">
        <v>45053</v>
      </c>
      <c r="D500" s="6">
        <f t="shared" si="64"/>
        <v>7</v>
      </c>
      <c r="E500" s="6">
        <f t="shared" si="65"/>
        <v>19</v>
      </c>
      <c r="F500" s="6">
        <f t="shared" si="66"/>
        <v>1</v>
      </c>
      <c r="G500" s="6" t="str">
        <f t="shared" si="61"/>
        <v>05</v>
      </c>
      <c r="H500" s="6" t="str">
        <f t="shared" si="62"/>
        <v>05월 1주차</v>
      </c>
      <c r="I500" s="6" t="str">
        <f>H500&amp;" ("&amp;TEXT(C494,"m/dd")&amp;"~"&amp;TEXT(C500,"m/dd")&amp;")"</f>
        <v>05월 1주차 (5/01~5/07)</v>
      </c>
      <c r="J500" s="6" t="str">
        <f>A494&amp;"년 "&amp;WEEKNUM(C494,2)&amp;"주차"&amp;" ("&amp;TEXT(C494,"m/dd")&amp;"~"&amp;TEXT(C500,"m/dd")&amp;")"</f>
        <v>2023년 19주차 (5/01~5/07)</v>
      </c>
      <c r="K500" s="6">
        <f t="shared" si="67"/>
        <v>2023</v>
      </c>
      <c r="L500" s="6">
        <f t="shared" si="68"/>
        <v>19</v>
      </c>
    </row>
    <row r="501" spans="1:12" x14ac:dyDescent="0.45">
      <c r="A501" s="6">
        <f t="shared" si="63"/>
        <v>2023</v>
      </c>
      <c r="B501" s="6">
        <f t="shared" si="60"/>
        <v>5</v>
      </c>
      <c r="C501" s="7">
        <v>45054</v>
      </c>
      <c r="D501" s="6">
        <f t="shared" si="64"/>
        <v>1</v>
      </c>
      <c r="E501" s="6">
        <f t="shared" si="65"/>
        <v>20</v>
      </c>
      <c r="F501" s="6">
        <f t="shared" si="66"/>
        <v>2</v>
      </c>
      <c r="G501" s="6" t="str">
        <f t="shared" si="61"/>
        <v>05</v>
      </c>
      <c r="H501" s="6" t="str">
        <f t="shared" si="62"/>
        <v>05월 2주차</v>
      </c>
      <c r="I501" s="6" t="str">
        <f>H501&amp;" ("&amp;TEXT(C501,"m/dd")&amp;"~"&amp;TEXT(C507,"m/dd")&amp;")"</f>
        <v>05월 2주차 (5/08~5/14)</v>
      </c>
      <c r="J501" s="6" t="str">
        <f>A501&amp;"년 "&amp;WEEKNUM(C501,2)&amp;"주차"&amp;" ("&amp;TEXT(C501,"m/dd")&amp;"~"&amp;TEXT(C507,"m/dd")&amp;")"</f>
        <v>2023년 20주차 (5/08~5/14)</v>
      </c>
      <c r="K501" s="6">
        <f t="shared" si="67"/>
        <v>2023</v>
      </c>
      <c r="L501" s="6">
        <f t="shared" si="68"/>
        <v>20</v>
      </c>
    </row>
    <row r="502" spans="1:12" x14ac:dyDescent="0.45">
      <c r="A502" s="6">
        <f t="shared" si="63"/>
        <v>2023</v>
      </c>
      <c r="B502" s="6">
        <f t="shared" si="60"/>
        <v>5</v>
      </c>
      <c r="C502" s="7">
        <v>45055</v>
      </c>
      <c r="D502" s="6">
        <f t="shared" si="64"/>
        <v>2</v>
      </c>
      <c r="E502" s="6">
        <f t="shared" si="65"/>
        <v>20</v>
      </c>
      <c r="F502" s="6">
        <f t="shared" si="66"/>
        <v>2</v>
      </c>
      <c r="G502" s="6" t="str">
        <f t="shared" si="61"/>
        <v>05</v>
      </c>
      <c r="H502" s="6" t="str">
        <f t="shared" si="62"/>
        <v>05월 2주차</v>
      </c>
      <c r="I502" s="6" t="str">
        <f>H502&amp;" ("&amp;TEXT(C501,"m/dd")&amp;"~"&amp;TEXT(C507,"m/dd")&amp;")"</f>
        <v>05월 2주차 (5/08~5/14)</v>
      </c>
      <c r="J502" s="6" t="str">
        <f>A501&amp;"년 "&amp;WEEKNUM(C501,2)&amp;"주차"&amp;" ("&amp;TEXT(C501,"m/dd")&amp;"~"&amp;TEXT(C507,"m/dd")&amp;")"</f>
        <v>2023년 20주차 (5/08~5/14)</v>
      </c>
      <c r="K502" s="6">
        <f t="shared" si="67"/>
        <v>2023</v>
      </c>
      <c r="L502" s="6">
        <f t="shared" si="68"/>
        <v>20</v>
      </c>
    </row>
    <row r="503" spans="1:12" x14ac:dyDescent="0.45">
      <c r="A503" s="6">
        <f t="shared" si="63"/>
        <v>2023</v>
      </c>
      <c r="B503" s="6">
        <f t="shared" si="60"/>
        <v>5</v>
      </c>
      <c r="C503" s="7">
        <v>45056</v>
      </c>
      <c r="D503" s="6">
        <f t="shared" si="64"/>
        <v>3</v>
      </c>
      <c r="E503" s="6">
        <f t="shared" si="65"/>
        <v>20</v>
      </c>
      <c r="F503" s="6">
        <f t="shared" si="66"/>
        <v>2</v>
      </c>
      <c r="G503" s="6" t="str">
        <f t="shared" si="61"/>
        <v>05</v>
      </c>
      <c r="H503" s="6" t="str">
        <f t="shared" si="62"/>
        <v>05월 2주차</v>
      </c>
      <c r="I503" s="6" t="str">
        <f>H503&amp;" ("&amp;TEXT(C501,"m/dd")&amp;"~"&amp;TEXT(C507,"m/dd")&amp;")"</f>
        <v>05월 2주차 (5/08~5/14)</v>
      </c>
      <c r="J503" s="6" t="str">
        <f>A501&amp;"년 "&amp;WEEKNUM(C501,2)&amp;"주차"&amp;" ("&amp;TEXT(C501,"m/dd")&amp;"~"&amp;TEXT(C507,"m/dd")&amp;")"</f>
        <v>2023년 20주차 (5/08~5/14)</v>
      </c>
      <c r="K503" s="6">
        <f t="shared" si="67"/>
        <v>2023</v>
      </c>
      <c r="L503" s="6">
        <f t="shared" si="68"/>
        <v>20</v>
      </c>
    </row>
    <row r="504" spans="1:12" x14ac:dyDescent="0.45">
      <c r="A504" s="6">
        <f t="shared" si="63"/>
        <v>2023</v>
      </c>
      <c r="B504" s="6">
        <f t="shared" si="60"/>
        <v>5</v>
      </c>
      <c r="C504" s="7">
        <v>45057</v>
      </c>
      <c r="D504" s="6">
        <f t="shared" si="64"/>
        <v>4</v>
      </c>
      <c r="E504" s="6">
        <f t="shared" si="65"/>
        <v>20</v>
      </c>
      <c r="F504" s="6">
        <f t="shared" si="66"/>
        <v>2</v>
      </c>
      <c r="G504" s="6" t="str">
        <f t="shared" si="61"/>
        <v>05</v>
      </c>
      <c r="H504" s="6" t="str">
        <f t="shared" si="62"/>
        <v>05월 2주차</v>
      </c>
      <c r="I504" s="6" t="str">
        <f>H504&amp;" ("&amp;TEXT(C501,"m/dd")&amp;"~"&amp;TEXT(C507,"m/dd")&amp;")"</f>
        <v>05월 2주차 (5/08~5/14)</v>
      </c>
      <c r="J504" s="6" t="str">
        <f>A501&amp;"년 "&amp;WEEKNUM(C501,2)&amp;"주차"&amp;" ("&amp;TEXT(C501,"m/dd")&amp;"~"&amp;TEXT(C507,"m/dd")&amp;")"</f>
        <v>2023년 20주차 (5/08~5/14)</v>
      </c>
      <c r="K504" s="6">
        <f t="shared" si="67"/>
        <v>2023</v>
      </c>
      <c r="L504" s="6">
        <f t="shared" si="68"/>
        <v>20</v>
      </c>
    </row>
    <row r="505" spans="1:12" x14ac:dyDescent="0.45">
      <c r="A505" s="6">
        <f t="shared" si="63"/>
        <v>2023</v>
      </c>
      <c r="B505" s="6">
        <f t="shared" si="60"/>
        <v>5</v>
      </c>
      <c r="C505" s="7">
        <v>45058</v>
      </c>
      <c r="D505" s="6">
        <f t="shared" si="64"/>
        <v>5</v>
      </c>
      <c r="E505" s="6">
        <f t="shared" si="65"/>
        <v>20</v>
      </c>
      <c r="F505" s="6">
        <f t="shared" si="66"/>
        <v>2</v>
      </c>
      <c r="G505" s="6" t="str">
        <f t="shared" si="61"/>
        <v>05</v>
      </c>
      <c r="H505" s="6" t="str">
        <f t="shared" si="62"/>
        <v>05월 2주차</v>
      </c>
      <c r="I505" s="6" t="str">
        <f>H505&amp;" ("&amp;TEXT(C501,"m/dd")&amp;"~"&amp;TEXT(C507,"m/dd")&amp;")"</f>
        <v>05월 2주차 (5/08~5/14)</v>
      </c>
      <c r="J505" s="6" t="str">
        <f>A501&amp;"년 "&amp;WEEKNUM(C501,2)&amp;"주차"&amp;" ("&amp;TEXT(C501,"m/dd")&amp;"~"&amp;TEXT(C507,"m/dd")&amp;")"</f>
        <v>2023년 20주차 (5/08~5/14)</v>
      </c>
      <c r="K505" s="6">
        <f t="shared" si="67"/>
        <v>2023</v>
      </c>
      <c r="L505" s="6">
        <f t="shared" si="68"/>
        <v>20</v>
      </c>
    </row>
    <row r="506" spans="1:12" x14ac:dyDescent="0.45">
      <c r="A506" s="6">
        <f t="shared" si="63"/>
        <v>2023</v>
      </c>
      <c r="B506" s="6">
        <f t="shared" si="60"/>
        <v>5</v>
      </c>
      <c r="C506" s="7">
        <v>45059</v>
      </c>
      <c r="D506" s="6">
        <f t="shared" si="64"/>
        <v>6</v>
      </c>
      <c r="E506" s="6">
        <f t="shared" si="65"/>
        <v>20</v>
      </c>
      <c r="F506" s="6">
        <f t="shared" si="66"/>
        <v>2</v>
      </c>
      <c r="G506" s="6" t="str">
        <f t="shared" si="61"/>
        <v>05</v>
      </c>
      <c r="H506" s="6" t="str">
        <f t="shared" si="62"/>
        <v>05월 2주차</v>
      </c>
      <c r="I506" s="6" t="str">
        <f>H506&amp;" ("&amp;TEXT(C501,"m/dd")&amp;"~"&amp;TEXT(C507,"m/dd")&amp;")"</f>
        <v>05월 2주차 (5/08~5/14)</v>
      </c>
      <c r="J506" s="6" t="str">
        <f>A501&amp;"년 "&amp;WEEKNUM(C501,2)&amp;"주차"&amp;" ("&amp;TEXT(C501,"m/dd")&amp;"~"&amp;TEXT(C507,"m/dd")&amp;")"</f>
        <v>2023년 20주차 (5/08~5/14)</v>
      </c>
      <c r="K506" s="6">
        <f t="shared" si="67"/>
        <v>2023</v>
      </c>
      <c r="L506" s="6">
        <f t="shared" si="68"/>
        <v>20</v>
      </c>
    </row>
    <row r="507" spans="1:12" x14ac:dyDescent="0.45">
      <c r="A507" s="6">
        <f t="shared" si="63"/>
        <v>2023</v>
      </c>
      <c r="B507" s="6">
        <f t="shared" si="60"/>
        <v>5</v>
      </c>
      <c r="C507" s="7">
        <v>45060</v>
      </c>
      <c r="D507" s="6">
        <f t="shared" si="64"/>
        <v>7</v>
      </c>
      <c r="E507" s="6">
        <f t="shared" si="65"/>
        <v>20</v>
      </c>
      <c r="F507" s="6">
        <f t="shared" si="66"/>
        <v>2</v>
      </c>
      <c r="G507" s="6" t="str">
        <f t="shared" si="61"/>
        <v>05</v>
      </c>
      <c r="H507" s="6" t="str">
        <f t="shared" si="62"/>
        <v>05월 2주차</v>
      </c>
      <c r="I507" s="6" t="str">
        <f>H507&amp;" ("&amp;TEXT(C501,"m/dd")&amp;"~"&amp;TEXT(C507,"m/dd")&amp;")"</f>
        <v>05월 2주차 (5/08~5/14)</v>
      </c>
      <c r="J507" s="6" t="str">
        <f>A501&amp;"년 "&amp;WEEKNUM(C501,2)&amp;"주차"&amp;" ("&amp;TEXT(C501,"m/dd")&amp;"~"&amp;TEXT(C507,"m/dd")&amp;")"</f>
        <v>2023년 20주차 (5/08~5/14)</v>
      </c>
      <c r="K507" s="6">
        <f t="shared" si="67"/>
        <v>2023</v>
      </c>
      <c r="L507" s="6">
        <f t="shared" si="68"/>
        <v>20</v>
      </c>
    </row>
    <row r="508" spans="1:12" x14ac:dyDescent="0.45">
      <c r="A508" s="6">
        <f t="shared" si="63"/>
        <v>2023</v>
      </c>
      <c r="B508" s="6">
        <f t="shared" si="60"/>
        <v>5</v>
      </c>
      <c r="C508" s="7">
        <v>45061</v>
      </c>
      <c r="D508" s="6">
        <f t="shared" si="64"/>
        <v>1</v>
      </c>
      <c r="E508" s="6">
        <f t="shared" si="65"/>
        <v>21</v>
      </c>
      <c r="F508" s="6">
        <f t="shared" si="66"/>
        <v>3</v>
      </c>
      <c r="G508" s="6" t="str">
        <f t="shared" si="61"/>
        <v>05</v>
      </c>
      <c r="H508" s="6" t="str">
        <f t="shared" si="62"/>
        <v>05월 3주차</v>
      </c>
      <c r="I508" s="6" t="str">
        <f>H508&amp;" ("&amp;TEXT(C508,"m/dd")&amp;"~"&amp;TEXT(C514,"m/dd")&amp;")"</f>
        <v>05월 3주차 (5/15~5/21)</v>
      </c>
      <c r="J508" s="6" t="str">
        <f>A508&amp;"년 "&amp;WEEKNUM(C508,2)&amp;"주차"&amp;" ("&amp;TEXT(C508,"m/dd")&amp;"~"&amp;TEXT(C514,"m/dd")&amp;")"</f>
        <v>2023년 21주차 (5/15~5/21)</v>
      </c>
      <c r="K508" s="6">
        <f t="shared" si="67"/>
        <v>2023</v>
      </c>
      <c r="L508" s="6">
        <f t="shared" si="68"/>
        <v>21</v>
      </c>
    </row>
    <row r="509" spans="1:12" x14ac:dyDescent="0.45">
      <c r="A509" s="6">
        <f t="shared" si="63"/>
        <v>2023</v>
      </c>
      <c r="B509" s="6">
        <f t="shared" si="60"/>
        <v>5</v>
      </c>
      <c r="C509" s="7">
        <v>45062</v>
      </c>
      <c r="D509" s="6">
        <f t="shared" si="64"/>
        <v>2</v>
      </c>
      <c r="E509" s="6">
        <f t="shared" si="65"/>
        <v>21</v>
      </c>
      <c r="F509" s="6">
        <f t="shared" si="66"/>
        <v>3</v>
      </c>
      <c r="G509" s="6" t="str">
        <f t="shared" si="61"/>
        <v>05</v>
      </c>
      <c r="H509" s="6" t="str">
        <f t="shared" si="62"/>
        <v>05월 3주차</v>
      </c>
      <c r="I509" s="6" t="str">
        <f>H509&amp;" ("&amp;TEXT(C508,"m/dd")&amp;"~"&amp;TEXT(C514,"m/dd")&amp;")"</f>
        <v>05월 3주차 (5/15~5/21)</v>
      </c>
      <c r="J509" s="6" t="str">
        <f>A508&amp;"년 "&amp;WEEKNUM(C508,2)&amp;"주차"&amp;" ("&amp;TEXT(C508,"m/dd")&amp;"~"&amp;TEXT(C514,"m/dd")&amp;")"</f>
        <v>2023년 21주차 (5/15~5/21)</v>
      </c>
      <c r="K509" s="6">
        <f t="shared" si="67"/>
        <v>2023</v>
      </c>
      <c r="L509" s="6">
        <f t="shared" si="68"/>
        <v>21</v>
      </c>
    </row>
    <row r="510" spans="1:12" x14ac:dyDescent="0.45">
      <c r="A510" s="6">
        <f t="shared" si="63"/>
        <v>2023</v>
      </c>
      <c r="B510" s="6">
        <f t="shared" si="60"/>
        <v>5</v>
      </c>
      <c r="C510" s="7">
        <v>45063</v>
      </c>
      <c r="D510" s="6">
        <f t="shared" si="64"/>
        <v>3</v>
      </c>
      <c r="E510" s="6">
        <f t="shared" si="65"/>
        <v>21</v>
      </c>
      <c r="F510" s="6">
        <f t="shared" si="66"/>
        <v>3</v>
      </c>
      <c r="G510" s="6" t="str">
        <f t="shared" si="61"/>
        <v>05</v>
      </c>
      <c r="H510" s="6" t="str">
        <f t="shared" si="62"/>
        <v>05월 3주차</v>
      </c>
      <c r="I510" s="6" t="str">
        <f>H510&amp;" ("&amp;TEXT(C508,"m/dd")&amp;"~"&amp;TEXT(C514,"m/dd")&amp;")"</f>
        <v>05월 3주차 (5/15~5/21)</v>
      </c>
      <c r="J510" s="6" t="str">
        <f>A508&amp;"년 "&amp;WEEKNUM(C508,2)&amp;"주차"&amp;" ("&amp;TEXT(C508,"m/dd")&amp;"~"&amp;TEXT(C514,"m/dd")&amp;")"</f>
        <v>2023년 21주차 (5/15~5/21)</v>
      </c>
      <c r="K510" s="6">
        <f t="shared" si="67"/>
        <v>2023</v>
      </c>
      <c r="L510" s="6">
        <f t="shared" si="68"/>
        <v>21</v>
      </c>
    </row>
    <row r="511" spans="1:12" x14ac:dyDescent="0.45">
      <c r="A511" s="6">
        <f t="shared" si="63"/>
        <v>2023</v>
      </c>
      <c r="B511" s="6">
        <f t="shared" si="60"/>
        <v>5</v>
      </c>
      <c r="C511" s="7">
        <v>45064</v>
      </c>
      <c r="D511" s="6">
        <f t="shared" si="64"/>
        <v>4</v>
      </c>
      <c r="E511" s="6">
        <f t="shared" si="65"/>
        <v>21</v>
      </c>
      <c r="F511" s="6">
        <f t="shared" si="66"/>
        <v>3</v>
      </c>
      <c r="G511" s="6" t="str">
        <f t="shared" si="61"/>
        <v>05</v>
      </c>
      <c r="H511" s="6" t="str">
        <f t="shared" si="62"/>
        <v>05월 3주차</v>
      </c>
      <c r="I511" s="6" t="str">
        <f>H511&amp;" ("&amp;TEXT(C508,"m/dd")&amp;"~"&amp;TEXT(C514,"m/dd")&amp;")"</f>
        <v>05월 3주차 (5/15~5/21)</v>
      </c>
      <c r="J511" s="6" t="str">
        <f>A508&amp;"년 "&amp;WEEKNUM(C508,2)&amp;"주차"&amp;" ("&amp;TEXT(C508,"m/dd")&amp;"~"&amp;TEXT(C514,"m/dd")&amp;")"</f>
        <v>2023년 21주차 (5/15~5/21)</v>
      </c>
      <c r="K511" s="6">
        <f t="shared" si="67"/>
        <v>2023</v>
      </c>
      <c r="L511" s="6">
        <f t="shared" si="68"/>
        <v>21</v>
      </c>
    </row>
    <row r="512" spans="1:12" x14ac:dyDescent="0.45">
      <c r="A512" s="6">
        <f t="shared" si="63"/>
        <v>2023</v>
      </c>
      <c r="B512" s="6">
        <f t="shared" si="60"/>
        <v>5</v>
      </c>
      <c r="C512" s="7">
        <v>45065</v>
      </c>
      <c r="D512" s="6">
        <f t="shared" si="64"/>
        <v>5</v>
      </c>
      <c r="E512" s="6">
        <f t="shared" si="65"/>
        <v>21</v>
      </c>
      <c r="F512" s="6">
        <f t="shared" si="66"/>
        <v>3</v>
      </c>
      <c r="G512" s="6" t="str">
        <f t="shared" si="61"/>
        <v>05</v>
      </c>
      <c r="H512" s="6" t="str">
        <f t="shared" si="62"/>
        <v>05월 3주차</v>
      </c>
      <c r="I512" s="6" t="str">
        <f>H512&amp;" ("&amp;TEXT(C508,"m/dd")&amp;"~"&amp;TEXT(C514,"m/dd")&amp;")"</f>
        <v>05월 3주차 (5/15~5/21)</v>
      </c>
      <c r="J512" s="6" t="str">
        <f>A508&amp;"년 "&amp;WEEKNUM(C508,2)&amp;"주차"&amp;" ("&amp;TEXT(C508,"m/dd")&amp;"~"&amp;TEXT(C514,"m/dd")&amp;")"</f>
        <v>2023년 21주차 (5/15~5/21)</v>
      </c>
      <c r="K512" s="6">
        <f t="shared" si="67"/>
        <v>2023</v>
      </c>
      <c r="L512" s="6">
        <f t="shared" si="68"/>
        <v>21</v>
      </c>
    </row>
    <row r="513" spans="1:12" x14ac:dyDescent="0.45">
      <c r="A513" s="6">
        <f t="shared" si="63"/>
        <v>2023</v>
      </c>
      <c r="B513" s="6">
        <f t="shared" si="60"/>
        <v>5</v>
      </c>
      <c r="C513" s="7">
        <v>45066</v>
      </c>
      <c r="D513" s="6">
        <f t="shared" si="64"/>
        <v>6</v>
      </c>
      <c r="E513" s="6">
        <f t="shared" si="65"/>
        <v>21</v>
      </c>
      <c r="F513" s="6">
        <f t="shared" si="66"/>
        <v>3</v>
      </c>
      <c r="G513" s="6" t="str">
        <f t="shared" si="61"/>
        <v>05</v>
      </c>
      <c r="H513" s="6" t="str">
        <f t="shared" si="62"/>
        <v>05월 3주차</v>
      </c>
      <c r="I513" s="6" t="str">
        <f>H513&amp;" ("&amp;TEXT(C508,"m/dd")&amp;"~"&amp;TEXT(C514,"m/dd")&amp;")"</f>
        <v>05월 3주차 (5/15~5/21)</v>
      </c>
      <c r="J513" s="6" t="str">
        <f>A508&amp;"년 "&amp;WEEKNUM(C508,2)&amp;"주차"&amp;" ("&amp;TEXT(C508,"m/dd")&amp;"~"&amp;TEXT(C514,"m/dd")&amp;")"</f>
        <v>2023년 21주차 (5/15~5/21)</v>
      </c>
      <c r="K513" s="6">
        <f t="shared" si="67"/>
        <v>2023</v>
      </c>
      <c r="L513" s="6">
        <f t="shared" si="68"/>
        <v>21</v>
      </c>
    </row>
    <row r="514" spans="1:12" x14ac:dyDescent="0.45">
      <c r="A514" s="6">
        <f t="shared" si="63"/>
        <v>2023</v>
      </c>
      <c r="B514" s="6">
        <f t="shared" si="60"/>
        <v>5</v>
      </c>
      <c r="C514" s="7">
        <v>45067</v>
      </c>
      <c r="D514" s="6">
        <f t="shared" si="64"/>
        <v>7</v>
      </c>
      <c r="E514" s="6">
        <f t="shared" si="65"/>
        <v>21</v>
      </c>
      <c r="F514" s="6">
        <f t="shared" si="66"/>
        <v>3</v>
      </c>
      <c r="G514" s="6" t="str">
        <f t="shared" si="61"/>
        <v>05</v>
      </c>
      <c r="H514" s="6" t="str">
        <f t="shared" si="62"/>
        <v>05월 3주차</v>
      </c>
      <c r="I514" s="6" t="str">
        <f>H514&amp;" ("&amp;TEXT(C508,"m/dd")&amp;"~"&amp;TEXT(C514,"m/dd")&amp;")"</f>
        <v>05월 3주차 (5/15~5/21)</v>
      </c>
      <c r="J514" s="6" t="str">
        <f>A508&amp;"년 "&amp;WEEKNUM(C508,2)&amp;"주차"&amp;" ("&amp;TEXT(C508,"m/dd")&amp;"~"&amp;TEXT(C514,"m/dd")&amp;")"</f>
        <v>2023년 21주차 (5/15~5/21)</v>
      </c>
      <c r="K514" s="6">
        <f t="shared" si="67"/>
        <v>2023</v>
      </c>
      <c r="L514" s="6">
        <f t="shared" si="68"/>
        <v>21</v>
      </c>
    </row>
    <row r="515" spans="1:12" x14ac:dyDescent="0.45">
      <c r="A515" s="6">
        <f t="shared" si="63"/>
        <v>2023</v>
      </c>
      <c r="B515" s="6">
        <f t="shared" si="60"/>
        <v>5</v>
      </c>
      <c r="C515" s="7">
        <v>45068</v>
      </c>
      <c r="D515" s="6">
        <f t="shared" si="64"/>
        <v>1</v>
      </c>
      <c r="E515" s="6">
        <f t="shared" si="65"/>
        <v>22</v>
      </c>
      <c r="F515" s="6">
        <f t="shared" si="66"/>
        <v>4</v>
      </c>
      <c r="G515" s="6" t="str">
        <f t="shared" si="61"/>
        <v>05</v>
      </c>
      <c r="H515" s="6" t="str">
        <f t="shared" si="62"/>
        <v>05월 4주차</v>
      </c>
      <c r="I515" s="6" t="str">
        <f>H515&amp;" ("&amp;TEXT(C515,"m/dd")&amp;"~"&amp;TEXT(C521,"m/dd")&amp;")"</f>
        <v>05월 4주차 (5/22~5/28)</v>
      </c>
      <c r="J515" s="6" t="str">
        <f>A515&amp;"년 "&amp;WEEKNUM(C515,2)&amp;"주차"&amp;" ("&amp;TEXT(C515,"m/dd")&amp;"~"&amp;TEXT(C521,"m/dd")&amp;")"</f>
        <v>2023년 22주차 (5/22~5/28)</v>
      </c>
      <c r="K515" s="6">
        <f t="shared" si="67"/>
        <v>2023</v>
      </c>
      <c r="L515" s="6">
        <f t="shared" si="68"/>
        <v>22</v>
      </c>
    </row>
    <row r="516" spans="1:12" x14ac:dyDescent="0.45">
      <c r="A516" s="6">
        <f t="shared" si="63"/>
        <v>2023</v>
      </c>
      <c r="B516" s="6">
        <f t="shared" si="60"/>
        <v>5</v>
      </c>
      <c r="C516" s="7">
        <v>45069</v>
      </c>
      <c r="D516" s="6">
        <f t="shared" si="64"/>
        <v>2</v>
      </c>
      <c r="E516" s="6">
        <f t="shared" si="65"/>
        <v>22</v>
      </c>
      <c r="F516" s="6">
        <f t="shared" si="66"/>
        <v>4</v>
      </c>
      <c r="G516" s="6" t="str">
        <f t="shared" si="61"/>
        <v>05</v>
      </c>
      <c r="H516" s="6" t="str">
        <f t="shared" si="62"/>
        <v>05월 4주차</v>
      </c>
      <c r="I516" s="6" t="str">
        <f>H516&amp;" ("&amp;TEXT(C515,"m/dd")&amp;"~"&amp;TEXT(C521,"m/dd")&amp;")"</f>
        <v>05월 4주차 (5/22~5/28)</v>
      </c>
      <c r="J516" s="6" t="str">
        <f>A515&amp;"년 "&amp;WEEKNUM(C515,2)&amp;"주차"&amp;" ("&amp;TEXT(C515,"m/dd")&amp;"~"&amp;TEXT(C521,"m/dd")&amp;")"</f>
        <v>2023년 22주차 (5/22~5/28)</v>
      </c>
      <c r="K516" s="6">
        <f t="shared" si="67"/>
        <v>2023</v>
      </c>
      <c r="L516" s="6">
        <f t="shared" si="68"/>
        <v>22</v>
      </c>
    </row>
    <row r="517" spans="1:12" x14ac:dyDescent="0.45">
      <c r="A517" s="6">
        <f t="shared" si="63"/>
        <v>2023</v>
      </c>
      <c r="B517" s="6">
        <f t="shared" si="60"/>
        <v>5</v>
      </c>
      <c r="C517" s="7">
        <v>45070</v>
      </c>
      <c r="D517" s="6">
        <f t="shared" si="64"/>
        <v>3</v>
      </c>
      <c r="E517" s="6">
        <f t="shared" si="65"/>
        <v>22</v>
      </c>
      <c r="F517" s="6">
        <f t="shared" si="66"/>
        <v>4</v>
      </c>
      <c r="G517" s="6" t="str">
        <f t="shared" si="61"/>
        <v>05</v>
      </c>
      <c r="H517" s="6" t="str">
        <f t="shared" si="62"/>
        <v>05월 4주차</v>
      </c>
      <c r="I517" s="6" t="str">
        <f>H517&amp;" ("&amp;TEXT(C515,"m/dd")&amp;"~"&amp;TEXT(C521,"m/dd")&amp;")"</f>
        <v>05월 4주차 (5/22~5/28)</v>
      </c>
      <c r="J517" s="6" t="str">
        <f>A515&amp;"년 "&amp;WEEKNUM(C515,2)&amp;"주차"&amp;" ("&amp;TEXT(C515,"m/dd")&amp;"~"&amp;TEXT(C521,"m/dd")&amp;")"</f>
        <v>2023년 22주차 (5/22~5/28)</v>
      </c>
      <c r="K517" s="6">
        <f t="shared" si="67"/>
        <v>2023</v>
      </c>
      <c r="L517" s="6">
        <f t="shared" si="68"/>
        <v>22</v>
      </c>
    </row>
    <row r="518" spans="1:12" x14ac:dyDescent="0.45">
      <c r="A518" s="6">
        <f t="shared" si="63"/>
        <v>2023</v>
      </c>
      <c r="B518" s="6">
        <f t="shared" si="60"/>
        <v>5</v>
      </c>
      <c r="C518" s="7">
        <v>45071</v>
      </c>
      <c r="D518" s="6">
        <f t="shared" si="64"/>
        <v>4</v>
      </c>
      <c r="E518" s="6">
        <f t="shared" si="65"/>
        <v>22</v>
      </c>
      <c r="F518" s="6">
        <f t="shared" si="66"/>
        <v>4</v>
      </c>
      <c r="G518" s="6" t="str">
        <f t="shared" si="61"/>
        <v>05</v>
      </c>
      <c r="H518" s="6" t="str">
        <f t="shared" si="62"/>
        <v>05월 4주차</v>
      </c>
      <c r="I518" s="6" t="str">
        <f>H518&amp;" ("&amp;TEXT(C515,"m/dd")&amp;"~"&amp;TEXT(C521,"m/dd")&amp;")"</f>
        <v>05월 4주차 (5/22~5/28)</v>
      </c>
      <c r="J518" s="6" t="str">
        <f>A515&amp;"년 "&amp;WEEKNUM(C515,2)&amp;"주차"&amp;" ("&amp;TEXT(C515,"m/dd")&amp;"~"&amp;TEXT(C521,"m/dd")&amp;")"</f>
        <v>2023년 22주차 (5/22~5/28)</v>
      </c>
      <c r="K518" s="6">
        <f t="shared" si="67"/>
        <v>2023</v>
      </c>
      <c r="L518" s="6">
        <f t="shared" si="68"/>
        <v>22</v>
      </c>
    </row>
    <row r="519" spans="1:12" x14ac:dyDescent="0.45">
      <c r="A519" s="6">
        <f t="shared" si="63"/>
        <v>2023</v>
      </c>
      <c r="B519" s="6">
        <f t="shared" si="60"/>
        <v>5</v>
      </c>
      <c r="C519" s="7">
        <v>45072</v>
      </c>
      <c r="D519" s="6">
        <f t="shared" si="64"/>
        <v>5</v>
      </c>
      <c r="E519" s="6">
        <f t="shared" si="65"/>
        <v>22</v>
      </c>
      <c r="F519" s="6">
        <f t="shared" si="66"/>
        <v>4</v>
      </c>
      <c r="G519" s="6" t="str">
        <f t="shared" si="61"/>
        <v>05</v>
      </c>
      <c r="H519" s="6" t="str">
        <f t="shared" si="62"/>
        <v>05월 4주차</v>
      </c>
      <c r="I519" s="6" t="str">
        <f>H519&amp;" ("&amp;TEXT(C515,"m/dd")&amp;"~"&amp;TEXT(C521,"m/dd")&amp;")"</f>
        <v>05월 4주차 (5/22~5/28)</v>
      </c>
      <c r="J519" s="6" t="str">
        <f>A515&amp;"년 "&amp;WEEKNUM(C515,2)&amp;"주차"&amp;" ("&amp;TEXT(C515,"m/dd")&amp;"~"&amp;TEXT(C521,"m/dd")&amp;")"</f>
        <v>2023년 22주차 (5/22~5/28)</v>
      </c>
      <c r="K519" s="6">
        <f t="shared" si="67"/>
        <v>2023</v>
      </c>
      <c r="L519" s="6">
        <f t="shared" si="68"/>
        <v>22</v>
      </c>
    </row>
    <row r="520" spans="1:12" x14ac:dyDescent="0.45">
      <c r="A520" s="6">
        <f t="shared" si="63"/>
        <v>2023</v>
      </c>
      <c r="B520" s="6">
        <f t="shared" si="60"/>
        <v>5</v>
      </c>
      <c r="C520" s="7">
        <v>45073</v>
      </c>
      <c r="D520" s="6">
        <f t="shared" si="64"/>
        <v>6</v>
      </c>
      <c r="E520" s="6">
        <f t="shared" si="65"/>
        <v>22</v>
      </c>
      <c r="F520" s="6">
        <f t="shared" si="66"/>
        <v>4</v>
      </c>
      <c r="G520" s="6" t="str">
        <f t="shared" si="61"/>
        <v>05</v>
      </c>
      <c r="H520" s="6" t="str">
        <f t="shared" si="62"/>
        <v>05월 4주차</v>
      </c>
      <c r="I520" s="6" t="str">
        <f>H520&amp;" ("&amp;TEXT(C515,"m/dd")&amp;"~"&amp;TEXT(C521,"m/dd")&amp;")"</f>
        <v>05월 4주차 (5/22~5/28)</v>
      </c>
      <c r="J520" s="6" t="str">
        <f>A515&amp;"년 "&amp;WEEKNUM(C515,2)&amp;"주차"&amp;" ("&amp;TEXT(C515,"m/dd")&amp;"~"&amp;TEXT(C521,"m/dd")&amp;")"</f>
        <v>2023년 22주차 (5/22~5/28)</v>
      </c>
      <c r="K520" s="6">
        <f t="shared" si="67"/>
        <v>2023</v>
      </c>
      <c r="L520" s="6">
        <f t="shared" si="68"/>
        <v>22</v>
      </c>
    </row>
    <row r="521" spans="1:12" x14ac:dyDescent="0.45">
      <c r="A521" s="6">
        <f t="shared" si="63"/>
        <v>2023</v>
      </c>
      <c r="B521" s="6">
        <f t="shared" si="60"/>
        <v>5</v>
      </c>
      <c r="C521" s="7">
        <v>45074</v>
      </c>
      <c r="D521" s="6">
        <f t="shared" si="64"/>
        <v>7</v>
      </c>
      <c r="E521" s="6">
        <f t="shared" si="65"/>
        <v>22</v>
      </c>
      <c r="F521" s="6">
        <f t="shared" si="66"/>
        <v>4</v>
      </c>
      <c r="G521" s="6" t="str">
        <f t="shared" si="61"/>
        <v>05</v>
      </c>
      <c r="H521" s="6" t="str">
        <f t="shared" si="62"/>
        <v>05월 4주차</v>
      </c>
      <c r="I521" s="6" t="str">
        <f>H521&amp;" ("&amp;TEXT(C515,"m/dd")&amp;"~"&amp;TEXT(C521,"m/dd")&amp;")"</f>
        <v>05월 4주차 (5/22~5/28)</v>
      </c>
      <c r="J521" s="6" t="str">
        <f>A515&amp;"년 "&amp;WEEKNUM(C515,2)&amp;"주차"&amp;" ("&amp;TEXT(C515,"m/dd")&amp;"~"&amp;TEXT(C521,"m/dd")&amp;")"</f>
        <v>2023년 22주차 (5/22~5/28)</v>
      </c>
      <c r="K521" s="6">
        <f t="shared" si="67"/>
        <v>2023</v>
      </c>
      <c r="L521" s="6">
        <f t="shared" si="68"/>
        <v>22</v>
      </c>
    </row>
    <row r="522" spans="1:12" x14ac:dyDescent="0.45">
      <c r="A522" s="6">
        <f t="shared" si="63"/>
        <v>2023</v>
      </c>
      <c r="B522" s="6">
        <v>6</v>
      </c>
      <c r="C522" s="7">
        <v>45075</v>
      </c>
      <c r="D522" s="6">
        <f t="shared" si="64"/>
        <v>1</v>
      </c>
      <c r="E522" s="6">
        <f t="shared" si="65"/>
        <v>23</v>
      </c>
      <c r="F522" s="6">
        <v>1</v>
      </c>
      <c r="G522" s="6" t="str">
        <f t="shared" si="61"/>
        <v>06</v>
      </c>
      <c r="H522" s="6" t="str">
        <f t="shared" si="62"/>
        <v>06월 1주차</v>
      </c>
      <c r="I522" s="6" t="str">
        <f>H522&amp;" ("&amp;TEXT(C522,"m/dd")&amp;"~"&amp;TEXT(C528,"m/dd")&amp;")"</f>
        <v>06월 1주차 (5/29~6/04)</v>
      </c>
      <c r="J522" s="6" t="str">
        <f>A522&amp;"년 "&amp;WEEKNUM(C522,2)&amp;"주차"&amp;" ("&amp;TEXT(C522,"m/dd")&amp;"~"&amp;TEXT(C528,"m/dd")&amp;")"</f>
        <v>2023년 23주차 (5/29~6/04)</v>
      </c>
      <c r="K522" s="6">
        <f t="shared" si="67"/>
        <v>2023</v>
      </c>
      <c r="L522" s="6">
        <f t="shared" si="68"/>
        <v>23</v>
      </c>
    </row>
    <row r="523" spans="1:12" x14ac:dyDescent="0.45">
      <c r="A523" s="6">
        <f t="shared" si="63"/>
        <v>2023</v>
      </c>
      <c r="B523" s="6">
        <v>6</v>
      </c>
      <c r="C523" s="7">
        <v>45076</v>
      </c>
      <c r="D523" s="6">
        <f t="shared" si="64"/>
        <v>2</v>
      </c>
      <c r="E523" s="6">
        <f t="shared" si="65"/>
        <v>23</v>
      </c>
      <c r="F523" s="6">
        <v>1</v>
      </c>
      <c r="G523" s="6" t="str">
        <f t="shared" ref="G523:G586" si="69">IF(LEN(B523)=1,_xlfn.CONCAT(0,B523),B523)</f>
        <v>06</v>
      </c>
      <c r="H523" s="6" t="str">
        <f t="shared" ref="H523:H586" si="70">G523&amp;"월 "&amp;F523&amp;"주차"</f>
        <v>06월 1주차</v>
      </c>
      <c r="I523" s="6" t="str">
        <f>H523&amp;" ("&amp;TEXT(C522,"m/dd")&amp;"~"&amp;TEXT(C528,"m/dd")&amp;")"</f>
        <v>06월 1주차 (5/29~6/04)</v>
      </c>
      <c r="J523" s="6" t="str">
        <f>A522&amp;"년 "&amp;WEEKNUM(C522,2)&amp;"주차"&amp;" ("&amp;TEXT(C522,"m/dd")&amp;"~"&amp;TEXT(C528,"m/dd")&amp;")"</f>
        <v>2023년 23주차 (5/29~6/04)</v>
      </c>
      <c r="K523" s="6">
        <f t="shared" si="67"/>
        <v>2023</v>
      </c>
      <c r="L523" s="6">
        <f t="shared" si="68"/>
        <v>23</v>
      </c>
    </row>
    <row r="524" spans="1:12" x14ac:dyDescent="0.45">
      <c r="A524" s="6">
        <f t="shared" si="63"/>
        <v>2023</v>
      </c>
      <c r="B524" s="6">
        <v>6</v>
      </c>
      <c r="C524" s="7">
        <v>45077</v>
      </c>
      <c r="D524" s="6">
        <f t="shared" si="64"/>
        <v>3</v>
      </c>
      <c r="E524" s="6">
        <f t="shared" si="65"/>
        <v>23</v>
      </c>
      <c r="F524" s="6">
        <v>1</v>
      </c>
      <c r="G524" s="6" t="str">
        <f t="shared" si="69"/>
        <v>06</v>
      </c>
      <c r="H524" s="6" t="str">
        <f t="shared" si="70"/>
        <v>06월 1주차</v>
      </c>
      <c r="I524" s="6" t="str">
        <f>H524&amp;" ("&amp;TEXT(C522,"m/dd")&amp;"~"&amp;TEXT(C528,"m/dd")&amp;")"</f>
        <v>06월 1주차 (5/29~6/04)</v>
      </c>
      <c r="J524" s="6" t="str">
        <f>A522&amp;"년 "&amp;WEEKNUM(C522,2)&amp;"주차"&amp;" ("&amp;TEXT(C522,"m/dd")&amp;"~"&amp;TEXT(C528,"m/dd")&amp;")"</f>
        <v>2023년 23주차 (5/29~6/04)</v>
      </c>
      <c r="K524" s="6">
        <f t="shared" si="67"/>
        <v>2023</v>
      </c>
      <c r="L524" s="6">
        <f t="shared" si="68"/>
        <v>23</v>
      </c>
    </row>
    <row r="525" spans="1:12" x14ac:dyDescent="0.45">
      <c r="A525" s="6">
        <f t="shared" si="63"/>
        <v>2023</v>
      </c>
      <c r="B525" s="6">
        <f t="shared" ref="B525:B584" si="71">MONTH(C525)</f>
        <v>6</v>
      </c>
      <c r="C525" s="7">
        <v>45078</v>
      </c>
      <c r="D525" s="6">
        <f t="shared" si="64"/>
        <v>4</v>
      </c>
      <c r="E525" s="6">
        <f t="shared" si="65"/>
        <v>23</v>
      </c>
      <c r="F525" s="6">
        <v>1</v>
      </c>
      <c r="G525" s="6" t="str">
        <f t="shared" si="69"/>
        <v>06</v>
      </c>
      <c r="H525" s="6" t="str">
        <f t="shared" si="70"/>
        <v>06월 1주차</v>
      </c>
      <c r="I525" s="6" t="str">
        <f>H525&amp;" ("&amp;TEXT(C522,"m/dd")&amp;"~"&amp;TEXT(C528,"m/dd")&amp;")"</f>
        <v>06월 1주차 (5/29~6/04)</v>
      </c>
      <c r="J525" s="6" t="str">
        <f>A522&amp;"년 "&amp;WEEKNUM(C522,2)&amp;"주차"&amp;" ("&amp;TEXT(C522,"m/dd")&amp;"~"&amp;TEXT(C528,"m/dd")&amp;")"</f>
        <v>2023년 23주차 (5/29~6/04)</v>
      </c>
      <c r="K525" s="6">
        <f t="shared" si="67"/>
        <v>2023</v>
      </c>
      <c r="L525" s="6">
        <f t="shared" si="68"/>
        <v>23</v>
      </c>
    </row>
    <row r="526" spans="1:12" x14ac:dyDescent="0.45">
      <c r="A526" s="6">
        <f t="shared" si="63"/>
        <v>2023</v>
      </c>
      <c r="B526" s="6">
        <f t="shared" si="71"/>
        <v>6</v>
      </c>
      <c r="C526" s="7">
        <v>45079</v>
      </c>
      <c r="D526" s="6">
        <f t="shared" si="64"/>
        <v>5</v>
      </c>
      <c r="E526" s="6">
        <f t="shared" si="65"/>
        <v>23</v>
      </c>
      <c r="F526" s="6">
        <v>1</v>
      </c>
      <c r="G526" s="6" t="str">
        <f t="shared" si="69"/>
        <v>06</v>
      </c>
      <c r="H526" s="6" t="str">
        <f t="shared" si="70"/>
        <v>06월 1주차</v>
      </c>
      <c r="I526" s="6" t="str">
        <f>H526&amp;" ("&amp;TEXT(C522,"m/dd")&amp;"~"&amp;TEXT(C528,"m/dd")&amp;")"</f>
        <v>06월 1주차 (5/29~6/04)</v>
      </c>
      <c r="J526" s="6" t="str">
        <f>A522&amp;"년 "&amp;WEEKNUM(C522,2)&amp;"주차"&amp;" ("&amp;TEXT(C522,"m/dd")&amp;"~"&amp;TEXT(C528,"m/dd")&amp;")"</f>
        <v>2023년 23주차 (5/29~6/04)</v>
      </c>
      <c r="K526" s="6">
        <f t="shared" si="67"/>
        <v>2023</v>
      </c>
      <c r="L526" s="6">
        <f t="shared" si="68"/>
        <v>23</v>
      </c>
    </row>
    <row r="527" spans="1:12" x14ac:dyDescent="0.45">
      <c r="A527" s="6">
        <f t="shared" ref="A527:A590" si="72">YEAR(C527)</f>
        <v>2023</v>
      </c>
      <c r="B527" s="6">
        <f t="shared" si="71"/>
        <v>6</v>
      </c>
      <c r="C527" s="7">
        <v>45080</v>
      </c>
      <c r="D527" s="6">
        <f t="shared" si="64"/>
        <v>6</v>
      </c>
      <c r="E527" s="6">
        <f t="shared" si="65"/>
        <v>23</v>
      </c>
      <c r="F527" s="6">
        <v>1</v>
      </c>
      <c r="G527" s="6" t="str">
        <f t="shared" si="69"/>
        <v>06</v>
      </c>
      <c r="H527" s="6" t="str">
        <f t="shared" si="70"/>
        <v>06월 1주차</v>
      </c>
      <c r="I527" s="6" t="str">
        <f>H527&amp;" ("&amp;TEXT(C522,"m/dd")&amp;"~"&amp;TEXT(C528,"m/dd")&amp;")"</f>
        <v>06월 1주차 (5/29~6/04)</v>
      </c>
      <c r="J527" s="6" t="str">
        <f>A522&amp;"년 "&amp;WEEKNUM(C522,2)&amp;"주차"&amp;" ("&amp;TEXT(C522,"m/dd")&amp;"~"&amp;TEXT(C528,"m/dd")&amp;")"</f>
        <v>2023년 23주차 (5/29~6/04)</v>
      </c>
      <c r="K527" s="6">
        <f t="shared" si="67"/>
        <v>2023</v>
      </c>
      <c r="L527" s="6">
        <f t="shared" si="68"/>
        <v>23</v>
      </c>
    </row>
    <row r="528" spans="1:12" x14ac:dyDescent="0.45">
      <c r="A528" s="6">
        <f t="shared" si="72"/>
        <v>2023</v>
      </c>
      <c r="B528" s="6">
        <f t="shared" si="71"/>
        <v>6</v>
      </c>
      <c r="C528" s="7">
        <v>45081</v>
      </c>
      <c r="D528" s="6">
        <f t="shared" si="64"/>
        <v>7</v>
      </c>
      <c r="E528" s="6">
        <f t="shared" si="65"/>
        <v>23</v>
      </c>
      <c r="F528" s="6">
        <v>1</v>
      </c>
      <c r="G528" s="6" t="str">
        <f t="shared" si="69"/>
        <v>06</v>
      </c>
      <c r="H528" s="6" t="str">
        <f t="shared" si="70"/>
        <v>06월 1주차</v>
      </c>
      <c r="I528" s="6" t="str">
        <f>H528&amp;" ("&amp;TEXT(C522,"m/dd")&amp;"~"&amp;TEXT(C528,"m/dd")&amp;")"</f>
        <v>06월 1주차 (5/29~6/04)</v>
      </c>
      <c r="J528" s="6" t="str">
        <f>A522&amp;"년 "&amp;WEEKNUM(C522,2)&amp;"주차"&amp;" ("&amp;TEXT(C522,"m/dd")&amp;"~"&amp;TEXT(C528,"m/dd")&amp;")"</f>
        <v>2023년 23주차 (5/29~6/04)</v>
      </c>
      <c r="K528" s="6">
        <f t="shared" si="67"/>
        <v>2023</v>
      </c>
      <c r="L528" s="6">
        <f t="shared" si="68"/>
        <v>23</v>
      </c>
    </row>
    <row r="529" spans="1:12" x14ac:dyDescent="0.45">
      <c r="A529" s="6">
        <f t="shared" si="72"/>
        <v>2023</v>
      </c>
      <c r="B529" s="6">
        <f t="shared" si="71"/>
        <v>6</v>
      </c>
      <c r="C529" s="7">
        <v>45082</v>
      </c>
      <c r="D529" s="6">
        <f t="shared" si="64"/>
        <v>1</v>
      </c>
      <c r="E529" s="6">
        <f t="shared" si="65"/>
        <v>24</v>
      </c>
      <c r="F529" s="6">
        <v>2</v>
      </c>
      <c r="G529" s="6" t="str">
        <f t="shared" si="69"/>
        <v>06</v>
      </c>
      <c r="H529" s="6" t="str">
        <f t="shared" si="70"/>
        <v>06월 2주차</v>
      </c>
      <c r="I529" s="6" t="str">
        <f>H529&amp;" ("&amp;TEXT(C529,"m/dd")&amp;"~"&amp;TEXT(C535,"m/dd")&amp;")"</f>
        <v>06월 2주차 (6/05~6/11)</v>
      </c>
      <c r="J529" s="6" t="str">
        <f>A529&amp;"년 "&amp;WEEKNUM(C529,2)&amp;"주차"&amp;" ("&amp;TEXT(C529,"m/dd")&amp;"~"&amp;TEXT(C535,"m/dd")&amp;")"</f>
        <v>2023년 24주차 (6/05~6/11)</v>
      </c>
      <c r="K529" s="6">
        <f t="shared" si="67"/>
        <v>2023</v>
      </c>
      <c r="L529" s="6">
        <f t="shared" si="68"/>
        <v>24</v>
      </c>
    </row>
    <row r="530" spans="1:12" x14ac:dyDescent="0.45">
      <c r="A530" s="6">
        <f t="shared" si="72"/>
        <v>2023</v>
      </c>
      <c r="B530" s="6">
        <f t="shared" si="71"/>
        <v>6</v>
      </c>
      <c r="C530" s="7">
        <v>45083</v>
      </c>
      <c r="D530" s="6">
        <f t="shared" si="64"/>
        <v>2</v>
      </c>
      <c r="E530" s="6">
        <f t="shared" si="65"/>
        <v>24</v>
      </c>
      <c r="F530" s="6">
        <v>2</v>
      </c>
      <c r="G530" s="6" t="str">
        <f t="shared" si="69"/>
        <v>06</v>
      </c>
      <c r="H530" s="6" t="str">
        <f t="shared" si="70"/>
        <v>06월 2주차</v>
      </c>
      <c r="I530" s="6" t="str">
        <f>H530&amp;" ("&amp;TEXT(C529,"m/dd")&amp;"~"&amp;TEXT(C535,"m/dd")&amp;")"</f>
        <v>06월 2주차 (6/05~6/11)</v>
      </c>
      <c r="J530" s="6" t="str">
        <f>A529&amp;"년 "&amp;WEEKNUM(C529,2)&amp;"주차"&amp;" ("&amp;TEXT(C529,"m/dd")&amp;"~"&amp;TEXT(C535,"m/dd")&amp;")"</f>
        <v>2023년 24주차 (6/05~6/11)</v>
      </c>
      <c r="K530" s="6">
        <f t="shared" si="67"/>
        <v>2023</v>
      </c>
      <c r="L530" s="6">
        <f t="shared" si="68"/>
        <v>24</v>
      </c>
    </row>
    <row r="531" spans="1:12" x14ac:dyDescent="0.45">
      <c r="A531" s="6">
        <f t="shared" si="72"/>
        <v>2023</v>
      </c>
      <c r="B531" s="6">
        <f t="shared" si="71"/>
        <v>6</v>
      </c>
      <c r="C531" s="7">
        <v>45084</v>
      </c>
      <c r="D531" s="6">
        <f t="shared" si="64"/>
        <v>3</v>
      </c>
      <c r="E531" s="6">
        <f t="shared" si="65"/>
        <v>24</v>
      </c>
      <c r="F531" s="6">
        <v>2</v>
      </c>
      <c r="G531" s="6" t="str">
        <f t="shared" si="69"/>
        <v>06</v>
      </c>
      <c r="H531" s="6" t="str">
        <f t="shared" si="70"/>
        <v>06월 2주차</v>
      </c>
      <c r="I531" s="6" t="str">
        <f>H531&amp;" ("&amp;TEXT(C529,"m/dd")&amp;"~"&amp;TEXT(C535,"m/dd")&amp;")"</f>
        <v>06월 2주차 (6/05~6/11)</v>
      </c>
      <c r="J531" s="6" t="str">
        <f>A529&amp;"년 "&amp;WEEKNUM(C529,2)&amp;"주차"&amp;" ("&amp;TEXT(C529,"m/dd")&amp;"~"&amp;TEXT(C535,"m/dd")&amp;")"</f>
        <v>2023년 24주차 (6/05~6/11)</v>
      </c>
      <c r="K531" s="6">
        <f t="shared" si="67"/>
        <v>2023</v>
      </c>
      <c r="L531" s="6">
        <f t="shared" si="68"/>
        <v>24</v>
      </c>
    </row>
    <row r="532" spans="1:12" x14ac:dyDescent="0.45">
      <c r="A532" s="6">
        <f t="shared" si="72"/>
        <v>2023</v>
      </c>
      <c r="B532" s="6">
        <f t="shared" si="71"/>
        <v>6</v>
      </c>
      <c r="C532" s="7">
        <v>45085</v>
      </c>
      <c r="D532" s="6">
        <f t="shared" si="64"/>
        <v>4</v>
      </c>
      <c r="E532" s="6">
        <f t="shared" si="65"/>
        <v>24</v>
      </c>
      <c r="F532" s="6">
        <v>2</v>
      </c>
      <c r="G532" s="6" t="str">
        <f t="shared" si="69"/>
        <v>06</v>
      </c>
      <c r="H532" s="6" t="str">
        <f t="shared" si="70"/>
        <v>06월 2주차</v>
      </c>
      <c r="I532" s="6" t="str">
        <f>H532&amp;" ("&amp;TEXT(C529,"m/dd")&amp;"~"&amp;TEXT(C535,"m/dd")&amp;")"</f>
        <v>06월 2주차 (6/05~6/11)</v>
      </c>
      <c r="J532" s="6" t="str">
        <f>A529&amp;"년 "&amp;WEEKNUM(C529,2)&amp;"주차"&amp;" ("&amp;TEXT(C529,"m/dd")&amp;"~"&amp;TEXT(C535,"m/dd")&amp;")"</f>
        <v>2023년 24주차 (6/05~6/11)</v>
      </c>
      <c r="K532" s="6">
        <f t="shared" si="67"/>
        <v>2023</v>
      </c>
      <c r="L532" s="6">
        <f t="shared" si="68"/>
        <v>24</v>
      </c>
    </row>
    <row r="533" spans="1:12" x14ac:dyDescent="0.45">
      <c r="A533" s="6">
        <f t="shared" si="72"/>
        <v>2023</v>
      </c>
      <c r="B533" s="6">
        <f t="shared" si="71"/>
        <v>6</v>
      </c>
      <c r="C533" s="7">
        <v>45086</v>
      </c>
      <c r="D533" s="6">
        <f t="shared" si="64"/>
        <v>5</v>
      </c>
      <c r="E533" s="6">
        <f t="shared" si="65"/>
        <v>24</v>
      </c>
      <c r="F533" s="6">
        <v>2</v>
      </c>
      <c r="G533" s="6" t="str">
        <f t="shared" si="69"/>
        <v>06</v>
      </c>
      <c r="H533" s="6" t="str">
        <f t="shared" si="70"/>
        <v>06월 2주차</v>
      </c>
      <c r="I533" s="6" t="str">
        <f>H533&amp;" ("&amp;TEXT(C529,"m/dd")&amp;"~"&amp;TEXT(C535,"m/dd")&amp;")"</f>
        <v>06월 2주차 (6/05~6/11)</v>
      </c>
      <c r="J533" s="6" t="str">
        <f>A529&amp;"년 "&amp;WEEKNUM(C529,2)&amp;"주차"&amp;" ("&amp;TEXT(C529,"m/dd")&amp;"~"&amp;TEXT(C535,"m/dd")&amp;")"</f>
        <v>2023년 24주차 (6/05~6/11)</v>
      </c>
      <c r="K533" s="6">
        <f t="shared" si="67"/>
        <v>2023</v>
      </c>
      <c r="L533" s="6">
        <f t="shared" si="68"/>
        <v>24</v>
      </c>
    </row>
    <row r="534" spans="1:12" x14ac:dyDescent="0.45">
      <c r="A534" s="6">
        <f t="shared" si="72"/>
        <v>2023</v>
      </c>
      <c r="B534" s="6">
        <f t="shared" si="71"/>
        <v>6</v>
      </c>
      <c r="C534" s="7">
        <v>45087</v>
      </c>
      <c r="D534" s="6">
        <f t="shared" si="64"/>
        <v>6</v>
      </c>
      <c r="E534" s="6">
        <f t="shared" si="65"/>
        <v>24</v>
      </c>
      <c r="F534" s="6">
        <v>2</v>
      </c>
      <c r="G534" s="6" t="str">
        <f t="shared" si="69"/>
        <v>06</v>
      </c>
      <c r="H534" s="6" t="str">
        <f t="shared" si="70"/>
        <v>06월 2주차</v>
      </c>
      <c r="I534" s="6" t="str">
        <f>H534&amp;" ("&amp;TEXT(C529,"m/dd")&amp;"~"&amp;TEXT(C535,"m/dd")&amp;")"</f>
        <v>06월 2주차 (6/05~6/11)</v>
      </c>
      <c r="J534" s="6" t="str">
        <f>A529&amp;"년 "&amp;WEEKNUM(C529,2)&amp;"주차"&amp;" ("&amp;TEXT(C529,"m/dd")&amp;"~"&amp;TEXT(C535,"m/dd")&amp;")"</f>
        <v>2023년 24주차 (6/05~6/11)</v>
      </c>
      <c r="K534" s="6">
        <f t="shared" si="67"/>
        <v>2023</v>
      </c>
      <c r="L534" s="6">
        <f t="shared" si="68"/>
        <v>24</v>
      </c>
    </row>
    <row r="535" spans="1:12" x14ac:dyDescent="0.45">
      <c r="A535" s="6">
        <f t="shared" si="72"/>
        <v>2023</v>
      </c>
      <c r="B535" s="6">
        <f t="shared" si="71"/>
        <v>6</v>
      </c>
      <c r="C535" s="7">
        <v>45088</v>
      </c>
      <c r="D535" s="6">
        <f t="shared" ref="D535:D598" si="73">WEEKDAY(C535,2)</f>
        <v>7</v>
      </c>
      <c r="E535" s="6">
        <f t="shared" ref="E535:E598" si="74">WEEKNUM(C535,2)</f>
        <v>24</v>
      </c>
      <c r="F535" s="6">
        <v>2</v>
      </c>
      <c r="G535" s="6" t="str">
        <f t="shared" si="69"/>
        <v>06</v>
      </c>
      <c r="H535" s="6" t="str">
        <f t="shared" si="70"/>
        <v>06월 2주차</v>
      </c>
      <c r="I535" s="6" t="str">
        <f>H535&amp;" ("&amp;TEXT(C529,"m/dd")&amp;"~"&amp;TEXT(C535,"m/dd")&amp;")"</f>
        <v>06월 2주차 (6/05~6/11)</v>
      </c>
      <c r="J535" s="6" t="str">
        <f>A529&amp;"년 "&amp;WEEKNUM(C529,2)&amp;"주차"&amp;" ("&amp;TEXT(C529,"m/dd")&amp;"~"&amp;TEXT(C535,"m/dd")&amp;")"</f>
        <v>2023년 24주차 (6/05~6/11)</v>
      </c>
      <c r="K535" s="6">
        <f t="shared" si="67"/>
        <v>2023</v>
      </c>
      <c r="L535" s="6">
        <f t="shared" si="68"/>
        <v>24</v>
      </c>
    </row>
    <row r="536" spans="1:12" x14ac:dyDescent="0.45">
      <c r="A536" s="6">
        <f t="shared" si="72"/>
        <v>2023</v>
      </c>
      <c r="B536" s="6">
        <f t="shared" si="71"/>
        <v>6</v>
      </c>
      <c r="C536" s="7">
        <v>45089</v>
      </c>
      <c r="D536" s="6">
        <f t="shared" si="73"/>
        <v>1</v>
      </c>
      <c r="E536" s="6">
        <f t="shared" si="74"/>
        <v>25</v>
      </c>
      <c r="F536" s="6">
        <v>3</v>
      </c>
      <c r="G536" s="6" t="str">
        <f t="shared" si="69"/>
        <v>06</v>
      </c>
      <c r="H536" s="6" t="str">
        <f t="shared" si="70"/>
        <v>06월 3주차</v>
      </c>
      <c r="I536" s="6" t="str">
        <f>H536&amp;" ("&amp;TEXT(C536,"m/dd")&amp;"~"&amp;TEXT(C542,"m/dd")&amp;")"</f>
        <v>06월 3주차 (6/12~6/18)</v>
      </c>
      <c r="J536" s="6" t="str">
        <f>A536&amp;"년 "&amp;WEEKNUM(C536,2)&amp;"주차"&amp;" ("&amp;TEXT(C536,"m/dd")&amp;"~"&amp;TEXT(C542,"m/dd")&amp;")"</f>
        <v>2023년 25주차 (6/12~6/18)</v>
      </c>
      <c r="K536" s="6">
        <f t="shared" si="67"/>
        <v>2023</v>
      </c>
      <c r="L536" s="6">
        <f t="shared" si="68"/>
        <v>25</v>
      </c>
    </row>
    <row r="537" spans="1:12" x14ac:dyDescent="0.45">
      <c r="A537" s="6">
        <f t="shared" si="72"/>
        <v>2023</v>
      </c>
      <c r="B537" s="6">
        <f t="shared" si="71"/>
        <v>6</v>
      </c>
      <c r="C537" s="7">
        <v>45090</v>
      </c>
      <c r="D537" s="6">
        <f t="shared" si="73"/>
        <v>2</v>
      </c>
      <c r="E537" s="6">
        <f t="shared" si="74"/>
        <v>25</v>
      </c>
      <c r="F537" s="6">
        <v>3</v>
      </c>
      <c r="G537" s="6" t="str">
        <f t="shared" si="69"/>
        <v>06</v>
      </c>
      <c r="H537" s="6" t="str">
        <f t="shared" si="70"/>
        <v>06월 3주차</v>
      </c>
      <c r="I537" s="6" t="str">
        <f>H537&amp;" ("&amp;TEXT(C536,"m/dd")&amp;"~"&amp;TEXT(C542,"m/dd")&amp;")"</f>
        <v>06월 3주차 (6/12~6/18)</v>
      </c>
      <c r="J537" s="6" t="str">
        <f>A536&amp;"년 "&amp;WEEKNUM(C536,2)&amp;"주차"&amp;" ("&amp;TEXT(C536,"m/dd")&amp;"~"&amp;TEXT(C542,"m/dd")&amp;")"</f>
        <v>2023년 25주차 (6/12~6/18)</v>
      </c>
      <c r="K537" s="6">
        <f t="shared" si="67"/>
        <v>2023</v>
      </c>
      <c r="L537" s="6">
        <f t="shared" si="68"/>
        <v>25</v>
      </c>
    </row>
    <row r="538" spans="1:12" x14ac:dyDescent="0.45">
      <c r="A538" s="6">
        <f t="shared" si="72"/>
        <v>2023</v>
      </c>
      <c r="B538" s="6">
        <f t="shared" si="71"/>
        <v>6</v>
      </c>
      <c r="C538" s="7">
        <v>45091</v>
      </c>
      <c r="D538" s="6">
        <f t="shared" si="73"/>
        <v>3</v>
      </c>
      <c r="E538" s="6">
        <f t="shared" si="74"/>
        <v>25</v>
      </c>
      <c r="F538" s="6">
        <v>3</v>
      </c>
      <c r="G538" s="6" t="str">
        <f t="shared" si="69"/>
        <v>06</v>
      </c>
      <c r="H538" s="6" t="str">
        <f t="shared" si="70"/>
        <v>06월 3주차</v>
      </c>
      <c r="I538" s="6" t="str">
        <f>H538&amp;" ("&amp;TEXT(C536,"m/dd")&amp;"~"&amp;TEXT(C542,"m/dd")&amp;")"</f>
        <v>06월 3주차 (6/12~6/18)</v>
      </c>
      <c r="J538" s="6" t="str">
        <f>A536&amp;"년 "&amp;WEEKNUM(C536,2)&amp;"주차"&amp;" ("&amp;TEXT(C536,"m/dd")&amp;"~"&amp;TEXT(C542,"m/dd")&amp;")"</f>
        <v>2023년 25주차 (6/12~6/18)</v>
      </c>
      <c r="K538" s="6">
        <f t="shared" si="67"/>
        <v>2023</v>
      </c>
      <c r="L538" s="6">
        <f t="shared" si="68"/>
        <v>25</v>
      </c>
    </row>
    <row r="539" spans="1:12" x14ac:dyDescent="0.45">
      <c r="A539" s="6">
        <f t="shared" si="72"/>
        <v>2023</v>
      </c>
      <c r="B539" s="6">
        <f t="shared" si="71"/>
        <v>6</v>
      </c>
      <c r="C539" s="7">
        <v>45092</v>
      </c>
      <c r="D539" s="6">
        <f t="shared" si="73"/>
        <v>4</v>
      </c>
      <c r="E539" s="6">
        <f t="shared" si="74"/>
        <v>25</v>
      </c>
      <c r="F539" s="6">
        <v>3</v>
      </c>
      <c r="G539" s="6" t="str">
        <f t="shared" si="69"/>
        <v>06</v>
      </c>
      <c r="H539" s="6" t="str">
        <f t="shared" si="70"/>
        <v>06월 3주차</v>
      </c>
      <c r="I539" s="6" t="str">
        <f>H539&amp;" ("&amp;TEXT(C536,"m/dd")&amp;"~"&amp;TEXT(C542,"m/dd")&amp;")"</f>
        <v>06월 3주차 (6/12~6/18)</v>
      </c>
      <c r="J539" s="6" t="str">
        <f>A536&amp;"년 "&amp;WEEKNUM(C536,2)&amp;"주차"&amp;" ("&amp;TEXT(C536,"m/dd")&amp;"~"&amp;TEXT(C542,"m/dd")&amp;")"</f>
        <v>2023년 25주차 (6/12~6/18)</v>
      </c>
      <c r="K539" s="6">
        <f t="shared" si="67"/>
        <v>2023</v>
      </c>
      <c r="L539" s="6">
        <f t="shared" si="68"/>
        <v>25</v>
      </c>
    </row>
    <row r="540" spans="1:12" x14ac:dyDescent="0.45">
      <c r="A540" s="6">
        <f t="shared" si="72"/>
        <v>2023</v>
      </c>
      <c r="B540" s="6">
        <f t="shared" si="71"/>
        <v>6</v>
      </c>
      <c r="C540" s="7">
        <v>45093</v>
      </c>
      <c r="D540" s="6">
        <f t="shared" si="73"/>
        <v>5</v>
      </c>
      <c r="E540" s="6">
        <f t="shared" si="74"/>
        <v>25</v>
      </c>
      <c r="F540" s="6">
        <v>3</v>
      </c>
      <c r="G540" s="6" t="str">
        <f t="shared" si="69"/>
        <v>06</v>
      </c>
      <c r="H540" s="6" t="str">
        <f t="shared" si="70"/>
        <v>06월 3주차</v>
      </c>
      <c r="I540" s="6" t="str">
        <f>H540&amp;" ("&amp;TEXT(C536,"m/dd")&amp;"~"&amp;TEXT(C542,"m/dd")&amp;")"</f>
        <v>06월 3주차 (6/12~6/18)</v>
      </c>
      <c r="J540" s="6" t="str">
        <f>A536&amp;"년 "&amp;WEEKNUM(C536,2)&amp;"주차"&amp;" ("&amp;TEXT(C536,"m/dd")&amp;"~"&amp;TEXT(C542,"m/dd")&amp;")"</f>
        <v>2023년 25주차 (6/12~6/18)</v>
      </c>
      <c r="K540" s="6">
        <f t="shared" si="67"/>
        <v>2023</v>
      </c>
      <c r="L540" s="6">
        <f t="shared" si="68"/>
        <v>25</v>
      </c>
    </row>
    <row r="541" spans="1:12" x14ac:dyDescent="0.45">
      <c r="A541" s="6">
        <f t="shared" si="72"/>
        <v>2023</v>
      </c>
      <c r="B541" s="6">
        <f t="shared" si="71"/>
        <v>6</v>
      </c>
      <c r="C541" s="7">
        <v>45094</v>
      </c>
      <c r="D541" s="6">
        <f t="shared" si="73"/>
        <v>6</v>
      </c>
      <c r="E541" s="6">
        <f t="shared" si="74"/>
        <v>25</v>
      </c>
      <c r="F541" s="6">
        <v>3</v>
      </c>
      <c r="G541" s="6" t="str">
        <f t="shared" si="69"/>
        <v>06</v>
      </c>
      <c r="H541" s="6" t="str">
        <f t="shared" si="70"/>
        <v>06월 3주차</v>
      </c>
      <c r="I541" s="6" t="str">
        <f>H541&amp;" ("&amp;TEXT(C536,"m/dd")&amp;"~"&amp;TEXT(C542,"m/dd")&amp;")"</f>
        <v>06월 3주차 (6/12~6/18)</v>
      </c>
      <c r="J541" s="6" t="str">
        <f>A536&amp;"년 "&amp;WEEKNUM(C536,2)&amp;"주차"&amp;" ("&amp;TEXT(C536,"m/dd")&amp;"~"&amp;TEXT(C542,"m/dd")&amp;")"</f>
        <v>2023년 25주차 (6/12~6/18)</v>
      </c>
      <c r="K541" s="6">
        <f t="shared" si="67"/>
        <v>2023</v>
      </c>
      <c r="L541" s="6">
        <f t="shared" si="68"/>
        <v>25</v>
      </c>
    </row>
    <row r="542" spans="1:12" x14ac:dyDescent="0.45">
      <c r="A542" s="6">
        <f t="shared" si="72"/>
        <v>2023</v>
      </c>
      <c r="B542" s="6">
        <f t="shared" si="71"/>
        <v>6</v>
      </c>
      <c r="C542" s="7">
        <v>45095</v>
      </c>
      <c r="D542" s="6">
        <f t="shared" si="73"/>
        <v>7</v>
      </c>
      <c r="E542" s="6">
        <f t="shared" si="74"/>
        <v>25</v>
      </c>
      <c r="F542" s="6">
        <v>3</v>
      </c>
      <c r="G542" s="6" t="str">
        <f t="shared" si="69"/>
        <v>06</v>
      </c>
      <c r="H542" s="6" t="str">
        <f t="shared" si="70"/>
        <v>06월 3주차</v>
      </c>
      <c r="I542" s="6" t="str">
        <f>H542&amp;" ("&amp;TEXT(C536,"m/dd")&amp;"~"&amp;TEXT(C542,"m/dd")&amp;")"</f>
        <v>06월 3주차 (6/12~6/18)</v>
      </c>
      <c r="J542" s="6" t="str">
        <f>A536&amp;"년 "&amp;WEEKNUM(C536,2)&amp;"주차"&amp;" ("&amp;TEXT(C536,"m/dd")&amp;"~"&amp;TEXT(C542,"m/dd")&amp;")"</f>
        <v>2023년 25주차 (6/12~6/18)</v>
      </c>
      <c r="K542" s="6">
        <f t="shared" si="67"/>
        <v>2023</v>
      </c>
      <c r="L542" s="6">
        <f t="shared" si="68"/>
        <v>25</v>
      </c>
    </row>
    <row r="543" spans="1:12" x14ac:dyDescent="0.45">
      <c r="A543" s="6">
        <f t="shared" si="72"/>
        <v>2023</v>
      </c>
      <c r="B543" s="6">
        <f t="shared" si="71"/>
        <v>6</v>
      </c>
      <c r="C543" s="7">
        <v>45096</v>
      </c>
      <c r="D543" s="6">
        <f t="shared" si="73"/>
        <v>1</v>
      </c>
      <c r="E543" s="6">
        <f t="shared" si="74"/>
        <v>26</v>
      </c>
      <c r="F543" s="6">
        <v>4</v>
      </c>
      <c r="G543" s="6" t="str">
        <f t="shared" si="69"/>
        <v>06</v>
      </c>
      <c r="H543" s="6" t="str">
        <f t="shared" si="70"/>
        <v>06월 4주차</v>
      </c>
      <c r="I543" s="6" t="str">
        <f>H543&amp;" ("&amp;TEXT(C543,"m/dd")&amp;"~"&amp;TEXT(C549,"m/dd")&amp;")"</f>
        <v>06월 4주차 (6/19~6/25)</v>
      </c>
      <c r="J543" s="6" t="str">
        <f>A543&amp;"년 "&amp;WEEKNUM(C543,2)&amp;"주차"&amp;" ("&amp;TEXT(C543,"m/dd")&amp;"~"&amp;TEXT(C549,"m/dd")&amp;")"</f>
        <v>2023년 26주차 (6/19~6/25)</v>
      </c>
      <c r="K543" s="6">
        <f t="shared" si="67"/>
        <v>2023</v>
      </c>
      <c r="L543" s="6">
        <f t="shared" si="68"/>
        <v>26</v>
      </c>
    </row>
    <row r="544" spans="1:12" x14ac:dyDescent="0.45">
      <c r="A544" s="6">
        <f t="shared" si="72"/>
        <v>2023</v>
      </c>
      <c r="B544" s="6">
        <f t="shared" si="71"/>
        <v>6</v>
      </c>
      <c r="C544" s="7">
        <v>45097</v>
      </c>
      <c r="D544" s="6">
        <f t="shared" si="73"/>
        <v>2</v>
      </c>
      <c r="E544" s="6">
        <f t="shared" si="74"/>
        <v>26</v>
      </c>
      <c r="F544" s="6">
        <v>4</v>
      </c>
      <c r="G544" s="6" t="str">
        <f t="shared" si="69"/>
        <v>06</v>
      </c>
      <c r="H544" s="6" t="str">
        <f t="shared" si="70"/>
        <v>06월 4주차</v>
      </c>
      <c r="I544" s="6" t="str">
        <f>H544&amp;" ("&amp;TEXT(C543,"m/dd")&amp;"~"&amp;TEXT(C549,"m/dd")&amp;")"</f>
        <v>06월 4주차 (6/19~6/25)</v>
      </c>
      <c r="J544" s="6" t="str">
        <f>A543&amp;"년 "&amp;WEEKNUM(C543,2)&amp;"주차"&amp;" ("&amp;TEXT(C543,"m/dd")&amp;"~"&amp;TEXT(C549,"m/dd")&amp;")"</f>
        <v>2023년 26주차 (6/19~6/25)</v>
      </c>
      <c r="K544" s="6">
        <f t="shared" si="67"/>
        <v>2023</v>
      </c>
      <c r="L544" s="6">
        <f t="shared" si="68"/>
        <v>26</v>
      </c>
    </row>
    <row r="545" spans="1:12" x14ac:dyDescent="0.45">
      <c r="A545" s="6">
        <f t="shared" si="72"/>
        <v>2023</v>
      </c>
      <c r="B545" s="6">
        <f t="shared" si="71"/>
        <v>6</v>
      </c>
      <c r="C545" s="7">
        <v>45098</v>
      </c>
      <c r="D545" s="6">
        <f t="shared" si="73"/>
        <v>3</v>
      </c>
      <c r="E545" s="6">
        <f t="shared" si="74"/>
        <v>26</v>
      </c>
      <c r="F545" s="6">
        <v>4</v>
      </c>
      <c r="G545" s="6" t="str">
        <f t="shared" si="69"/>
        <v>06</v>
      </c>
      <c r="H545" s="6" t="str">
        <f t="shared" si="70"/>
        <v>06월 4주차</v>
      </c>
      <c r="I545" s="6" t="str">
        <f>H545&amp;" ("&amp;TEXT(C543,"m/dd")&amp;"~"&amp;TEXT(C549,"m/dd")&amp;")"</f>
        <v>06월 4주차 (6/19~6/25)</v>
      </c>
      <c r="J545" s="6" t="str">
        <f>A543&amp;"년 "&amp;WEEKNUM(C543,2)&amp;"주차"&amp;" ("&amp;TEXT(C543,"m/dd")&amp;"~"&amp;TEXT(C549,"m/dd")&amp;")"</f>
        <v>2023년 26주차 (6/19~6/25)</v>
      </c>
      <c r="K545" s="6">
        <f t="shared" si="67"/>
        <v>2023</v>
      </c>
      <c r="L545" s="6">
        <f t="shared" si="68"/>
        <v>26</v>
      </c>
    </row>
    <row r="546" spans="1:12" x14ac:dyDescent="0.45">
      <c r="A546" s="6">
        <f t="shared" si="72"/>
        <v>2023</v>
      </c>
      <c r="B546" s="6">
        <f t="shared" si="71"/>
        <v>6</v>
      </c>
      <c r="C546" s="7">
        <v>45099</v>
      </c>
      <c r="D546" s="6">
        <f t="shared" si="73"/>
        <v>4</v>
      </c>
      <c r="E546" s="6">
        <f t="shared" si="74"/>
        <v>26</v>
      </c>
      <c r="F546" s="6">
        <v>4</v>
      </c>
      <c r="G546" s="6" t="str">
        <f t="shared" si="69"/>
        <v>06</v>
      </c>
      <c r="H546" s="6" t="str">
        <f t="shared" si="70"/>
        <v>06월 4주차</v>
      </c>
      <c r="I546" s="6" t="str">
        <f>H546&amp;" ("&amp;TEXT(C543,"m/dd")&amp;"~"&amp;TEXT(C549,"m/dd")&amp;")"</f>
        <v>06월 4주차 (6/19~6/25)</v>
      </c>
      <c r="J546" s="6" t="str">
        <f>A543&amp;"년 "&amp;WEEKNUM(C543,2)&amp;"주차"&amp;" ("&amp;TEXT(C543,"m/dd")&amp;"~"&amp;TEXT(C549,"m/dd")&amp;")"</f>
        <v>2023년 26주차 (6/19~6/25)</v>
      </c>
      <c r="K546" s="6">
        <f t="shared" si="67"/>
        <v>2023</v>
      </c>
      <c r="L546" s="6">
        <f t="shared" si="68"/>
        <v>26</v>
      </c>
    </row>
    <row r="547" spans="1:12" x14ac:dyDescent="0.45">
      <c r="A547" s="6">
        <f t="shared" si="72"/>
        <v>2023</v>
      </c>
      <c r="B547" s="6">
        <f t="shared" si="71"/>
        <v>6</v>
      </c>
      <c r="C547" s="7">
        <v>45100</v>
      </c>
      <c r="D547" s="6">
        <f t="shared" si="73"/>
        <v>5</v>
      </c>
      <c r="E547" s="6">
        <f t="shared" si="74"/>
        <v>26</v>
      </c>
      <c r="F547" s="6">
        <v>4</v>
      </c>
      <c r="G547" s="6" t="str">
        <f t="shared" si="69"/>
        <v>06</v>
      </c>
      <c r="H547" s="6" t="str">
        <f t="shared" si="70"/>
        <v>06월 4주차</v>
      </c>
      <c r="I547" s="6" t="str">
        <f>H547&amp;" ("&amp;TEXT(C543,"m/dd")&amp;"~"&amp;TEXT(C549,"m/dd")&amp;")"</f>
        <v>06월 4주차 (6/19~6/25)</v>
      </c>
      <c r="J547" s="6" t="str">
        <f>A543&amp;"년 "&amp;WEEKNUM(C543,2)&amp;"주차"&amp;" ("&amp;TEXT(C543,"m/dd")&amp;"~"&amp;TEXT(C549,"m/dd")&amp;")"</f>
        <v>2023년 26주차 (6/19~6/25)</v>
      </c>
      <c r="K547" s="6">
        <f t="shared" si="67"/>
        <v>2023</v>
      </c>
      <c r="L547" s="6">
        <f t="shared" si="68"/>
        <v>26</v>
      </c>
    </row>
    <row r="548" spans="1:12" x14ac:dyDescent="0.45">
      <c r="A548" s="6">
        <f t="shared" si="72"/>
        <v>2023</v>
      </c>
      <c r="B548" s="6">
        <f t="shared" si="71"/>
        <v>6</v>
      </c>
      <c r="C548" s="7">
        <v>45101</v>
      </c>
      <c r="D548" s="6">
        <f t="shared" si="73"/>
        <v>6</v>
      </c>
      <c r="E548" s="6">
        <f t="shared" si="74"/>
        <v>26</v>
      </c>
      <c r="F548" s="6">
        <v>4</v>
      </c>
      <c r="G548" s="6" t="str">
        <f t="shared" si="69"/>
        <v>06</v>
      </c>
      <c r="H548" s="6" t="str">
        <f t="shared" si="70"/>
        <v>06월 4주차</v>
      </c>
      <c r="I548" s="6" t="str">
        <f>H548&amp;" ("&amp;TEXT(C543,"m/dd")&amp;"~"&amp;TEXT(C549,"m/dd")&amp;")"</f>
        <v>06월 4주차 (6/19~6/25)</v>
      </c>
      <c r="J548" s="6" t="str">
        <f>A543&amp;"년 "&amp;WEEKNUM(C543,2)&amp;"주차"&amp;" ("&amp;TEXT(C543,"m/dd")&amp;"~"&amp;TEXT(C549,"m/dd")&amp;")"</f>
        <v>2023년 26주차 (6/19~6/25)</v>
      </c>
      <c r="K548" s="6">
        <f t="shared" si="67"/>
        <v>2023</v>
      </c>
      <c r="L548" s="6">
        <f t="shared" si="68"/>
        <v>26</v>
      </c>
    </row>
    <row r="549" spans="1:12" x14ac:dyDescent="0.45">
      <c r="A549" s="6">
        <f t="shared" si="72"/>
        <v>2023</v>
      </c>
      <c r="B549" s="6">
        <f t="shared" si="71"/>
        <v>6</v>
      </c>
      <c r="C549" s="7">
        <v>45102</v>
      </c>
      <c r="D549" s="6">
        <f t="shared" si="73"/>
        <v>7</v>
      </c>
      <c r="E549" s="6">
        <f t="shared" si="74"/>
        <v>26</v>
      </c>
      <c r="F549" s="6">
        <v>4</v>
      </c>
      <c r="G549" s="6" t="str">
        <f t="shared" si="69"/>
        <v>06</v>
      </c>
      <c r="H549" s="6" t="str">
        <f t="shared" si="70"/>
        <v>06월 4주차</v>
      </c>
      <c r="I549" s="6" t="str">
        <f>H549&amp;" ("&amp;TEXT(C543,"m/dd")&amp;"~"&amp;TEXT(C549,"m/dd")&amp;")"</f>
        <v>06월 4주차 (6/19~6/25)</v>
      </c>
      <c r="J549" s="6" t="str">
        <f>A543&amp;"년 "&amp;WEEKNUM(C543,2)&amp;"주차"&amp;" ("&amp;TEXT(C543,"m/dd")&amp;"~"&amp;TEXT(C549,"m/dd")&amp;")"</f>
        <v>2023년 26주차 (6/19~6/25)</v>
      </c>
      <c r="K549" s="6">
        <f t="shared" si="67"/>
        <v>2023</v>
      </c>
      <c r="L549" s="6">
        <f t="shared" si="68"/>
        <v>26</v>
      </c>
    </row>
    <row r="550" spans="1:12" x14ac:dyDescent="0.45">
      <c r="A550" s="6">
        <f t="shared" si="72"/>
        <v>2023</v>
      </c>
      <c r="B550" s="6">
        <f t="shared" si="71"/>
        <v>6</v>
      </c>
      <c r="C550" s="7">
        <v>45103</v>
      </c>
      <c r="D550" s="6">
        <f t="shared" si="73"/>
        <v>1</v>
      </c>
      <c r="E550" s="6">
        <f t="shared" si="74"/>
        <v>27</v>
      </c>
      <c r="F550" s="6">
        <v>5</v>
      </c>
      <c r="G550" s="6" t="str">
        <f t="shared" si="69"/>
        <v>06</v>
      </c>
      <c r="H550" s="6" t="str">
        <f t="shared" si="70"/>
        <v>06월 5주차</v>
      </c>
      <c r="I550" s="6" t="str">
        <f>H550&amp;" ("&amp;TEXT(C550,"m/dd")&amp;"~"&amp;TEXT(C556,"m/dd")&amp;")"</f>
        <v>06월 5주차 (6/26~7/02)</v>
      </c>
      <c r="J550" s="6" t="str">
        <f>A550&amp;"년 "&amp;WEEKNUM(C550,2)&amp;"주차"&amp;" ("&amp;TEXT(C550,"m/dd")&amp;"~"&amp;TEXT(C556,"m/dd")&amp;")"</f>
        <v>2023년 27주차 (6/26~7/02)</v>
      </c>
      <c r="K550" s="6">
        <f t="shared" si="67"/>
        <v>2023</v>
      </c>
      <c r="L550" s="6">
        <f t="shared" si="68"/>
        <v>27</v>
      </c>
    </row>
    <row r="551" spans="1:12" x14ac:dyDescent="0.45">
      <c r="A551" s="6">
        <f t="shared" si="72"/>
        <v>2023</v>
      </c>
      <c r="B551" s="6">
        <f t="shared" si="71"/>
        <v>6</v>
      </c>
      <c r="C551" s="7">
        <v>45104</v>
      </c>
      <c r="D551" s="6">
        <f t="shared" si="73"/>
        <v>2</v>
      </c>
      <c r="E551" s="6">
        <f t="shared" si="74"/>
        <v>27</v>
      </c>
      <c r="F551" s="6">
        <v>5</v>
      </c>
      <c r="G551" s="6" t="str">
        <f t="shared" si="69"/>
        <v>06</v>
      </c>
      <c r="H551" s="6" t="str">
        <f t="shared" si="70"/>
        <v>06월 5주차</v>
      </c>
      <c r="I551" s="6" t="str">
        <f>H551&amp;" ("&amp;TEXT(C550,"m/dd")&amp;"~"&amp;TEXT(C556,"m/dd")&amp;")"</f>
        <v>06월 5주차 (6/26~7/02)</v>
      </c>
      <c r="J551" s="6" t="str">
        <f>A550&amp;"년 "&amp;WEEKNUM(C550,2)&amp;"주차"&amp;" ("&amp;TEXT(C550,"m/dd")&amp;"~"&amp;TEXT(C556,"m/dd")&amp;")"</f>
        <v>2023년 27주차 (6/26~7/02)</v>
      </c>
      <c r="K551" s="6">
        <f t="shared" si="67"/>
        <v>2023</v>
      </c>
      <c r="L551" s="6">
        <f t="shared" si="68"/>
        <v>27</v>
      </c>
    </row>
    <row r="552" spans="1:12" x14ac:dyDescent="0.45">
      <c r="A552" s="6">
        <f t="shared" si="72"/>
        <v>2023</v>
      </c>
      <c r="B552" s="6">
        <f t="shared" si="71"/>
        <v>6</v>
      </c>
      <c r="C552" s="7">
        <v>45105</v>
      </c>
      <c r="D552" s="6">
        <f t="shared" si="73"/>
        <v>3</v>
      </c>
      <c r="E552" s="6">
        <f t="shared" si="74"/>
        <v>27</v>
      </c>
      <c r="F552" s="6">
        <v>5</v>
      </c>
      <c r="G552" s="6" t="str">
        <f t="shared" si="69"/>
        <v>06</v>
      </c>
      <c r="H552" s="6" t="str">
        <f t="shared" si="70"/>
        <v>06월 5주차</v>
      </c>
      <c r="I552" s="6" t="str">
        <f>H552&amp;" ("&amp;TEXT(C550,"m/dd")&amp;"~"&amp;TEXT(C556,"m/dd")&amp;")"</f>
        <v>06월 5주차 (6/26~7/02)</v>
      </c>
      <c r="J552" s="6" t="str">
        <f>A550&amp;"년 "&amp;WEEKNUM(C550,2)&amp;"주차"&amp;" ("&amp;TEXT(C550,"m/dd")&amp;"~"&amp;TEXT(C556,"m/dd")&amp;")"</f>
        <v>2023년 27주차 (6/26~7/02)</v>
      </c>
      <c r="K552" s="6">
        <f t="shared" si="67"/>
        <v>2023</v>
      </c>
      <c r="L552" s="6">
        <f t="shared" si="68"/>
        <v>27</v>
      </c>
    </row>
    <row r="553" spans="1:12" x14ac:dyDescent="0.45">
      <c r="A553" s="6">
        <f t="shared" si="72"/>
        <v>2023</v>
      </c>
      <c r="B553" s="6">
        <f t="shared" si="71"/>
        <v>6</v>
      </c>
      <c r="C553" s="7">
        <v>45106</v>
      </c>
      <c r="D553" s="6">
        <f t="shared" si="73"/>
        <v>4</v>
      </c>
      <c r="E553" s="6">
        <f t="shared" si="74"/>
        <v>27</v>
      </c>
      <c r="F553" s="6">
        <v>5</v>
      </c>
      <c r="G553" s="6" t="str">
        <f t="shared" si="69"/>
        <v>06</v>
      </c>
      <c r="H553" s="6" t="str">
        <f t="shared" si="70"/>
        <v>06월 5주차</v>
      </c>
      <c r="I553" s="6" t="str">
        <f>H553&amp;" ("&amp;TEXT(C550,"m/dd")&amp;"~"&amp;TEXT(C556,"m/dd")&amp;")"</f>
        <v>06월 5주차 (6/26~7/02)</v>
      </c>
      <c r="J553" s="6" t="str">
        <f>A550&amp;"년 "&amp;WEEKNUM(C550,2)&amp;"주차"&amp;" ("&amp;TEXT(C550,"m/dd")&amp;"~"&amp;TEXT(C556,"m/dd")&amp;")"</f>
        <v>2023년 27주차 (6/26~7/02)</v>
      </c>
      <c r="K553" s="6">
        <f t="shared" si="67"/>
        <v>2023</v>
      </c>
      <c r="L553" s="6">
        <f t="shared" si="68"/>
        <v>27</v>
      </c>
    </row>
    <row r="554" spans="1:12" x14ac:dyDescent="0.45">
      <c r="A554" s="6">
        <f t="shared" si="72"/>
        <v>2023</v>
      </c>
      <c r="B554" s="6">
        <f t="shared" si="71"/>
        <v>6</v>
      </c>
      <c r="C554" s="7">
        <v>45107</v>
      </c>
      <c r="D554" s="6">
        <f t="shared" si="73"/>
        <v>5</v>
      </c>
      <c r="E554" s="6">
        <f t="shared" si="74"/>
        <v>27</v>
      </c>
      <c r="F554" s="6">
        <v>5</v>
      </c>
      <c r="G554" s="6" t="str">
        <f t="shared" si="69"/>
        <v>06</v>
      </c>
      <c r="H554" s="6" t="str">
        <f t="shared" si="70"/>
        <v>06월 5주차</v>
      </c>
      <c r="I554" s="6" t="str">
        <f>H554&amp;" ("&amp;TEXT(C550,"m/dd")&amp;"~"&amp;TEXT(C556,"m/dd")&amp;")"</f>
        <v>06월 5주차 (6/26~7/02)</v>
      </c>
      <c r="J554" s="6" t="str">
        <f>A550&amp;"년 "&amp;WEEKNUM(C550,2)&amp;"주차"&amp;" ("&amp;TEXT(C550,"m/dd")&amp;"~"&amp;TEXT(C556,"m/dd")&amp;")"</f>
        <v>2023년 27주차 (6/26~7/02)</v>
      </c>
      <c r="K554" s="6">
        <f t="shared" si="67"/>
        <v>2023</v>
      </c>
      <c r="L554" s="6">
        <f t="shared" si="68"/>
        <v>27</v>
      </c>
    </row>
    <row r="555" spans="1:12" x14ac:dyDescent="0.45">
      <c r="A555" s="6">
        <f t="shared" si="72"/>
        <v>2023</v>
      </c>
      <c r="B555" s="6">
        <v>6</v>
      </c>
      <c r="C555" s="7">
        <v>45108</v>
      </c>
      <c r="D555" s="6">
        <f t="shared" si="73"/>
        <v>6</v>
      </c>
      <c r="E555" s="6">
        <f t="shared" si="74"/>
        <v>27</v>
      </c>
      <c r="F555" s="6">
        <v>5</v>
      </c>
      <c r="G555" s="6" t="str">
        <f t="shared" si="69"/>
        <v>06</v>
      </c>
      <c r="H555" s="6" t="str">
        <f t="shared" si="70"/>
        <v>06월 5주차</v>
      </c>
      <c r="I555" s="6" t="str">
        <f>H555&amp;" ("&amp;TEXT(C550,"m/dd")&amp;"~"&amp;TEXT(C556,"m/dd")&amp;")"</f>
        <v>06월 5주차 (6/26~7/02)</v>
      </c>
      <c r="J555" s="6" t="str">
        <f>A550&amp;"년 "&amp;WEEKNUM(C550,2)&amp;"주차"&amp;" ("&amp;TEXT(C550,"m/dd")&amp;"~"&amp;TEXT(C556,"m/dd")&amp;")"</f>
        <v>2023년 27주차 (6/26~7/02)</v>
      </c>
      <c r="K555" s="6">
        <f t="shared" si="67"/>
        <v>2023</v>
      </c>
      <c r="L555" s="6">
        <f t="shared" si="68"/>
        <v>27</v>
      </c>
    </row>
    <row r="556" spans="1:12" x14ac:dyDescent="0.45">
      <c r="A556" s="6">
        <f t="shared" si="72"/>
        <v>2023</v>
      </c>
      <c r="B556" s="6">
        <v>6</v>
      </c>
      <c r="C556" s="7">
        <v>45109</v>
      </c>
      <c r="D556" s="6">
        <f t="shared" si="73"/>
        <v>7</v>
      </c>
      <c r="E556" s="6">
        <f t="shared" si="74"/>
        <v>27</v>
      </c>
      <c r="F556" s="6">
        <v>5</v>
      </c>
      <c r="G556" s="6" t="str">
        <f t="shared" si="69"/>
        <v>06</v>
      </c>
      <c r="H556" s="6" t="str">
        <f t="shared" si="70"/>
        <v>06월 5주차</v>
      </c>
      <c r="I556" s="6" t="str">
        <f>H556&amp;" ("&amp;TEXT(C550,"m/dd")&amp;"~"&amp;TEXT(C556,"m/dd")&amp;")"</f>
        <v>06월 5주차 (6/26~7/02)</v>
      </c>
      <c r="J556" s="6" t="str">
        <f>A550&amp;"년 "&amp;WEEKNUM(C550,2)&amp;"주차"&amp;" ("&amp;TEXT(C550,"m/dd")&amp;"~"&amp;TEXT(C556,"m/dd")&amp;")"</f>
        <v>2023년 27주차 (6/26~7/02)</v>
      </c>
      <c r="K556" s="6">
        <f t="shared" si="67"/>
        <v>2023</v>
      </c>
      <c r="L556" s="6">
        <f t="shared" si="68"/>
        <v>27</v>
      </c>
    </row>
    <row r="557" spans="1:12" x14ac:dyDescent="0.45">
      <c r="A557" s="6">
        <f t="shared" si="72"/>
        <v>2023</v>
      </c>
      <c r="B557" s="6">
        <f t="shared" si="71"/>
        <v>7</v>
      </c>
      <c r="C557" s="7">
        <v>45110</v>
      </c>
      <c r="D557" s="6">
        <f t="shared" si="73"/>
        <v>1</v>
      </c>
      <c r="E557" s="6">
        <f t="shared" si="74"/>
        <v>28</v>
      </c>
      <c r="F557" s="6">
        <f t="shared" ref="F557:F584" si="75">WEEKNUM(DATE(YEAR(C557),1,DAY(C557-WEEKDAY(C557,2)+1)),WEEKDAY(DATE(YEAR(C557),1,1),11)+10)</f>
        <v>1</v>
      </c>
      <c r="G557" s="6" t="str">
        <f t="shared" si="69"/>
        <v>07</v>
      </c>
      <c r="H557" s="6" t="str">
        <f t="shared" si="70"/>
        <v>07월 1주차</v>
      </c>
      <c r="I557" s="6" t="str">
        <f>H557&amp;" ("&amp;TEXT(C557,"m/dd")&amp;"~"&amp;TEXT(C563,"m/dd")&amp;")"</f>
        <v>07월 1주차 (7/03~7/09)</v>
      </c>
      <c r="J557" s="6" t="str">
        <f>A557&amp;"년 "&amp;WEEKNUM(C557,2)&amp;"주차"&amp;" ("&amp;TEXT(C557,"m/dd")&amp;"~"&amp;TEXT(C563,"m/dd")&amp;")"</f>
        <v>2023년 28주차 (7/03~7/09)</v>
      </c>
      <c r="K557" s="6">
        <f t="shared" si="67"/>
        <v>2023</v>
      </c>
      <c r="L557" s="6">
        <f t="shared" si="68"/>
        <v>28</v>
      </c>
    </row>
    <row r="558" spans="1:12" x14ac:dyDescent="0.45">
      <c r="A558" s="6">
        <f t="shared" si="72"/>
        <v>2023</v>
      </c>
      <c r="B558" s="6">
        <f t="shared" si="71"/>
        <v>7</v>
      </c>
      <c r="C558" s="7">
        <v>45111</v>
      </c>
      <c r="D558" s="6">
        <f t="shared" si="73"/>
        <v>2</v>
      </c>
      <c r="E558" s="6">
        <f t="shared" si="74"/>
        <v>28</v>
      </c>
      <c r="F558" s="6">
        <f t="shared" si="75"/>
        <v>1</v>
      </c>
      <c r="G558" s="6" t="str">
        <f t="shared" si="69"/>
        <v>07</v>
      </c>
      <c r="H558" s="6" t="str">
        <f t="shared" si="70"/>
        <v>07월 1주차</v>
      </c>
      <c r="I558" s="6" t="str">
        <f>H558&amp;" ("&amp;TEXT(C557,"m/dd")&amp;"~"&amp;TEXT(C563,"m/dd")&amp;")"</f>
        <v>07월 1주차 (7/03~7/09)</v>
      </c>
      <c r="J558" s="6" t="str">
        <f>A557&amp;"년 "&amp;WEEKNUM(C557,2)&amp;"주차"&amp;" ("&amp;TEXT(C557,"m/dd")&amp;"~"&amp;TEXT(C563,"m/dd")&amp;")"</f>
        <v>2023년 28주차 (7/03~7/09)</v>
      </c>
      <c r="K558" s="6">
        <f t="shared" si="67"/>
        <v>2023</v>
      </c>
      <c r="L558" s="6">
        <f t="shared" si="68"/>
        <v>28</v>
      </c>
    </row>
    <row r="559" spans="1:12" x14ac:dyDescent="0.45">
      <c r="A559" s="6">
        <f t="shared" si="72"/>
        <v>2023</v>
      </c>
      <c r="B559" s="6">
        <f t="shared" si="71"/>
        <v>7</v>
      </c>
      <c r="C559" s="7">
        <v>45112</v>
      </c>
      <c r="D559" s="6">
        <f t="shared" si="73"/>
        <v>3</v>
      </c>
      <c r="E559" s="6">
        <f t="shared" si="74"/>
        <v>28</v>
      </c>
      <c r="F559" s="6">
        <f t="shared" si="75"/>
        <v>1</v>
      </c>
      <c r="G559" s="6" t="str">
        <f t="shared" si="69"/>
        <v>07</v>
      </c>
      <c r="H559" s="6" t="str">
        <f t="shared" si="70"/>
        <v>07월 1주차</v>
      </c>
      <c r="I559" s="6" t="str">
        <f>H559&amp;" ("&amp;TEXT(C557,"m/dd")&amp;"~"&amp;TEXT(C563,"m/dd")&amp;")"</f>
        <v>07월 1주차 (7/03~7/09)</v>
      </c>
      <c r="J559" s="6" t="str">
        <f>A557&amp;"년 "&amp;WEEKNUM(C557,2)&amp;"주차"&amp;" ("&amp;TEXT(C557,"m/dd")&amp;"~"&amp;TEXT(C563,"m/dd")&amp;")"</f>
        <v>2023년 28주차 (7/03~7/09)</v>
      </c>
      <c r="K559" s="6">
        <f t="shared" ref="K559:K622" si="76">YEAR(C559)</f>
        <v>2023</v>
      </c>
      <c r="L559" s="6">
        <f t="shared" ref="L559:L622" si="77">WEEKNUM(C559,2)</f>
        <v>28</v>
      </c>
    </row>
    <row r="560" spans="1:12" x14ac:dyDescent="0.45">
      <c r="A560" s="6">
        <f t="shared" si="72"/>
        <v>2023</v>
      </c>
      <c r="B560" s="6">
        <f t="shared" si="71"/>
        <v>7</v>
      </c>
      <c r="C560" s="7">
        <v>45113</v>
      </c>
      <c r="D560" s="6">
        <f t="shared" si="73"/>
        <v>4</v>
      </c>
      <c r="E560" s="6">
        <f t="shared" si="74"/>
        <v>28</v>
      </c>
      <c r="F560" s="6">
        <f t="shared" si="75"/>
        <v>1</v>
      </c>
      <c r="G560" s="6" t="str">
        <f t="shared" si="69"/>
        <v>07</v>
      </c>
      <c r="H560" s="6" t="str">
        <f t="shared" si="70"/>
        <v>07월 1주차</v>
      </c>
      <c r="I560" s="6" t="str">
        <f>H560&amp;" ("&amp;TEXT(C557,"m/dd")&amp;"~"&amp;TEXT(C563,"m/dd")&amp;")"</f>
        <v>07월 1주차 (7/03~7/09)</v>
      </c>
      <c r="J560" s="6" t="str">
        <f>A557&amp;"년 "&amp;WEEKNUM(C557,2)&amp;"주차"&amp;" ("&amp;TEXT(C557,"m/dd")&amp;"~"&amp;TEXT(C563,"m/dd")&amp;")"</f>
        <v>2023년 28주차 (7/03~7/09)</v>
      </c>
      <c r="K560" s="6">
        <f t="shared" si="76"/>
        <v>2023</v>
      </c>
      <c r="L560" s="6">
        <f t="shared" si="77"/>
        <v>28</v>
      </c>
    </row>
    <row r="561" spans="1:12" x14ac:dyDescent="0.45">
      <c r="A561" s="6">
        <f t="shared" si="72"/>
        <v>2023</v>
      </c>
      <c r="B561" s="6">
        <f t="shared" si="71"/>
        <v>7</v>
      </c>
      <c r="C561" s="7">
        <v>45114</v>
      </c>
      <c r="D561" s="6">
        <f t="shared" si="73"/>
        <v>5</v>
      </c>
      <c r="E561" s="6">
        <f t="shared" si="74"/>
        <v>28</v>
      </c>
      <c r="F561" s="6">
        <f t="shared" si="75"/>
        <v>1</v>
      </c>
      <c r="G561" s="6" t="str">
        <f t="shared" si="69"/>
        <v>07</v>
      </c>
      <c r="H561" s="6" t="str">
        <f t="shared" si="70"/>
        <v>07월 1주차</v>
      </c>
      <c r="I561" s="6" t="str">
        <f>H561&amp;" ("&amp;TEXT(C557,"m/dd")&amp;"~"&amp;TEXT(C563,"m/dd")&amp;")"</f>
        <v>07월 1주차 (7/03~7/09)</v>
      </c>
      <c r="J561" s="6" t="str">
        <f>A557&amp;"년 "&amp;WEEKNUM(C557,2)&amp;"주차"&amp;" ("&amp;TEXT(C557,"m/dd")&amp;"~"&amp;TEXT(C563,"m/dd")&amp;")"</f>
        <v>2023년 28주차 (7/03~7/09)</v>
      </c>
      <c r="K561" s="6">
        <f t="shared" si="76"/>
        <v>2023</v>
      </c>
      <c r="L561" s="6">
        <f t="shared" si="77"/>
        <v>28</v>
      </c>
    </row>
    <row r="562" spans="1:12" x14ac:dyDescent="0.45">
      <c r="A562" s="6">
        <f t="shared" si="72"/>
        <v>2023</v>
      </c>
      <c r="B562" s="6">
        <f t="shared" si="71"/>
        <v>7</v>
      </c>
      <c r="C562" s="7">
        <v>45115</v>
      </c>
      <c r="D562" s="6">
        <f t="shared" si="73"/>
        <v>6</v>
      </c>
      <c r="E562" s="6">
        <f t="shared" si="74"/>
        <v>28</v>
      </c>
      <c r="F562" s="6">
        <f t="shared" si="75"/>
        <v>1</v>
      </c>
      <c r="G562" s="6" t="str">
        <f t="shared" si="69"/>
        <v>07</v>
      </c>
      <c r="H562" s="6" t="str">
        <f t="shared" si="70"/>
        <v>07월 1주차</v>
      </c>
      <c r="I562" s="6" t="str">
        <f>H562&amp;" ("&amp;TEXT(C557,"m/dd")&amp;"~"&amp;TEXT(C563,"m/dd")&amp;")"</f>
        <v>07월 1주차 (7/03~7/09)</v>
      </c>
      <c r="J562" s="6" t="str">
        <f>A557&amp;"년 "&amp;WEEKNUM(C557,2)&amp;"주차"&amp;" ("&amp;TEXT(C557,"m/dd")&amp;"~"&amp;TEXT(C563,"m/dd")&amp;")"</f>
        <v>2023년 28주차 (7/03~7/09)</v>
      </c>
      <c r="K562" s="6">
        <f t="shared" si="76"/>
        <v>2023</v>
      </c>
      <c r="L562" s="6">
        <f t="shared" si="77"/>
        <v>28</v>
      </c>
    </row>
    <row r="563" spans="1:12" x14ac:dyDescent="0.45">
      <c r="A563" s="6">
        <f t="shared" si="72"/>
        <v>2023</v>
      </c>
      <c r="B563" s="6">
        <f t="shared" si="71"/>
        <v>7</v>
      </c>
      <c r="C563" s="7">
        <v>45116</v>
      </c>
      <c r="D563" s="6">
        <f t="shared" si="73"/>
        <v>7</v>
      </c>
      <c r="E563" s="6">
        <f t="shared" si="74"/>
        <v>28</v>
      </c>
      <c r="F563" s="6">
        <f t="shared" si="75"/>
        <v>1</v>
      </c>
      <c r="G563" s="6" t="str">
        <f t="shared" si="69"/>
        <v>07</v>
      </c>
      <c r="H563" s="6" t="str">
        <f t="shared" si="70"/>
        <v>07월 1주차</v>
      </c>
      <c r="I563" s="6" t="str">
        <f>H563&amp;" ("&amp;TEXT(C557,"m/dd")&amp;"~"&amp;TEXT(C563,"m/dd")&amp;")"</f>
        <v>07월 1주차 (7/03~7/09)</v>
      </c>
      <c r="J563" s="6" t="str">
        <f>A557&amp;"년 "&amp;WEEKNUM(C557,2)&amp;"주차"&amp;" ("&amp;TEXT(C557,"m/dd")&amp;"~"&amp;TEXT(C563,"m/dd")&amp;")"</f>
        <v>2023년 28주차 (7/03~7/09)</v>
      </c>
      <c r="K563" s="6">
        <f t="shared" si="76"/>
        <v>2023</v>
      </c>
      <c r="L563" s="6">
        <f t="shared" si="77"/>
        <v>28</v>
      </c>
    </row>
    <row r="564" spans="1:12" x14ac:dyDescent="0.45">
      <c r="A564" s="6">
        <f t="shared" si="72"/>
        <v>2023</v>
      </c>
      <c r="B564" s="6">
        <f t="shared" si="71"/>
        <v>7</v>
      </c>
      <c r="C564" s="7">
        <v>45117</v>
      </c>
      <c r="D564" s="6">
        <f t="shared" si="73"/>
        <v>1</v>
      </c>
      <c r="E564" s="6">
        <f t="shared" si="74"/>
        <v>29</v>
      </c>
      <c r="F564" s="6">
        <f t="shared" si="75"/>
        <v>2</v>
      </c>
      <c r="G564" s="6" t="str">
        <f t="shared" si="69"/>
        <v>07</v>
      </c>
      <c r="H564" s="6" t="str">
        <f t="shared" si="70"/>
        <v>07월 2주차</v>
      </c>
      <c r="I564" s="6" t="str">
        <f>H564&amp;" ("&amp;TEXT(C564,"m/dd")&amp;"~"&amp;TEXT(C570,"m/dd")&amp;")"</f>
        <v>07월 2주차 (7/10~7/16)</v>
      </c>
      <c r="J564" s="6" t="str">
        <f>A564&amp;"년 "&amp;WEEKNUM(C564,2)&amp;"주차"&amp;" ("&amp;TEXT(C564,"m/dd")&amp;"~"&amp;TEXT(C570,"m/dd")&amp;")"</f>
        <v>2023년 29주차 (7/10~7/16)</v>
      </c>
      <c r="K564" s="6">
        <f t="shared" si="76"/>
        <v>2023</v>
      </c>
      <c r="L564" s="6">
        <f t="shared" si="77"/>
        <v>29</v>
      </c>
    </row>
    <row r="565" spans="1:12" x14ac:dyDescent="0.45">
      <c r="A565" s="6">
        <f t="shared" si="72"/>
        <v>2023</v>
      </c>
      <c r="B565" s="6">
        <f t="shared" si="71"/>
        <v>7</v>
      </c>
      <c r="C565" s="7">
        <v>45118</v>
      </c>
      <c r="D565" s="6">
        <f t="shared" si="73"/>
        <v>2</v>
      </c>
      <c r="E565" s="6">
        <f t="shared" si="74"/>
        <v>29</v>
      </c>
      <c r="F565" s="6">
        <f t="shared" si="75"/>
        <v>2</v>
      </c>
      <c r="G565" s="6" t="str">
        <f t="shared" si="69"/>
        <v>07</v>
      </c>
      <c r="H565" s="6" t="str">
        <f t="shared" si="70"/>
        <v>07월 2주차</v>
      </c>
      <c r="I565" s="6" t="str">
        <f>H565&amp;" ("&amp;TEXT(C564,"m/dd")&amp;"~"&amp;TEXT(C570,"m/dd")&amp;")"</f>
        <v>07월 2주차 (7/10~7/16)</v>
      </c>
      <c r="J565" s="6" t="str">
        <f>A564&amp;"년 "&amp;WEEKNUM(C564,2)&amp;"주차"&amp;" ("&amp;TEXT(C564,"m/dd")&amp;"~"&amp;TEXT(C570,"m/dd")&amp;")"</f>
        <v>2023년 29주차 (7/10~7/16)</v>
      </c>
      <c r="K565" s="6">
        <f t="shared" si="76"/>
        <v>2023</v>
      </c>
      <c r="L565" s="6">
        <f t="shared" si="77"/>
        <v>29</v>
      </c>
    </row>
    <row r="566" spans="1:12" x14ac:dyDescent="0.45">
      <c r="A566" s="6">
        <f t="shared" si="72"/>
        <v>2023</v>
      </c>
      <c r="B566" s="6">
        <f t="shared" si="71"/>
        <v>7</v>
      </c>
      <c r="C566" s="7">
        <v>45119</v>
      </c>
      <c r="D566" s="6">
        <f t="shared" si="73"/>
        <v>3</v>
      </c>
      <c r="E566" s="6">
        <f t="shared" si="74"/>
        <v>29</v>
      </c>
      <c r="F566" s="6">
        <f t="shared" si="75"/>
        <v>2</v>
      </c>
      <c r="G566" s="6" t="str">
        <f t="shared" si="69"/>
        <v>07</v>
      </c>
      <c r="H566" s="6" t="str">
        <f t="shared" si="70"/>
        <v>07월 2주차</v>
      </c>
      <c r="I566" s="6" t="str">
        <f>H566&amp;" ("&amp;TEXT(C564,"m/dd")&amp;"~"&amp;TEXT(C570,"m/dd")&amp;")"</f>
        <v>07월 2주차 (7/10~7/16)</v>
      </c>
      <c r="J566" s="6" t="str">
        <f>A564&amp;"년 "&amp;WEEKNUM(C564,2)&amp;"주차"&amp;" ("&amp;TEXT(C564,"m/dd")&amp;"~"&amp;TEXT(C570,"m/dd")&amp;")"</f>
        <v>2023년 29주차 (7/10~7/16)</v>
      </c>
      <c r="K566" s="6">
        <f t="shared" si="76"/>
        <v>2023</v>
      </c>
      <c r="L566" s="6">
        <f t="shared" si="77"/>
        <v>29</v>
      </c>
    </row>
    <row r="567" spans="1:12" x14ac:dyDescent="0.45">
      <c r="A567" s="6">
        <f t="shared" si="72"/>
        <v>2023</v>
      </c>
      <c r="B567" s="6">
        <f t="shared" si="71"/>
        <v>7</v>
      </c>
      <c r="C567" s="7">
        <v>45120</v>
      </c>
      <c r="D567" s="6">
        <f t="shared" si="73"/>
        <v>4</v>
      </c>
      <c r="E567" s="6">
        <f t="shared" si="74"/>
        <v>29</v>
      </c>
      <c r="F567" s="6">
        <f t="shared" si="75"/>
        <v>2</v>
      </c>
      <c r="G567" s="6" t="str">
        <f t="shared" si="69"/>
        <v>07</v>
      </c>
      <c r="H567" s="6" t="str">
        <f t="shared" si="70"/>
        <v>07월 2주차</v>
      </c>
      <c r="I567" s="6" t="str">
        <f>H567&amp;" ("&amp;TEXT(C564,"m/dd")&amp;"~"&amp;TEXT(C570,"m/dd")&amp;")"</f>
        <v>07월 2주차 (7/10~7/16)</v>
      </c>
      <c r="J567" s="6" t="str">
        <f>A564&amp;"년 "&amp;WEEKNUM(C564,2)&amp;"주차"&amp;" ("&amp;TEXT(C564,"m/dd")&amp;"~"&amp;TEXT(C570,"m/dd")&amp;")"</f>
        <v>2023년 29주차 (7/10~7/16)</v>
      </c>
      <c r="K567" s="6">
        <f t="shared" si="76"/>
        <v>2023</v>
      </c>
      <c r="L567" s="6">
        <f t="shared" si="77"/>
        <v>29</v>
      </c>
    </row>
    <row r="568" spans="1:12" x14ac:dyDescent="0.45">
      <c r="A568" s="6">
        <f t="shared" si="72"/>
        <v>2023</v>
      </c>
      <c r="B568" s="6">
        <f t="shared" si="71"/>
        <v>7</v>
      </c>
      <c r="C568" s="7">
        <v>45121</v>
      </c>
      <c r="D568" s="6">
        <f t="shared" si="73"/>
        <v>5</v>
      </c>
      <c r="E568" s="6">
        <f t="shared" si="74"/>
        <v>29</v>
      </c>
      <c r="F568" s="6">
        <f t="shared" si="75"/>
        <v>2</v>
      </c>
      <c r="G568" s="6" t="str">
        <f t="shared" si="69"/>
        <v>07</v>
      </c>
      <c r="H568" s="6" t="str">
        <f t="shared" si="70"/>
        <v>07월 2주차</v>
      </c>
      <c r="I568" s="6" t="str">
        <f>H568&amp;" ("&amp;TEXT(C564,"m/dd")&amp;"~"&amp;TEXT(C570,"m/dd")&amp;")"</f>
        <v>07월 2주차 (7/10~7/16)</v>
      </c>
      <c r="J568" s="6" t="str">
        <f>A564&amp;"년 "&amp;WEEKNUM(C564,2)&amp;"주차"&amp;" ("&amp;TEXT(C564,"m/dd")&amp;"~"&amp;TEXT(C570,"m/dd")&amp;")"</f>
        <v>2023년 29주차 (7/10~7/16)</v>
      </c>
      <c r="K568" s="6">
        <f t="shared" si="76"/>
        <v>2023</v>
      </c>
      <c r="L568" s="6">
        <f t="shared" si="77"/>
        <v>29</v>
      </c>
    </row>
    <row r="569" spans="1:12" x14ac:dyDescent="0.45">
      <c r="A569" s="6">
        <f t="shared" si="72"/>
        <v>2023</v>
      </c>
      <c r="B569" s="6">
        <f t="shared" si="71"/>
        <v>7</v>
      </c>
      <c r="C569" s="7">
        <v>45122</v>
      </c>
      <c r="D569" s="6">
        <f t="shared" si="73"/>
        <v>6</v>
      </c>
      <c r="E569" s="6">
        <f t="shared" si="74"/>
        <v>29</v>
      </c>
      <c r="F569" s="6">
        <f t="shared" si="75"/>
        <v>2</v>
      </c>
      <c r="G569" s="6" t="str">
        <f t="shared" si="69"/>
        <v>07</v>
      </c>
      <c r="H569" s="6" t="str">
        <f t="shared" si="70"/>
        <v>07월 2주차</v>
      </c>
      <c r="I569" s="6" t="str">
        <f>H569&amp;" ("&amp;TEXT(C564,"m/dd")&amp;"~"&amp;TEXT(C570,"m/dd")&amp;")"</f>
        <v>07월 2주차 (7/10~7/16)</v>
      </c>
      <c r="J569" s="6" t="str">
        <f>A564&amp;"년 "&amp;WEEKNUM(C564,2)&amp;"주차"&amp;" ("&amp;TEXT(C564,"m/dd")&amp;"~"&amp;TEXT(C570,"m/dd")&amp;")"</f>
        <v>2023년 29주차 (7/10~7/16)</v>
      </c>
      <c r="K569" s="6">
        <f t="shared" si="76"/>
        <v>2023</v>
      </c>
      <c r="L569" s="6">
        <f t="shared" si="77"/>
        <v>29</v>
      </c>
    </row>
    <row r="570" spans="1:12" x14ac:dyDescent="0.45">
      <c r="A570" s="6">
        <f t="shared" si="72"/>
        <v>2023</v>
      </c>
      <c r="B570" s="6">
        <f t="shared" si="71"/>
        <v>7</v>
      </c>
      <c r="C570" s="7">
        <v>45123</v>
      </c>
      <c r="D570" s="6">
        <f t="shared" si="73"/>
        <v>7</v>
      </c>
      <c r="E570" s="6">
        <f t="shared" si="74"/>
        <v>29</v>
      </c>
      <c r="F570" s="6">
        <f t="shared" si="75"/>
        <v>2</v>
      </c>
      <c r="G570" s="6" t="str">
        <f t="shared" si="69"/>
        <v>07</v>
      </c>
      <c r="H570" s="6" t="str">
        <f t="shared" si="70"/>
        <v>07월 2주차</v>
      </c>
      <c r="I570" s="6" t="str">
        <f>H570&amp;" ("&amp;TEXT(C564,"m/dd")&amp;"~"&amp;TEXT(C570,"m/dd")&amp;")"</f>
        <v>07월 2주차 (7/10~7/16)</v>
      </c>
      <c r="J570" s="6" t="str">
        <f>A564&amp;"년 "&amp;WEEKNUM(C564,2)&amp;"주차"&amp;" ("&amp;TEXT(C564,"m/dd")&amp;"~"&amp;TEXT(C570,"m/dd")&amp;")"</f>
        <v>2023년 29주차 (7/10~7/16)</v>
      </c>
      <c r="K570" s="6">
        <f t="shared" si="76"/>
        <v>2023</v>
      </c>
      <c r="L570" s="6">
        <f t="shared" si="77"/>
        <v>29</v>
      </c>
    </row>
    <row r="571" spans="1:12" x14ac:dyDescent="0.45">
      <c r="A571" s="6">
        <f t="shared" si="72"/>
        <v>2023</v>
      </c>
      <c r="B571" s="6">
        <f t="shared" si="71"/>
        <v>7</v>
      </c>
      <c r="C571" s="7">
        <v>45124</v>
      </c>
      <c r="D571" s="6">
        <f t="shared" si="73"/>
        <v>1</v>
      </c>
      <c r="E571" s="6">
        <f t="shared" si="74"/>
        <v>30</v>
      </c>
      <c r="F571" s="6">
        <f t="shared" si="75"/>
        <v>3</v>
      </c>
      <c r="G571" s="6" t="str">
        <f t="shared" si="69"/>
        <v>07</v>
      </c>
      <c r="H571" s="6" t="str">
        <f t="shared" si="70"/>
        <v>07월 3주차</v>
      </c>
      <c r="I571" s="6" t="str">
        <f>H571&amp;" ("&amp;TEXT(C571,"m/dd")&amp;"~"&amp;TEXT(C577,"m/dd")&amp;")"</f>
        <v>07월 3주차 (7/17~7/23)</v>
      </c>
      <c r="J571" s="6" t="str">
        <f>A571&amp;"년 "&amp;WEEKNUM(C571,2)&amp;"주차"&amp;" ("&amp;TEXT(C571,"m/dd")&amp;"~"&amp;TEXT(C577,"m/dd")&amp;")"</f>
        <v>2023년 30주차 (7/17~7/23)</v>
      </c>
      <c r="K571" s="6">
        <f t="shared" si="76"/>
        <v>2023</v>
      </c>
      <c r="L571" s="6">
        <f t="shared" si="77"/>
        <v>30</v>
      </c>
    </row>
    <row r="572" spans="1:12" x14ac:dyDescent="0.45">
      <c r="A572" s="6">
        <f t="shared" si="72"/>
        <v>2023</v>
      </c>
      <c r="B572" s="6">
        <f t="shared" si="71"/>
        <v>7</v>
      </c>
      <c r="C572" s="7">
        <v>45125</v>
      </c>
      <c r="D572" s="6">
        <f t="shared" si="73"/>
        <v>2</v>
      </c>
      <c r="E572" s="6">
        <f t="shared" si="74"/>
        <v>30</v>
      </c>
      <c r="F572" s="6">
        <f t="shared" si="75"/>
        <v>3</v>
      </c>
      <c r="G572" s="6" t="str">
        <f t="shared" si="69"/>
        <v>07</v>
      </c>
      <c r="H572" s="6" t="str">
        <f t="shared" si="70"/>
        <v>07월 3주차</v>
      </c>
      <c r="I572" s="6" t="str">
        <f>H572&amp;" ("&amp;TEXT(C571,"m/dd")&amp;"~"&amp;TEXT(C577,"m/dd")&amp;")"</f>
        <v>07월 3주차 (7/17~7/23)</v>
      </c>
      <c r="J572" s="6" t="str">
        <f>A571&amp;"년 "&amp;WEEKNUM(C571,2)&amp;"주차"&amp;" ("&amp;TEXT(C571,"m/dd")&amp;"~"&amp;TEXT(C577,"m/dd")&amp;")"</f>
        <v>2023년 30주차 (7/17~7/23)</v>
      </c>
      <c r="K572" s="6">
        <f t="shared" si="76"/>
        <v>2023</v>
      </c>
      <c r="L572" s="6">
        <f t="shared" si="77"/>
        <v>30</v>
      </c>
    </row>
    <row r="573" spans="1:12" x14ac:dyDescent="0.45">
      <c r="A573" s="6">
        <f t="shared" si="72"/>
        <v>2023</v>
      </c>
      <c r="B573" s="6">
        <f t="shared" si="71"/>
        <v>7</v>
      </c>
      <c r="C573" s="7">
        <v>45126</v>
      </c>
      <c r="D573" s="6">
        <f t="shared" si="73"/>
        <v>3</v>
      </c>
      <c r="E573" s="6">
        <f t="shared" si="74"/>
        <v>30</v>
      </c>
      <c r="F573" s="6">
        <f t="shared" si="75"/>
        <v>3</v>
      </c>
      <c r="G573" s="6" t="str">
        <f t="shared" si="69"/>
        <v>07</v>
      </c>
      <c r="H573" s="6" t="str">
        <f t="shared" si="70"/>
        <v>07월 3주차</v>
      </c>
      <c r="I573" s="6" t="str">
        <f>H573&amp;" ("&amp;TEXT(C571,"m/dd")&amp;"~"&amp;TEXT(C577,"m/dd")&amp;")"</f>
        <v>07월 3주차 (7/17~7/23)</v>
      </c>
      <c r="J573" s="6" t="str">
        <f>A571&amp;"년 "&amp;WEEKNUM(C571,2)&amp;"주차"&amp;" ("&amp;TEXT(C571,"m/dd")&amp;"~"&amp;TEXT(C577,"m/dd")&amp;")"</f>
        <v>2023년 30주차 (7/17~7/23)</v>
      </c>
      <c r="K573" s="6">
        <f t="shared" si="76"/>
        <v>2023</v>
      </c>
      <c r="L573" s="6">
        <f t="shared" si="77"/>
        <v>30</v>
      </c>
    </row>
    <row r="574" spans="1:12" x14ac:dyDescent="0.45">
      <c r="A574" s="6">
        <f t="shared" si="72"/>
        <v>2023</v>
      </c>
      <c r="B574" s="6">
        <f t="shared" si="71"/>
        <v>7</v>
      </c>
      <c r="C574" s="7">
        <v>45127</v>
      </c>
      <c r="D574" s="6">
        <f t="shared" si="73"/>
        <v>4</v>
      </c>
      <c r="E574" s="6">
        <f t="shared" si="74"/>
        <v>30</v>
      </c>
      <c r="F574" s="6">
        <f t="shared" si="75"/>
        <v>3</v>
      </c>
      <c r="G574" s="6" t="str">
        <f t="shared" si="69"/>
        <v>07</v>
      </c>
      <c r="H574" s="6" t="str">
        <f t="shared" si="70"/>
        <v>07월 3주차</v>
      </c>
      <c r="I574" s="6" t="str">
        <f>H574&amp;" ("&amp;TEXT(C571,"m/dd")&amp;"~"&amp;TEXT(C577,"m/dd")&amp;")"</f>
        <v>07월 3주차 (7/17~7/23)</v>
      </c>
      <c r="J574" s="6" t="str">
        <f>A571&amp;"년 "&amp;WEEKNUM(C571,2)&amp;"주차"&amp;" ("&amp;TEXT(C571,"m/dd")&amp;"~"&amp;TEXT(C577,"m/dd")&amp;")"</f>
        <v>2023년 30주차 (7/17~7/23)</v>
      </c>
      <c r="K574" s="6">
        <f t="shared" si="76"/>
        <v>2023</v>
      </c>
      <c r="L574" s="6">
        <f t="shared" si="77"/>
        <v>30</v>
      </c>
    </row>
    <row r="575" spans="1:12" x14ac:dyDescent="0.45">
      <c r="A575" s="6">
        <f t="shared" si="72"/>
        <v>2023</v>
      </c>
      <c r="B575" s="6">
        <f t="shared" si="71"/>
        <v>7</v>
      </c>
      <c r="C575" s="7">
        <v>45128</v>
      </c>
      <c r="D575" s="6">
        <f t="shared" si="73"/>
        <v>5</v>
      </c>
      <c r="E575" s="6">
        <f t="shared" si="74"/>
        <v>30</v>
      </c>
      <c r="F575" s="6">
        <f t="shared" si="75"/>
        <v>3</v>
      </c>
      <c r="G575" s="6" t="str">
        <f t="shared" si="69"/>
        <v>07</v>
      </c>
      <c r="H575" s="6" t="str">
        <f t="shared" si="70"/>
        <v>07월 3주차</v>
      </c>
      <c r="I575" s="6" t="str">
        <f>H575&amp;" ("&amp;TEXT(C571,"m/dd")&amp;"~"&amp;TEXT(C577,"m/dd")&amp;")"</f>
        <v>07월 3주차 (7/17~7/23)</v>
      </c>
      <c r="J575" s="6" t="str">
        <f>A571&amp;"년 "&amp;WEEKNUM(C571,2)&amp;"주차"&amp;" ("&amp;TEXT(C571,"m/dd")&amp;"~"&amp;TEXT(C577,"m/dd")&amp;")"</f>
        <v>2023년 30주차 (7/17~7/23)</v>
      </c>
      <c r="K575" s="6">
        <f t="shared" si="76"/>
        <v>2023</v>
      </c>
      <c r="L575" s="6">
        <f t="shared" si="77"/>
        <v>30</v>
      </c>
    </row>
    <row r="576" spans="1:12" x14ac:dyDescent="0.45">
      <c r="A576" s="6">
        <f t="shared" si="72"/>
        <v>2023</v>
      </c>
      <c r="B576" s="6">
        <f t="shared" si="71"/>
        <v>7</v>
      </c>
      <c r="C576" s="7">
        <v>45129</v>
      </c>
      <c r="D576" s="6">
        <f t="shared" si="73"/>
        <v>6</v>
      </c>
      <c r="E576" s="6">
        <f t="shared" si="74"/>
        <v>30</v>
      </c>
      <c r="F576" s="6">
        <f t="shared" si="75"/>
        <v>3</v>
      </c>
      <c r="G576" s="6" t="str">
        <f t="shared" si="69"/>
        <v>07</v>
      </c>
      <c r="H576" s="6" t="str">
        <f t="shared" si="70"/>
        <v>07월 3주차</v>
      </c>
      <c r="I576" s="6" t="str">
        <f>H576&amp;" ("&amp;TEXT(C571,"m/dd")&amp;"~"&amp;TEXT(C577,"m/dd")&amp;")"</f>
        <v>07월 3주차 (7/17~7/23)</v>
      </c>
      <c r="J576" s="6" t="str">
        <f>A571&amp;"년 "&amp;WEEKNUM(C571,2)&amp;"주차"&amp;" ("&amp;TEXT(C571,"m/dd")&amp;"~"&amp;TEXT(C577,"m/dd")&amp;")"</f>
        <v>2023년 30주차 (7/17~7/23)</v>
      </c>
      <c r="K576" s="6">
        <f t="shared" si="76"/>
        <v>2023</v>
      </c>
      <c r="L576" s="6">
        <f t="shared" si="77"/>
        <v>30</v>
      </c>
    </row>
    <row r="577" spans="1:12" x14ac:dyDescent="0.45">
      <c r="A577" s="6">
        <f t="shared" si="72"/>
        <v>2023</v>
      </c>
      <c r="B577" s="6">
        <f t="shared" si="71"/>
        <v>7</v>
      </c>
      <c r="C577" s="7">
        <v>45130</v>
      </c>
      <c r="D577" s="6">
        <f t="shared" si="73"/>
        <v>7</v>
      </c>
      <c r="E577" s="6">
        <f t="shared" si="74"/>
        <v>30</v>
      </c>
      <c r="F577" s="6">
        <f t="shared" si="75"/>
        <v>3</v>
      </c>
      <c r="G577" s="6" t="str">
        <f t="shared" si="69"/>
        <v>07</v>
      </c>
      <c r="H577" s="6" t="str">
        <f t="shared" si="70"/>
        <v>07월 3주차</v>
      </c>
      <c r="I577" s="6" t="str">
        <f>H577&amp;" ("&amp;TEXT(C571,"m/dd")&amp;"~"&amp;TEXT(C577,"m/dd")&amp;")"</f>
        <v>07월 3주차 (7/17~7/23)</v>
      </c>
      <c r="J577" s="6" t="str">
        <f>A571&amp;"년 "&amp;WEEKNUM(C571,2)&amp;"주차"&amp;" ("&amp;TEXT(C571,"m/dd")&amp;"~"&amp;TEXT(C577,"m/dd")&amp;")"</f>
        <v>2023년 30주차 (7/17~7/23)</v>
      </c>
      <c r="K577" s="6">
        <f t="shared" si="76"/>
        <v>2023</v>
      </c>
      <c r="L577" s="6">
        <f t="shared" si="77"/>
        <v>30</v>
      </c>
    </row>
    <row r="578" spans="1:12" x14ac:dyDescent="0.45">
      <c r="A578" s="6">
        <f t="shared" si="72"/>
        <v>2023</v>
      </c>
      <c r="B578" s="6">
        <f t="shared" si="71"/>
        <v>7</v>
      </c>
      <c r="C578" s="7">
        <v>45131</v>
      </c>
      <c r="D578" s="6">
        <f t="shared" si="73"/>
        <v>1</v>
      </c>
      <c r="E578" s="6">
        <f t="shared" si="74"/>
        <v>31</v>
      </c>
      <c r="F578" s="6">
        <f t="shared" si="75"/>
        <v>4</v>
      </c>
      <c r="G578" s="6" t="str">
        <f t="shared" si="69"/>
        <v>07</v>
      </c>
      <c r="H578" s="6" t="str">
        <f t="shared" si="70"/>
        <v>07월 4주차</v>
      </c>
      <c r="I578" s="6" t="str">
        <f>H578&amp;" ("&amp;TEXT(C578,"m/dd")&amp;"~"&amp;TEXT(C584,"m/dd")&amp;")"</f>
        <v>07월 4주차 (7/24~7/30)</v>
      </c>
      <c r="J578" s="6" t="str">
        <f>A578&amp;"년 "&amp;WEEKNUM(C578,2)&amp;"주차"&amp;" ("&amp;TEXT(C578,"m/dd")&amp;"~"&amp;TEXT(C584,"m/dd")&amp;")"</f>
        <v>2023년 31주차 (7/24~7/30)</v>
      </c>
      <c r="K578" s="6">
        <f t="shared" si="76"/>
        <v>2023</v>
      </c>
      <c r="L578" s="6">
        <f t="shared" si="77"/>
        <v>31</v>
      </c>
    </row>
    <row r="579" spans="1:12" x14ac:dyDescent="0.45">
      <c r="A579" s="6">
        <f t="shared" si="72"/>
        <v>2023</v>
      </c>
      <c r="B579" s="6">
        <f t="shared" si="71"/>
        <v>7</v>
      </c>
      <c r="C579" s="7">
        <v>45132</v>
      </c>
      <c r="D579" s="6">
        <f t="shared" si="73"/>
        <v>2</v>
      </c>
      <c r="E579" s="6">
        <f t="shared" si="74"/>
        <v>31</v>
      </c>
      <c r="F579" s="6">
        <f t="shared" si="75"/>
        <v>4</v>
      </c>
      <c r="G579" s="6" t="str">
        <f t="shared" si="69"/>
        <v>07</v>
      </c>
      <c r="H579" s="6" t="str">
        <f t="shared" si="70"/>
        <v>07월 4주차</v>
      </c>
      <c r="I579" s="6" t="str">
        <f>H579&amp;" ("&amp;TEXT(C578,"m/dd")&amp;"~"&amp;TEXT(C584,"m/dd")&amp;")"</f>
        <v>07월 4주차 (7/24~7/30)</v>
      </c>
      <c r="J579" s="6" t="str">
        <f>A578&amp;"년 "&amp;WEEKNUM(C578,2)&amp;"주차"&amp;" ("&amp;TEXT(C578,"m/dd")&amp;"~"&amp;TEXT(C584,"m/dd")&amp;")"</f>
        <v>2023년 31주차 (7/24~7/30)</v>
      </c>
      <c r="K579" s="6">
        <f t="shared" si="76"/>
        <v>2023</v>
      </c>
      <c r="L579" s="6">
        <f t="shared" si="77"/>
        <v>31</v>
      </c>
    </row>
    <row r="580" spans="1:12" x14ac:dyDescent="0.45">
      <c r="A580" s="6">
        <f t="shared" si="72"/>
        <v>2023</v>
      </c>
      <c r="B580" s="6">
        <f t="shared" si="71"/>
        <v>7</v>
      </c>
      <c r="C580" s="7">
        <v>45133</v>
      </c>
      <c r="D580" s="6">
        <f t="shared" si="73"/>
        <v>3</v>
      </c>
      <c r="E580" s="6">
        <f t="shared" si="74"/>
        <v>31</v>
      </c>
      <c r="F580" s="6">
        <f t="shared" si="75"/>
        <v>4</v>
      </c>
      <c r="G580" s="6" t="str">
        <f t="shared" si="69"/>
        <v>07</v>
      </c>
      <c r="H580" s="6" t="str">
        <f t="shared" si="70"/>
        <v>07월 4주차</v>
      </c>
      <c r="I580" s="6" t="str">
        <f>H580&amp;" ("&amp;TEXT(C578,"m/dd")&amp;"~"&amp;TEXT(C584,"m/dd")&amp;")"</f>
        <v>07월 4주차 (7/24~7/30)</v>
      </c>
      <c r="J580" s="6" t="str">
        <f>A578&amp;"년 "&amp;WEEKNUM(C578,2)&amp;"주차"&amp;" ("&amp;TEXT(C578,"m/dd")&amp;"~"&amp;TEXT(C584,"m/dd")&amp;")"</f>
        <v>2023년 31주차 (7/24~7/30)</v>
      </c>
      <c r="K580" s="6">
        <f t="shared" si="76"/>
        <v>2023</v>
      </c>
      <c r="L580" s="6">
        <f t="shared" si="77"/>
        <v>31</v>
      </c>
    </row>
    <row r="581" spans="1:12" x14ac:dyDescent="0.45">
      <c r="A581" s="6">
        <f t="shared" si="72"/>
        <v>2023</v>
      </c>
      <c r="B581" s="6">
        <f t="shared" si="71"/>
        <v>7</v>
      </c>
      <c r="C581" s="7">
        <v>45134</v>
      </c>
      <c r="D581" s="6">
        <f t="shared" si="73"/>
        <v>4</v>
      </c>
      <c r="E581" s="6">
        <f t="shared" si="74"/>
        <v>31</v>
      </c>
      <c r="F581" s="6">
        <f t="shared" si="75"/>
        <v>4</v>
      </c>
      <c r="G581" s="6" t="str">
        <f t="shared" si="69"/>
        <v>07</v>
      </c>
      <c r="H581" s="6" t="str">
        <f t="shared" si="70"/>
        <v>07월 4주차</v>
      </c>
      <c r="I581" s="6" t="str">
        <f>H581&amp;" ("&amp;TEXT(C578,"m/dd")&amp;"~"&amp;TEXT(C584,"m/dd")&amp;")"</f>
        <v>07월 4주차 (7/24~7/30)</v>
      </c>
      <c r="J581" s="6" t="str">
        <f>A578&amp;"년 "&amp;WEEKNUM(C578,2)&amp;"주차"&amp;" ("&amp;TEXT(C578,"m/dd")&amp;"~"&amp;TEXT(C584,"m/dd")&amp;")"</f>
        <v>2023년 31주차 (7/24~7/30)</v>
      </c>
      <c r="K581" s="6">
        <f t="shared" si="76"/>
        <v>2023</v>
      </c>
      <c r="L581" s="6">
        <f t="shared" si="77"/>
        <v>31</v>
      </c>
    </row>
    <row r="582" spans="1:12" x14ac:dyDescent="0.45">
      <c r="A582" s="6">
        <f t="shared" si="72"/>
        <v>2023</v>
      </c>
      <c r="B582" s="6">
        <f t="shared" si="71"/>
        <v>7</v>
      </c>
      <c r="C582" s="7">
        <v>45135</v>
      </c>
      <c r="D582" s="6">
        <f t="shared" si="73"/>
        <v>5</v>
      </c>
      <c r="E582" s="6">
        <f t="shared" si="74"/>
        <v>31</v>
      </c>
      <c r="F582" s="6">
        <f t="shared" si="75"/>
        <v>4</v>
      </c>
      <c r="G582" s="6" t="str">
        <f t="shared" si="69"/>
        <v>07</v>
      </c>
      <c r="H582" s="6" t="str">
        <f t="shared" si="70"/>
        <v>07월 4주차</v>
      </c>
      <c r="I582" s="6" t="str">
        <f>H582&amp;" ("&amp;TEXT(C578,"m/dd")&amp;"~"&amp;TEXT(C584,"m/dd")&amp;")"</f>
        <v>07월 4주차 (7/24~7/30)</v>
      </c>
      <c r="J582" s="6" t="str">
        <f>A578&amp;"년 "&amp;WEEKNUM(C578,2)&amp;"주차"&amp;" ("&amp;TEXT(C578,"m/dd")&amp;"~"&amp;TEXT(C584,"m/dd")&amp;")"</f>
        <v>2023년 31주차 (7/24~7/30)</v>
      </c>
      <c r="K582" s="6">
        <f t="shared" si="76"/>
        <v>2023</v>
      </c>
      <c r="L582" s="6">
        <f t="shared" si="77"/>
        <v>31</v>
      </c>
    </row>
    <row r="583" spans="1:12" x14ac:dyDescent="0.45">
      <c r="A583" s="6">
        <f t="shared" si="72"/>
        <v>2023</v>
      </c>
      <c r="B583" s="6">
        <f t="shared" si="71"/>
        <v>7</v>
      </c>
      <c r="C583" s="7">
        <v>45136</v>
      </c>
      <c r="D583" s="6">
        <f t="shared" si="73"/>
        <v>6</v>
      </c>
      <c r="E583" s="6">
        <f t="shared" si="74"/>
        <v>31</v>
      </c>
      <c r="F583" s="6">
        <f t="shared" si="75"/>
        <v>4</v>
      </c>
      <c r="G583" s="6" t="str">
        <f t="shared" si="69"/>
        <v>07</v>
      </c>
      <c r="H583" s="6" t="str">
        <f t="shared" si="70"/>
        <v>07월 4주차</v>
      </c>
      <c r="I583" s="6" t="str">
        <f>H583&amp;" ("&amp;TEXT(C578,"m/dd")&amp;"~"&amp;TEXT(C584,"m/dd")&amp;")"</f>
        <v>07월 4주차 (7/24~7/30)</v>
      </c>
      <c r="J583" s="6" t="str">
        <f>A578&amp;"년 "&amp;WEEKNUM(C578,2)&amp;"주차"&amp;" ("&amp;TEXT(C578,"m/dd")&amp;"~"&amp;TEXT(C584,"m/dd")&amp;")"</f>
        <v>2023년 31주차 (7/24~7/30)</v>
      </c>
      <c r="K583" s="6">
        <f t="shared" si="76"/>
        <v>2023</v>
      </c>
      <c r="L583" s="6">
        <f t="shared" si="77"/>
        <v>31</v>
      </c>
    </row>
    <row r="584" spans="1:12" x14ac:dyDescent="0.45">
      <c r="A584" s="6">
        <f t="shared" si="72"/>
        <v>2023</v>
      </c>
      <c r="B584" s="6">
        <f t="shared" si="71"/>
        <v>7</v>
      </c>
      <c r="C584" s="7">
        <v>45137</v>
      </c>
      <c r="D584" s="6">
        <f t="shared" si="73"/>
        <v>7</v>
      </c>
      <c r="E584" s="6">
        <f t="shared" si="74"/>
        <v>31</v>
      </c>
      <c r="F584" s="6">
        <f t="shared" si="75"/>
        <v>4</v>
      </c>
      <c r="G584" s="6" t="str">
        <f t="shared" si="69"/>
        <v>07</v>
      </c>
      <c r="H584" s="6" t="str">
        <f t="shared" si="70"/>
        <v>07월 4주차</v>
      </c>
      <c r="I584" s="6" t="str">
        <f>H584&amp;" ("&amp;TEXT(C578,"m/dd")&amp;"~"&amp;TEXT(C584,"m/dd")&amp;")"</f>
        <v>07월 4주차 (7/24~7/30)</v>
      </c>
      <c r="J584" s="6" t="str">
        <f>A578&amp;"년 "&amp;WEEKNUM(C578,2)&amp;"주차"&amp;" ("&amp;TEXT(C578,"m/dd")&amp;"~"&amp;TEXT(C584,"m/dd")&amp;")"</f>
        <v>2023년 31주차 (7/24~7/30)</v>
      </c>
      <c r="K584" s="6">
        <f t="shared" si="76"/>
        <v>2023</v>
      </c>
      <c r="L584" s="6">
        <f t="shared" si="77"/>
        <v>31</v>
      </c>
    </row>
    <row r="585" spans="1:12" x14ac:dyDescent="0.45">
      <c r="A585" s="6">
        <f t="shared" si="72"/>
        <v>2023</v>
      </c>
      <c r="B585" s="6">
        <v>8</v>
      </c>
      <c r="C585" s="7">
        <v>45138</v>
      </c>
      <c r="D585" s="6">
        <f t="shared" si="73"/>
        <v>1</v>
      </c>
      <c r="E585" s="6">
        <f t="shared" si="74"/>
        <v>32</v>
      </c>
      <c r="F585" s="6">
        <v>1</v>
      </c>
      <c r="G585" s="6" t="str">
        <f t="shared" si="69"/>
        <v>08</v>
      </c>
      <c r="H585" s="6" t="str">
        <f t="shared" si="70"/>
        <v>08월 1주차</v>
      </c>
      <c r="I585" s="6" t="str">
        <f>H585&amp;" ("&amp;TEXT(C585,"m/dd")&amp;"~"&amp;TEXT(C591,"m/dd")&amp;")"</f>
        <v>08월 1주차 (7/31~8/06)</v>
      </c>
      <c r="J585" s="6" t="str">
        <f>A585&amp;"년 "&amp;WEEKNUM(C585,2)&amp;"주차"&amp;" ("&amp;TEXT(C585,"m/dd")&amp;"~"&amp;TEXT(C591,"m/dd")&amp;")"</f>
        <v>2023년 32주차 (7/31~8/06)</v>
      </c>
      <c r="K585" s="6">
        <f t="shared" si="76"/>
        <v>2023</v>
      </c>
      <c r="L585" s="6">
        <f t="shared" si="77"/>
        <v>32</v>
      </c>
    </row>
    <row r="586" spans="1:12" x14ac:dyDescent="0.45">
      <c r="A586" s="6">
        <f t="shared" si="72"/>
        <v>2023</v>
      </c>
      <c r="B586" s="6">
        <f t="shared" ref="B586:B591" si="78">MONTH(C586)</f>
        <v>8</v>
      </c>
      <c r="C586" s="7">
        <v>45139</v>
      </c>
      <c r="D586" s="6">
        <f t="shared" si="73"/>
        <v>2</v>
      </c>
      <c r="E586" s="6">
        <f t="shared" si="74"/>
        <v>32</v>
      </c>
      <c r="F586" s="6">
        <v>1</v>
      </c>
      <c r="G586" s="6" t="str">
        <f t="shared" si="69"/>
        <v>08</v>
      </c>
      <c r="H586" s="6" t="str">
        <f t="shared" si="70"/>
        <v>08월 1주차</v>
      </c>
      <c r="I586" s="6" t="str">
        <f>H586&amp;" ("&amp;TEXT(C585,"m/dd")&amp;"~"&amp;TEXT(C591,"m/dd")&amp;")"</f>
        <v>08월 1주차 (7/31~8/06)</v>
      </c>
      <c r="J586" s="6" t="str">
        <f>A585&amp;"년 "&amp;WEEKNUM(C585,2)&amp;"주차"&amp;" ("&amp;TEXT(C585,"m/dd")&amp;"~"&amp;TEXT(C591,"m/dd")&amp;")"</f>
        <v>2023년 32주차 (7/31~8/06)</v>
      </c>
      <c r="K586" s="6">
        <f t="shared" si="76"/>
        <v>2023</v>
      </c>
      <c r="L586" s="6">
        <f t="shared" si="77"/>
        <v>32</v>
      </c>
    </row>
    <row r="587" spans="1:12" x14ac:dyDescent="0.45">
      <c r="A587" s="6">
        <f t="shared" si="72"/>
        <v>2023</v>
      </c>
      <c r="B587" s="6">
        <f t="shared" si="78"/>
        <v>8</v>
      </c>
      <c r="C587" s="7">
        <v>45140</v>
      </c>
      <c r="D587" s="6">
        <f t="shared" si="73"/>
        <v>3</v>
      </c>
      <c r="E587" s="6">
        <f t="shared" si="74"/>
        <v>32</v>
      </c>
      <c r="F587" s="6">
        <v>1</v>
      </c>
      <c r="G587" s="6" t="str">
        <f t="shared" ref="G587:G650" si="79">IF(LEN(B587)=1,_xlfn.CONCAT(0,B587),B587)</f>
        <v>08</v>
      </c>
      <c r="H587" s="6" t="str">
        <f t="shared" ref="H587:H650" si="80">G587&amp;"월 "&amp;F587&amp;"주차"</f>
        <v>08월 1주차</v>
      </c>
      <c r="I587" s="6" t="str">
        <f>H587&amp;" ("&amp;TEXT(C585,"m/dd")&amp;"~"&amp;TEXT(C591,"m/dd")&amp;")"</f>
        <v>08월 1주차 (7/31~8/06)</v>
      </c>
      <c r="J587" s="6" t="str">
        <f>A585&amp;"년 "&amp;WEEKNUM(C585,2)&amp;"주차"&amp;" ("&amp;TEXT(C585,"m/dd")&amp;"~"&amp;TEXT(C591,"m/dd")&amp;")"</f>
        <v>2023년 32주차 (7/31~8/06)</v>
      </c>
      <c r="K587" s="6">
        <f t="shared" si="76"/>
        <v>2023</v>
      </c>
      <c r="L587" s="6">
        <f t="shared" si="77"/>
        <v>32</v>
      </c>
    </row>
    <row r="588" spans="1:12" x14ac:dyDescent="0.45">
      <c r="A588" s="6">
        <f t="shared" si="72"/>
        <v>2023</v>
      </c>
      <c r="B588" s="6">
        <f t="shared" si="78"/>
        <v>8</v>
      </c>
      <c r="C588" s="7">
        <v>45141</v>
      </c>
      <c r="D588" s="6">
        <f t="shared" si="73"/>
        <v>4</v>
      </c>
      <c r="E588" s="6">
        <f t="shared" si="74"/>
        <v>32</v>
      </c>
      <c r="F588" s="6">
        <v>1</v>
      </c>
      <c r="G588" s="6" t="str">
        <f t="shared" si="79"/>
        <v>08</v>
      </c>
      <c r="H588" s="6" t="str">
        <f t="shared" si="80"/>
        <v>08월 1주차</v>
      </c>
      <c r="I588" s="6" t="str">
        <f>H588&amp;" ("&amp;TEXT(C585,"m/dd")&amp;"~"&amp;TEXT(C591,"m/dd")&amp;")"</f>
        <v>08월 1주차 (7/31~8/06)</v>
      </c>
      <c r="J588" s="6" t="str">
        <f>A585&amp;"년 "&amp;WEEKNUM(C585,2)&amp;"주차"&amp;" ("&amp;TEXT(C585,"m/dd")&amp;"~"&amp;TEXT(C591,"m/dd")&amp;")"</f>
        <v>2023년 32주차 (7/31~8/06)</v>
      </c>
      <c r="K588" s="6">
        <f t="shared" si="76"/>
        <v>2023</v>
      </c>
      <c r="L588" s="6">
        <f t="shared" si="77"/>
        <v>32</v>
      </c>
    </row>
    <row r="589" spans="1:12" x14ac:dyDescent="0.45">
      <c r="A589" s="6">
        <f t="shared" si="72"/>
        <v>2023</v>
      </c>
      <c r="B589" s="6">
        <f t="shared" si="78"/>
        <v>8</v>
      </c>
      <c r="C589" s="7">
        <v>45142</v>
      </c>
      <c r="D589" s="6">
        <f t="shared" si="73"/>
        <v>5</v>
      </c>
      <c r="E589" s="6">
        <f t="shared" si="74"/>
        <v>32</v>
      </c>
      <c r="F589" s="6">
        <v>1</v>
      </c>
      <c r="G589" s="6" t="str">
        <f t="shared" si="79"/>
        <v>08</v>
      </c>
      <c r="H589" s="6" t="str">
        <f t="shared" si="80"/>
        <v>08월 1주차</v>
      </c>
      <c r="I589" s="6" t="str">
        <f>H589&amp;" ("&amp;TEXT(C585,"m/dd")&amp;"~"&amp;TEXT(C591,"m/dd")&amp;")"</f>
        <v>08월 1주차 (7/31~8/06)</v>
      </c>
      <c r="J589" s="6" t="str">
        <f>A585&amp;"년 "&amp;WEEKNUM(C585,2)&amp;"주차"&amp;" ("&amp;TEXT(C585,"m/dd")&amp;"~"&amp;TEXT(C591,"m/dd")&amp;")"</f>
        <v>2023년 32주차 (7/31~8/06)</v>
      </c>
      <c r="K589" s="6">
        <f t="shared" si="76"/>
        <v>2023</v>
      </c>
      <c r="L589" s="6">
        <f t="shared" si="77"/>
        <v>32</v>
      </c>
    </row>
    <row r="590" spans="1:12" x14ac:dyDescent="0.45">
      <c r="A590" s="6">
        <f t="shared" si="72"/>
        <v>2023</v>
      </c>
      <c r="B590" s="6">
        <f t="shared" si="78"/>
        <v>8</v>
      </c>
      <c r="C590" s="7">
        <v>45143</v>
      </c>
      <c r="D590" s="6">
        <f t="shared" si="73"/>
        <v>6</v>
      </c>
      <c r="E590" s="6">
        <f t="shared" si="74"/>
        <v>32</v>
      </c>
      <c r="F590" s="6">
        <v>1</v>
      </c>
      <c r="G590" s="6" t="str">
        <f t="shared" si="79"/>
        <v>08</v>
      </c>
      <c r="H590" s="6" t="str">
        <f t="shared" si="80"/>
        <v>08월 1주차</v>
      </c>
      <c r="I590" s="6" t="str">
        <f>H590&amp;" ("&amp;TEXT(C585,"m/dd")&amp;"~"&amp;TEXT(C591,"m/dd")&amp;")"</f>
        <v>08월 1주차 (7/31~8/06)</v>
      </c>
      <c r="J590" s="6" t="str">
        <f>A585&amp;"년 "&amp;WEEKNUM(C585,2)&amp;"주차"&amp;" ("&amp;TEXT(C585,"m/dd")&amp;"~"&amp;TEXT(C591,"m/dd")&amp;")"</f>
        <v>2023년 32주차 (7/31~8/06)</v>
      </c>
      <c r="K590" s="6">
        <f t="shared" si="76"/>
        <v>2023</v>
      </c>
      <c r="L590" s="6">
        <f t="shared" si="77"/>
        <v>32</v>
      </c>
    </row>
    <row r="591" spans="1:12" x14ac:dyDescent="0.45">
      <c r="A591" s="6">
        <f t="shared" ref="A591:A654" si="81">YEAR(C591)</f>
        <v>2023</v>
      </c>
      <c r="B591" s="6">
        <f t="shared" si="78"/>
        <v>8</v>
      </c>
      <c r="C591" s="7">
        <v>45144</v>
      </c>
      <c r="D591" s="6">
        <f t="shared" si="73"/>
        <v>7</v>
      </c>
      <c r="E591" s="6">
        <f t="shared" si="74"/>
        <v>32</v>
      </c>
      <c r="F591" s="6">
        <v>1</v>
      </c>
      <c r="G591" s="6" t="str">
        <f t="shared" si="79"/>
        <v>08</v>
      </c>
      <c r="H591" s="6" t="str">
        <f t="shared" si="80"/>
        <v>08월 1주차</v>
      </c>
      <c r="I591" s="6" t="str">
        <f>H591&amp;" ("&amp;TEXT(C585,"m/dd")&amp;"~"&amp;TEXT(C591,"m/dd")&amp;")"</f>
        <v>08월 1주차 (7/31~8/06)</v>
      </c>
      <c r="J591" s="6" t="str">
        <f>A585&amp;"년 "&amp;WEEKNUM(C585,2)&amp;"주차"&amp;" ("&amp;TEXT(C585,"m/dd")&amp;"~"&amp;TEXT(C591,"m/dd")&amp;")"</f>
        <v>2023년 32주차 (7/31~8/06)</v>
      </c>
      <c r="K591" s="6">
        <f t="shared" si="76"/>
        <v>2023</v>
      </c>
      <c r="L591" s="6">
        <f t="shared" si="77"/>
        <v>32</v>
      </c>
    </row>
    <row r="592" spans="1:12" x14ac:dyDescent="0.45">
      <c r="A592" s="6">
        <f t="shared" si="81"/>
        <v>2023</v>
      </c>
      <c r="B592" s="6">
        <v>8</v>
      </c>
      <c r="C592" s="7">
        <v>45145</v>
      </c>
      <c r="D592" s="6">
        <f t="shared" si="73"/>
        <v>1</v>
      </c>
      <c r="E592" s="6">
        <f t="shared" si="74"/>
        <v>33</v>
      </c>
      <c r="F592" s="6">
        <v>2</v>
      </c>
      <c r="G592" s="6" t="str">
        <f t="shared" si="79"/>
        <v>08</v>
      </c>
      <c r="H592" s="6" t="str">
        <f t="shared" si="80"/>
        <v>08월 2주차</v>
      </c>
      <c r="I592" s="6" t="str">
        <f>H592&amp;" ("&amp;TEXT(C592,"m/dd")&amp;"~"&amp;TEXT(C598,"m/dd")&amp;")"</f>
        <v>08월 2주차 (8/07~8/13)</v>
      </c>
      <c r="J592" s="6" t="str">
        <f>A592&amp;"년 "&amp;WEEKNUM(C592,2)&amp;"주차"&amp;" ("&amp;TEXT(C592,"m/dd")&amp;"~"&amp;TEXT(C598,"m/dd")&amp;")"</f>
        <v>2023년 33주차 (8/07~8/13)</v>
      </c>
      <c r="K592" s="6">
        <f t="shared" si="76"/>
        <v>2023</v>
      </c>
      <c r="L592" s="6">
        <f t="shared" si="77"/>
        <v>33</v>
      </c>
    </row>
    <row r="593" spans="1:12" x14ac:dyDescent="0.45">
      <c r="A593" s="6">
        <f t="shared" si="81"/>
        <v>2023</v>
      </c>
      <c r="B593" s="6">
        <f t="shared" ref="B593:B646" si="82">MONTH(C593)</f>
        <v>8</v>
      </c>
      <c r="C593" s="7">
        <v>45146</v>
      </c>
      <c r="D593" s="6">
        <f t="shared" si="73"/>
        <v>2</v>
      </c>
      <c r="E593" s="6">
        <f t="shared" si="74"/>
        <v>33</v>
      </c>
      <c r="F593" s="6">
        <v>2</v>
      </c>
      <c r="G593" s="6" t="str">
        <f t="shared" si="79"/>
        <v>08</v>
      </c>
      <c r="H593" s="6" t="str">
        <f t="shared" si="80"/>
        <v>08월 2주차</v>
      </c>
      <c r="I593" s="6" t="str">
        <f>H593&amp;" ("&amp;TEXT(C592,"m/dd")&amp;"~"&amp;TEXT(C598,"m/dd")&amp;")"</f>
        <v>08월 2주차 (8/07~8/13)</v>
      </c>
      <c r="J593" s="6" t="str">
        <f>A592&amp;"년 "&amp;WEEKNUM(C592,2)&amp;"주차"&amp;" ("&amp;TEXT(C592,"m/dd")&amp;"~"&amp;TEXT(C598,"m/dd")&amp;")"</f>
        <v>2023년 33주차 (8/07~8/13)</v>
      </c>
      <c r="K593" s="6">
        <f t="shared" si="76"/>
        <v>2023</v>
      </c>
      <c r="L593" s="6">
        <f t="shared" si="77"/>
        <v>33</v>
      </c>
    </row>
    <row r="594" spans="1:12" x14ac:dyDescent="0.45">
      <c r="A594" s="6">
        <f t="shared" si="81"/>
        <v>2023</v>
      </c>
      <c r="B594" s="6">
        <f t="shared" si="82"/>
        <v>8</v>
      </c>
      <c r="C594" s="7">
        <v>45147</v>
      </c>
      <c r="D594" s="6">
        <f t="shared" si="73"/>
        <v>3</v>
      </c>
      <c r="E594" s="6">
        <f t="shared" si="74"/>
        <v>33</v>
      </c>
      <c r="F594" s="6">
        <v>2</v>
      </c>
      <c r="G594" s="6" t="str">
        <f t="shared" si="79"/>
        <v>08</v>
      </c>
      <c r="H594" s="6" t="str">
        <f t="shared" si="80"/>
        <v>08월 2주차</v>
      </c>
      <c r="I594" s="6" t="str">
        <f>H594&amp;" ("&amp;TEXT(C592,"m/dd")&amp;"~"&amp;TEXT(C598,"m/dd")&amp;")"</f>
        <v>08월 2주차 (8/07~8/13)</v>
      </c>
      <c r="J594" s="6" t="str">
        <f>A592&amp;"년 "&amp;WEEKNUM(C592,2)&amp;"주차"&amp;" ("&amp;TEXT(C592,"m/dd")&amp;"~"&amp;TEXT(C598,"m/dd")&amp;")"</f>
        <v>2023년 33주차 (8/07~8/13)</v>
      </c>
      <c r="K594" s="6">
        <f t="shared" si="76"/>
        <v>2023</v>
      </c>
      <c r="L594" s="6">
        <f t="shared" si="77"/>
        <v>33</v>
      </c>
    </row>
    <row r="595" spans="1:12" x14ac:dyDescent="0.45">
      <c r="A595" s="6">
        <f t="shared" si="81"/>
        <v>2023</v>
      </c>
      <c r="B595" s="6">
        <f t="shared" si="82"/>
        <v>8</v>
      </c>
      <c r="C595" s="7">
        <v>45148</v>
      </c>
      <c r="D595" s="6">
        <f t="shared" si="73"/>
        <v>4</v>
      </c>
      <c r="E595" s="6">
        <f t="shared" si="74"/>
        <v>33</v>
      </c>
      <c r="F595" s="6">
        <v>2</v>
      </c>
      <c r="G595" s="6" t="str">
        <f t="shared" si="79"/>
        <v>08</v>
      </c>
      <c r="H595" s="6" t="str">
        <f t="shared" si="80"/>
        <v>08월 2주차</v>
      </c>
      <c r="I595" s="6" t="str">
        <f>H595&amp;" ("&amp;TEXT(C592,"m/dd")&amp;"~"&amp;TEXT(C598,"m/dd")&amp;")"</f>
        <v>08월 2주차 (8/07~8/13)</v>
      </c>
      <c r="J595" s="6" t="str">
        <f>A592&amp;"년 "&amp;WEEKNUM(C592,2)&amp;"주차"&amp;" ("&amp;TEXT(C592,"m/dd")&amp;"~"&amp;TEXT(C598,"m/dd")&amp;")"</f>
        <v>2023년 33주차 (8/07~8/13)</v>
      </c>
      <c r="K595" s="6">
        <f t="shared" si="76"/>
        <v>2023</v>
      </c>
      <c r="L595" s="6">
        <f t="shared" si="77"/>
        <v>33</v>
      </c>
    </row>
    <row r="596" spans="1:12" x14ac:dyDescent="0.45">
      <c r="A596" s="6">
        <f t="shared" si="81"/>
        <v>2023</v>
      </c>
      <c r="B596" s="6">
        <f t="shared" si="82"/>
        <v>8</v>
      </c>
      <c r="C596" s="7">
        <v>45149</v>
      </c>
      <c r="D596" s="6">
        <f t="shared" si="73"/>
        <v>5</v>
      </c>
      <c r="E596" s="6">
        <f t="shared" si="74"/>
        <v>33</v>
      </c>
      <c r="F596" s="6">
        <v>2</v>
      </c>
      <c r="G596" s="6" t="str">
        <f t="shared" si="79"/>
        <v>08</v>
      </c>
      <c r="H596" s="6" t="str">
        <f t="shared" si="80"/>
        <v>08월 2주차</v>
      </c>
      <c r="I596" s="6" t="str">
        <f>H596&amp;" ("&amp;TEXT(C592,"m/dd")&amp;"~"&amp;TEXT(C598,"m/dd")&amp;")"</f>
        <v>08월 2주차 (8/07~8/13)</v>
      </c>
      <c r="J596" s="6" t="str">
        <f>A592&amp;"년 "&amp;WEEKNUM(C592,2)&amp;"주차"&amp;" ("&amp;TEXT(C592,"m/dd")&amp;"~"&amp;TEXT(C598,"m/dd")&amp;")"</f>
        <v>2023년 33주차 (8/07~8/13)</v>
      </c>
      <c r="K596" s="6">
        <f t="shared" si="76"/>
        <v>2023</v>
      </c>
      <c r="L596" s="6">
        <f t="shared" si="77"/>
        <v>33</v>
      </c>
    </row>
    <row r="597" spans="1:12" x14ac:dyDescent="0.45">
      <c r="A597" s="6">
        <f t="shared" si="81"/>
        <v>2023</v>
      </c>
      <c r="B597" s="6">
        <f t="shared" si="82"/>
        <v>8</v>
      </c>
      <c r="C597" s="7">
        <v>45150</v>
      </c>
      <c r="D597" s="6">
        <f t="shared" si="73"/>
        <v>6</v>
      </c>
      <c r="E597" s="6">
        <f t="shared" si="74"/>
        <v>33</v>
      </c>
      <c r="F597" s="6">
        <v>2</v>
      </c>
      <c r="G597" s="6" t="str">
        <f t="shared" si="79"/>
        <v>08</v>
      </c>
      <c r="H597" s="6" t="str">
        <f t="shared" si="80"/>
        <v>08월 2주차</v>
      </c>
      <c r="I597" s="6" t="str">
        <f>H597&amp;" ("&amp;TEXT(C592,"m/dd")&amp;"~"&amp;TEXT(C598,"m/dd")&amp;")"</f>
        <v>08월 2주차 (8/07~8/13)</v>
      </c>
      <c r="J597" s="6" t="str">
        <f>A592&amp;"년 "&amp;WEEKNUM(C592,2)&amp;"주차"&amp;" ("&amp;TEXT(C592,"m/dd")&amp;"~"&amp;TEXT(C598,"m/dd")&amp;")"</f>
        <v>2023년 33주차 (8/07~8/13)</v>
      </c>
      <c r="K597" s="6">
        <f t="shared" si="76"/>
        <v>2023</v>
      </c>
      <c r="L597" s="6">
        <f t="shared" si="77"/>
        <v>33</v>
      </c>
    </row>
    <row r="598" spans="1:12" x14ac:dyDescent="0.45">
      <c r="A598" s="6">
        <f t="shared" si="81"/>
        <v>2023</v>
      </c>
      <c r="B598" s="6">
        <f t="shared" si="82"/>
        <v>8</v>
      </c>
      <c r="C598" s="7">
        <v>45151</v>
      </c>
      <c r="D598" s="6">
        <f t="shared" si="73"/>
        <v>7</v>
      </c>
      <c r="E598" s="6">
        <f t="shared" si="74"/>
        <v>33</v>
      </c>
      <c r="F598" s="6">
        <v>2</v>
      </c>
      <c r="G598" s="6" t="str">
        <f t="shared" si="79"/>
        <v>08</v>
      </c>
      <c r="H598" s="6" t="str">
        <f t="shared" si="80"/>
        <v>08월 2주차</v>
      </c>
      <c r="I598" s="6" t="str">
        <f>H598&amp;" ("&amp;TEXT(C592,"m/dd")&amp;"~"&amp;TEXT(C598,"m/dd")&amp;")"</f>
        <v>08월 2주차 (8/07~8/13)</v>
      </c>
      <c r="J598" s="6" t="str">
        <f>A592&amp;"년 "&amp;WEEKNUM(C592,2)&amp;"주차"&amp;" ("&amp;TEXT(C592,"m/dd")&amp;"~"&amp;TEXT(C598,"m/dd")&amp;")"</f>
        <v>2023년 33주차 (8/07~8/13)</v>
      </c>
      <c r="K598" s="6">
        <f t="shared" si="76"/>
        <v>2023</v>
      </c>
      <c r="L598" s="6">
        <f t="shared" si="77"/>
        <v>33</v>
      </c>
    </row>
    <row r="599" spans="1:12" x14ac:dyDescent="0.45">
      <c r="A599" s="6">
        <f t="shared" si="81"/>
        <v>2023</v>
      </c>
      <c r="B599" s="6">
        <f t="shared" si="82"/>
        <v>8</v>
      </c>
      <c r="C599" s="7">
        <v>45152</v>
      </c>
      <c r="D599" s="6">
        <f t="shared" ref="D599:D662" si="83">WEEKDAY(C599,2)</f>
        <v>1</v>
      </c>
      <c r="E599" s="6">
        <f t="shared" ref="E599:E662" si="84">WEEKNUM(C599,2)</f>
        <v>34</v>
      </c>
      <c r="F599" s="6">
        <v>3</v>
      </c>
      <c r="G599" s="6" t="str">
        <f t="shared" si="79"/>
        <v>08</v>
      </c>
      <c r="H599" s="6" t="str">
        <f t="shared" si="80"/>
        <v>08월 3주차</v>
      </c>
      <c r="I599" s="6" t="str">
        <f>H599&amp;" ("&amp;TEXT(C599,"m/dd")&amp;"~"&amp;TEXT(C605,"m/dd")&amp;")"</f>
        <v>08월 3주차 (8/14~8/20)</v>
      </c>
      <c r="J599" s="6" t="str">
        <f>A599&amp;"년 "&amp;WEEKNUM(C599,2)&amp;"주차"&amp;" ("&amp;TEXT(C599,"m/dd")&amp;"~"&amp;TEXT(C605,"m/dd")&amp;")"</f>
        <v>2023년 34주차 (8/14~8/20)</v>
      </c>
      <c r="K599" s="6">
        <f t="shared" si="76"/>
        <v>2023</v>
      </c>
      <c r="L599" s="6">
        <f t="shared" si="77"/>
        <v>34</v>
      </c>
    </row>
    <row r="600" spans="1:12" x14ac:dyDescent="0.45">
      <c r="A600" s="6">
        <f t="shared" si="81"/>
        <v>2023</v>
      </c>
      <c r="B600" s="6">
        <f t="shared" si="82"/>
        <v>8</v>
      </c>
      <c r="C600" s="7">
        <v>45153</v>
      </c>
      <c r="D600" s="6">
        <f t="shared" si="83"/>
        <v>2</v>
      </c>
      <c r="E600" s="6">
        <f t="shared" si="84"/>
        <v>34</v>
      </c>
      <c r="F600" s="6">
        <v>3</v>
      </c>
      <c r="G600" s="6" t="str">
        <f t="shared" si="79"/>
        <v>08</v>
      </c>
      <c r="H600" s="6" t="str">
        <f t="shared" si="80"/>
        <v>08월 3주차</v>
      </c>
      <c r="I600" s="6" t="str">
        <f>H600&amp;" ("&amp;TEXT(C599,"m/dd")&amp;"~"&amp;TEXT(C605,"m/dd")&amp;")"</f>
        <v>08월 3주차 (8/14~8/20)</v>
      </c>
      <c r="J600" s="6" t="str">
        <f>A599&amp;"년 "&amp;WEEKNUM(C599,2)&amp;"주차"&amp;" ("&amp;TEXT(C599,"m/dd")&amp;"~"&amp;TEXT(C605,"m/dd")&amp;")"</f>
        <v>2023년 34주차 (8/14~8/20)</v>
      </c>
      <c r="K600" s="6">
        <f t="shared" si="76"/>
        <v>2023</v>
      </c>
      <c r="L600" s="6">
        <f t="shared" si="77"/>
        <v>34</v>
      </c>
    </row>
    <row r="601" spans="1:12" x14ac:dyDescent="0.45">
      <c r="A601" s="6">
        <f t="shared" si="81"/>
        <v>2023</v>
      </c>
      <c r="B601" s="6">
        <f t="shared" si="82"/>
        <v>8</v>
      </c>
      <c r="C601" s="7">
        <v>45154</v>
      </c>
      <c r="D601" s="6">
        <f t="shared" si="83"/>
        <v>3</v>
      </c>
      <c r="E601" s="6">
        <f t="shared" si="84"/>
        <v>34</v>
      </c>
      <c r="F601" s="6">
        <v>3</v>
      </c>
      <c r="G601" s="6" t="str">
        <f t="shared" si="79"/>
        <v>08</v>
      </c>
      <c r="H601" s="6" t="str">
        <f t="shared" si="80"/>
        <v>08월 3주차</v>
      </c>
      <c r="I601" s="6" t="str">
        <f>H601&amp;" ("&amp;TEXT(C599,"m/dd")&amp;"~"&amp;TEXT(C605,"m/dd")&amp;")"</f>
        <v>08월 3주차 (8/14~8/20)</v>
      </c>
      <c r="J601" s="6" t="str">
        <f>A599&amp;"년 "&amp;WEEKNUM(C599,2)&amp;"주차"&amp;" ("&amp;TEXT(C599,"m/dd")&amp;"~"&amp;TEXT(C605,"m/dd")&amp;")"</f>
        <v>2023년 34주차 (8/14~8/20)</v>
      </c>
      <c r="K601" s="6">
        <f t="shared" si="76"/>
        <v>2023</v>
      </c>
      <c r="L601" s="6">
        <f t="shared" si="77"/>
        <v>34</v>
      </c>
    </row>
    <row r="602" spans="1:12" x14ac:dyDescent="0.45">
      <c r="A602" s="6">
        <f t="shared" si="81"/>
        <v>2023</v>
      </c>
      <c r="B602" s="6">
        <f t="shared" si="82"/>
        <v>8</v>
      </c>
      <c r="C602" s="7">
        <v>45155</v>
      </c>
      <c r="D602" s="6">
        <f t="shared" si="83"/>
        <v>4</v>
      </c>
      <c r="E602" s="6">
        <f t="shared" si="84"/>
        <v>34</v>
      </c>
      <c r="F602" s="6">
        <v>3</v>
      </c>
      <c r="G602" s="6" t="str">
        <f t="shared" si="79"/>
        <v>08</v>
      </c>
      <c r="H602" s="6" t="str">
        <f t="shared" si="80"/>
        <v>08월 3주차</v>
      </c>
      <c r="I602" s="6" t="str">
        <f>H602&amp;" ("&amp;TEXT(C599,"m/dd")&amp;"~"&amp;TEXT(C605,"m/dd")&amp;")"</f>
        <v>08월 3주차 (8/14~8/20)</v>
      </c>
      <c r="J602" s="6" t="str">
        <f>A599&amp;"년 "&amp;WEEKNUM(C599,2)&amp;"주차"&amp;" ("&amp;TEXT(C599,"m/dd")&amp;"~"&amp;TEXT(C605,"m/dd")&amp;")"</f>
        <v>2023년 34주차 (8/14~8/20)</v>
      </c>
      <c r="K602" s="6">
        <f t="shared" si="76"/>
        <v>2023</v>
      </c>
      <c r="L602" s="6">
        <f t="shared" si="77"/>
        <v>34</v>
      </c>
    </row>
    <row r="603" spans="1:12" x14ac:dyDescent="0.45">
      <c r="A603" s="6">
        <f t="shared" si="81"/>
        <v>2023</v>
      </c>
      <c r="B603" s="6">
        <f t="shared" si="82"/>
        <v>8</v>
      </c>
      <c r="C603" s="7">
        <v>45156</v>
      </c>
      <c r="D603" s="6">
        <f t="shared" si="83"/>
        <v>5</v>
      </c>
      <c r="E603" s="6">
        <f t="shared" si="84"/>
        <v>34</v>
      </c>
      <c r="F603" s="6">
        <v>3</v>
      </c>
      <c r="G603" s="6" t="str">
        <f t="shared" si="79"/>
        <v>08</v>
      </c>
      <c r="H603" s="6" t="str">
        <f t="shared" si="80"/>
        <v>08월 3주차</v>
      </c>
      <c r="I603" s="6" t="str">
        <f>H603&amp;" ("&amp;TEXT(C599,"m/dd")&amp;"~"&amp;TEXT(C605,"m/dd")&amp;")"</f>
        <v>08월 3주차 (8/14~8/20)</v>
      </c>
      <c r="J603" s="6" t="str">
        <f>A599&amp;"년 "&amp;WEEKNUM(C599,2)&amp;"주차"&amp;" ("&amp;TEXT(C599,"m/dd")&amp;"~"&amp;TEXT(C605,"m/dd")&amp;")"</f>
        <v>2023년 34주차 (8/14~8/20)</v>
      </c>
      <c r="K603" s="6">
        <f t="shared" si="76"/>
        <v>2023</v>
      </c>
      <c r="L603" s="6">
        <f t="shared" si="77"/>
        <v>34</v>
      </c>
    </row>
    <row r="604" spans="1:12" x14ac:dyDescent="0.45">
      <c r="A604" s="6">
        <f t="shared" si="81"/>
        <v>2023</v>
      </c>
      <c r="B604" s="6">
        <f t="shared" si="82"/>
        <v>8</v>
      </c>
      <c r="C604" s="7">
        <v>45157</v>
      </c>
      <c r="D604" s="6">
        <f t="shared" si="83"/>
        <v>6</v>
      </c>
      <c r="E604" s="6">
        <f t="shared" si="84"/>
        <v>34</v>
      </c>
      <c r="F604" s="6">
        <v>3</v>
      </c>
      <c r="G604" s="6" t="str">
        <f t="shared" si="79"/>
        <v>08</v>
      </c>
      <c r="H604" s="6" t="str">
        <f t="shared" si="80"/>
        <v>08월 3주차</v>
      </c>
      <c r="I604" s="6" t="str">
        <f>H604&amp;" ("&amp;TEXT(C599,"m/dd")&amp;"~"&amp;TEXT(C605,"m/dd")&amp;")"</f>
        <v>08월 3주차 (8/14~8/20)</v>
      </c>
      <c r="J604" s="6" t="str">
        <f>A599&amp;"년 "&amp;WEEKNUM(C599,2)&amp;"주차"&amp;" ("&amp;TEXT(C599,"m/dd")&amp;"~"&amp;TEXT(C605,"m/dd")&amp;")"</f>
        <v>2023년 34주차 (8/14~8/20)</v>
      </c>
      <c r="K604" s="6">
        <f t="shared" si="76"/>
        <v>2023</v>
      </c>
      <c r="L604" s="6">
        <f t="shared" si="77"/>
        <v>34</v>
      </c>
    </row>
    <row r="605" spans="1:12" x14ac:dyDescent="0.45">
      <c r="A605" s="6">
        <f t="shared" si="81"/>
        <v>2023</v>
      </c>
      <c r="B605" s="6">
        <f t="shared" si="82"/>
        <v>8</v>
      </c>
      <c r="C605" s="7">
        <v>45158</v>
      </c>
      <c r="D605" s="6">
        <f t="shared" si="83"/>
        <v>7</v>
      </c>
      <c r="E605" s="6">
        <f t="shared" si="84"/>
        <v>34</v>
      </c>
      <c r="F605" s="6">
        <v>3</v>
      </c>
      <c r="G605" s="6" t="str">
        <f t="shared" si="79"/>
        <v>08</v>
      </c>
      <c r="H605" s="6" t="str">
        <f t="shared" si="80"/>
        <v>08월 3주차</v>
      </c>
      <c r="I605" s="6" t="str">
        <f>H605&amp;" ("&amp;TEXT(C599,"m/dd")&amp;"~"&amp;TEXT(C605,"m/dd")&amp;")"</f>
        <v>08월 3주차 (8/14~8/20)</v>
      </c>
      <c r="J605" s="6" t="str">
        <f>A599&amp;"년 "&amp;WEEKNUM(C599,2)&amp;"주차"&amp;" ("&amp;TEXT(C599,"m/dd")&amp;"~"&amp;TEXT(C605,"m/dd")&amp;")"</f>
        <v>2023년 34주차 (8/14~8/20)</v>
      </c>
      <c r="K605" s="6">
        <f t="shared" si="76"/>
        <v>2023</v>
      </c>
      <c r="L605" s="6">
        <f t="shared" si="77"/>
        <v>34</v>
      </c>
    </row>
    <row r="606" spans="1:12" x14ac:dyDescent="0.45">
      <c r="A606" s="6">
        <f t="shared" si="81"/>
        <v>2023</v>
      </c>
      <c r="B606" s="6">
        <f t="shared" si="82"/>
        <v>8</v>
      </c>
      <c r="C606" s="7">
        <v>45159</v>
      </c>
      <c r="D606" s="6">
        <f t="shared" si="83"/>
        <v>1</v>
      </c>
      <c r="E606" s="6">
        <f t="shared" si="84"/>
        <v>35</v>
      </c>
      <c r="F606" s="6">
        <v>4</v>
      </c>
      <c r="G606" s="6" t="str">
        <f t="shared" si="79"/>
        <v>08</v>
      </c>
      <c r="H606" s="6" t="str">
        <f t="shared" si="80"/>
        <v>08월 4주차</v>
      </c>
      <c r="I606" s="6" t="str">
        <f>H606&amp;" ("&amp;TEXT(C606,"m/dd")&amp;"~"&amp;TEXT(C612,"m/dd")&amp;")"</f>
        <v>08월 4주차 (8/21~8/27)</v>
      </c>
      <c r="J606" s="6" t="str">
        <f>A606&amp;"년 "&amp;WEEKNUM(C606,2)&amp;"주차"&amp;" ("&amp;TEXT(C606,"m/dd")&amp;"~"&amp;TEXT(C612,"m/dd")&amp;")"</f>
        <v>2023년 35주차 (8/21~8/27)</v>
      </c>
      <c r="K606" s="6">
        <f t="shared" si="76"/>
        <v>2023</v>
      </c>
      <c r="L606" s="6">
        <f t="shared" si="77"/>
        <v>35</v>
      </c>
    </row>
    <row r="607" spans="1:12" x14ac:dyDescent="0.45">
      <c r="A607" s="6">
        <f t="shared" si="81"/>
        <v>2023</v>
      </c>
      <c r="B607" s="6">
        <f t="shared" si="82"/>
        <v>8</v>
      </c>
      <c r="C607" s="7">
        <v>45160</v>
      </c>
      <c r="D607" s="6">
        <f t="shared" si="83"/>
        <v>2</v>
      </c>
      <c r="E607" s="6">
        <f t="shared" si="84"/>
        <v>35</v>
      </c>
      <c r="F607" s="6">
        <v>4</v>
      </c>
      <c r="G607" s="6" t="str">
        <f t="shared" si="79"/>
        <v>08</v>
      </c>
      <c r="H607" s="6" t="str">
        <f t="shared" si="80"/>
        <v>08월 4주차</v>
      </c>
      <c r="I607" s="6" t="str">
        <f>H607&amp;" ("&amp;TEXT(C606,"m/dd")&amp;"~"&amp;TEXT(C612,"m/dd")&amp;")"</f>
        <v>08월 4주차 (8/21~8/27)</v>
      </c>
      <c r="J607" s="6" t="str">
        <f>A606&amp;"년 "&amp;WEEKNUM(C606,2)&amp;"주차"&amp;" ("&amp;TEXT(C606,"m/dd")&amp;"~"&amp;TEXT(C612,"m/dd")&amp;")"</f>
        <v>2023년 35주차 (8/21~8/27)</v>
      </c>
      <c r="K607" s="6">
        <f t="shared" si="76"/>
        <v>2023</v>
      </c>
      <c r="L607" s="6">
        <f t="shared" si="77"/>
        <v>35</v>
      </c>
    </row>
    <row r="608" spans="1:12" x14ac:dyDescent="0.45">
      <c r="A608" s="6">
        <f t="shared" si="81"/>
        <v>2023</v>
      </c>
      <c r="B608" s="6">
        <f t="shared" si="82"/>
        <v>8</v>
      </c>
      <c r="C608" s="7">
        <v>45161</v>
      </c>
      <c r="D608" s="6">
        <f t="shared" si="83"/>
        <v>3</v>
      </c>
      <c r="E608" s="6">
        <f t="shared" si="84"/>
        <v>35</v>
      </c>
      <c r="F608" s="6">
        <v>4</v>
      </c>
      <c r="G608" s="6" t="str">
        <f t="shared" si="79"/>
        <v>08</v>
      </c>
      <c r="H608" s="6" t="str">
        <f t="shared" si="80"/>
        <v>08월 4주차</v>
      </c>
      <c r="I608" s="6" t="str">
        <f>H608&amp;" ("&amp;TEXT(C606,"m/dd")&amp;"~"&amp;TEXT(C612,"m/dd")&amp;")"</f>
        <v>08월 4주차 (8/21~8/27)</v>
      </c>
      <c r="J608" s="6" t="str">
        <f>A606&amp;"년 "&amp;WEEKNUM(C606,2)&amp;"주차"&amp;" ("&amp;TEXT(C606,"m/dd")&amp;"~"&amp;TEXT(C612,"m/dd")&amp;")"</f>
        <v>2023년 35주차 (8/21~8/27)</v>
      </c>
      <c r="K608" s="6">
        <f t="shared" si="76"/>
        <v>2023</v>
      </c>
      <c r="L608" s="6">
        <f t="shared" si="77"/>
        <v>35</v>
      </c>
    </row>
    <row r="609" spans="1:12" x14ac:dyDescent="0.45">
      <c r="A609" s="6">
        <f t="shared" si="81"/>
        <v>2023</v>
      </c>
      <c r="B609" s="6">
        <f t="shared" si="82"/>
        <v>8</v>
      </c>
      <c r="C609" s="7">
        <v>45162</v>
      </c>
      <c r="D609" s="6">
        <f t="shared" si="83"/>
        <v>4</v>
      </c>
      <c r="E609" s="6">
        <f t="shared" si="84"/>
        <v>35</v>
      </c>
      <c r="F609" s="6">
        <v>4</v>
      </c>
      <c r="G609" s="6" t="str">
        <f t="shared" si="79"/>
        <v>08</v>
      </c>
      <c r="H609" s="6" t="str">
        <f t="shared" si="80"/>
        <v>08월 4주차</v>
      </c>
      <c r="I609" s="6" t="str">
        <f>H609&amp;" ("&amp;TEXT(C606,"m/dd")&amp;"~"&amp;TEXT(C612,"m/dd")&amp;")"</f>
        <v>08월 4주차 (8/21~8/27)</v>
      </c>
      <c r="J609" s="6" t="str">
        <f>A606&amp;"년 "&amp;WEEKNUM(C606,2)&amp;"주차"&amp;" ("&amp;TEXT(C606,"m/dd")&amp;"~"&amp;TEXT(C612,"m/dd")&amp;")"</f>
        <v>2023년 35주차 (8/21~8/27)</v>
      </c>
      <c r="K609" s="6">
        <f t="shared" si="76"/>
        <v>2023</v>
      </c>
      <c r="L609" s="6">
        <f t="shared" si="77"/>
        <v>35</v>
      </c>
    </row>
    <row r="610" spans="1:12" x14ac:dyDescent="0.45">
      <c r="A610" s="6">
        <f t="shared" si="81"/>
        <v>2023</v>
      </c>
      <c r="B610" s="6">
        <f t="shared" si="82"/>
        <v>8</v>
      </c>
      <c r="C610" s="7">
        <v>45163</v>
      </c>
      <c r="D610" s="6">
        <f t="shared" si="83"/>
        <v>5</v>
      </c>
      <c r="E610" s="6">
        <f t="shared" si="84"/>
        <v>35</v>
      </c>
      <c r="F610" s="6">
        <v>4</v>
      </c>
      <c r="G610" s="6" t="str">
        <f t="shared" si="79"/>
        <v>08</v>
      </c>
      <c r="H610" s="6" t="str">
        <f t="shared" si="80"/>
        <v>08월 4주차</v>
      </c>
      <c r="I610" s="6" t="str">
        <f>H610&amp;" ("&amp;TEXT(C606,"m/dd")&amp;"~"&amp;TEXT(C612,"m/dd")&amp;")"</f>
        <v>08월 4주차 (8/21~8/27)</v>
      </c>
      <c r="J610" s="6" t="str">
        <f>A606&amp;"년 "&amp;WEEKNUM(C606,2)&amp;"주차"&amp;" ("&amp;TEXT(C606,"m/dd")&amp;"~"&amp;TEXT(C612,"m/dd")&amp;")"</f>
        <v>2023년 35주차 (8/21~8/27)</v>
      </c>
      <c r="K610" s="6">
        <f t="shared" si="76"/>
        <v>2023</v>
      </c>
      <c r="L610" s="6">
        <f t="shared" si="77"/>
        <v>35</v>
      </c>
    </row>
    <row r="611" spans="1:12" x14ac:dyDescent="0.45">
      <c r="A611" s="6">
        <f t="shared" si="81"/>
        <v>2023</v>
      </c>
      <c r="B611" s="6">
        <f t="shared" si="82"/>
        <v>8</v>
      </c>
      <c r="C611" s="7">
        <v>45164</v>
      </c>
      <c r="D611" s="6">
        <f t="shared" si="83"/>
        <v>6</v>
      </c>
      <c r="E611" s="6">
        <f t="shared" si="84"/>
        <v>35</v>
      </c>
      <c r="F611" s="6">
        <v>4</v>
      </c>
      <c r="G611" s="6" t="str">
        <f t="shared" si="79"/>
        <v>08</v>
      </c>
      <c r="H611" s="6" t="str">
        <f t="shared" si="80"/>
        <v>08월 4주차</v>
      </c>
      <c r="I611" s="6" t="str">
        <f>H611&amp;" ("&amp;TEXT(C606,"m/dd")&amp;"~"&amp;TEXT(C612,"m/dd")&amp;")"</f>
        <v>08월 4주차 (8/21~8/27)</v>
      </c>
      <c r="J611" s="6" t="str">
        <f>A606&amp;"년 "&amp;WEEKNUM(C606,2)&amp;"주차"&amp;" ("&amp;TEXT(C606,"m/dd")&amp;"~"&amp;TEXT(C612,"m/dd")&amp;")"</f>
        <v>2023년 35주차 (8/21~8/27)</v>
      </c>
      <c r="K611" s="6">
        <f t="shared" si="76"/>
        <v>2023</v>
      </c>
      <c r="L611" s="6">
        <f t="shared" si="77"/>
        <v>35</v>
      </c>
    </row>
    <row r="612" spans="1:12" x14ac:dyDescent="0.45">
      <c r="A612" s="6">
        <f t="shared" si="81"/>
        <v>2023</v>
      </c>
      <c r="B612" s="6">
        <f t="shared" si="82"/>
        <v>8</v>
      </c>
      <c r="C612" s="7">
        <v>45165</v>
      </c>
      <c r="D612" s="6">
        <f t="shared" si="83"/>
        <v>7</v>
      </c>
      <c r="E612" s="6">
        <f t="shared" si="84"/>
        <v>35</v>
      </c>
      <c r="F612" s="6">
        <v>4</v>
      </c>
      <c r="G612" s="6" t="str">
        <f t="shared" si="79"/>
        <v>08</v>
      </c>
      <c r="H612" s="6" t="str">
        <f t="shared" si="80"/>
        <v>08월 4주차</v>
      </c>
      <c r="I612" s="6" t="str">
        <f>H612&amp;" ("&amp;TEXT(C606,"m/dd")&amp;"~"&amp;TEXT(C612,"m/dd")&amp;")"</f>
        <v>08월 4주차 (8/21~8/27)</v>
      </c>
      <c r="J612" s="6" t="str">
        <f>A606&amp;"년 "&amp;WEEKNUM(C606,2)&amp;"주차"&amp;" ("&amp;TEXT(C606,"m/dd")&amp;"~"&amp;TEXT(C612,"m/dd")&amp;")"</f>
        <v>2023년 35주차 (8/21~8/27)</v>
      </c>
      <c r="K612" s="6">
        <f t="shared" si="76"/>
        <v>2023</v>
      </c>
      <c r="L612" s="6">
        <f t="shared" si="77"/>
        <v>35</v>
      </c>
    </row>
    <row r="613" spans="1:12" x14ac:dyDescent="0.45">
      <c r="A613" s="6">
        <f t="shared" si="81"/>
        <v>2023</v>
      </c>
      <c r="B613" s="6">
        <f t="shared" si="82"/>
        <v>8</v>
      </c>
      <c r="C613" s="7">
        <v>45166</v>
      </c>
      <c r="D613" s="6">
        <f t="shared" si="83"/>
        <v>1</v>
      </c>
      <c r="E613" s="6">
        <f t="shared" si="84"/>
        <v>36</v>
      </c>
      <c r="F613" s="6">
        <v>5</v>
      </c>
      <c r="G613" s="6" t="str">
        <f t="shared" si="79"/>
        <v>08</v>
      </c>
      <c r="H613" s="6" t="str">
        <f t="shared" si="80"/>
        <v>08월 5주차</v>
      </c>
      <c r="I613" s="6" t="str">
        <f>H613&amp;" ("&amp;TEXT(C613,"m/dd")&amp;"~"&amp;TEXT(C619,"m/dd")&amp;")"</f>
        <v>08월 5주차 (8/28~9/03)</v>
      </c>
      <c r="J613" s="6" t="str">
        <f>A613&amp;"년 "&amp;WEEKNUM(C613,2)&amp;"주차"&amp;" ("&amp;TEXT(C613,"m/dd")&amp;"~"&amp;TEXT(C619,"m/dd")&amp;")"</f>
        <v>2023년 36주차 (8/28~9/03)</v>
      </c>
      <c r="K613" s="6">
        <f t="shared" si="76"/>
        <v>2023</v>
      </c>
      <c r="L613" s="6">
        <f t="shared" si="77"/>
        <v>36</v>
      </c>
    </row>
    <row r="614" spans="1:12" x14ac:dyDescent="0.45">
      <c r="A614" s="6">
        <f t="shared" si="81"/>
        <v>2023</v>
      </c>
      <c r="B614" s="6">
        <f t="shared" si="82"/>
        <v>8</v>
      </c>
      <c r="C614" s="7">
        <v>45167</v>
      </c>
      <c r="D614" s="6">
        <f t="shared" si="83"/>
        <v>2</v>
      </c>
      <c r="E614" s="6">
        <f t="shared" si="84"/>
        <v>36</v>
      </c>
      <c r="F614" s="6">
        <v>5</v>
      </c>
      <c r="G614" s="6" t="str">
        <f t="shared" si="79"/>
        <v>08</v>
      </c>
      <c r="H614" s="6" t="str">
        <f t="shared" si="80"/>
        <v>08월 5주차</v>
      </c>
      <c r="I614" s="6" t="str">
        <f>H614&amp;" ("&amp;TEXT(C613,"m/dd")&amp;"~"&amp;TEXT(C619,"m/dd")&amp;")"</f>
        <v>08월 5주차 (8/28~9/03)</v>
      </c>
      <c r="J614" s="6" t="str">
        <f>A613&amp;"년 "&amp;WEEKNUM(C613,2)&amp;"주차"&amp;" ("&amp;TEXT(C613,"m/dd")&amp;"~"&amp;TEXT(C619,"m/dd")&amp;")"</f>
        <v>2023년 36주차 (8/28~9/03)</v>
      </c>
      <c r="K614" s="6">
        <f t="shared" si="76"/>
        <v>2023</v>
      </c>
      <c r="L614" s="6">
        <f t="shared" si="77"/>
        <v>36</v>
      </c>
    </row>
    <row r="615" spans="1:12" x14ac:dyDescent="0.45">
      <c r="A615" s="6">
        <f t="shared" si="81"/>
        <v>2023</v>
      </c>
      <c r="B615" s="6">
        <f t="shared" si="82"/>
        <v>8</v>
      </c>
      <c r="C615" s="7">
        <v>45168</v>
      </c>
      <c r="D615" s="6">
        <f t="shared" si="83"/>
        <v>3</v>
      </c>
      <c r="E615" s="6">
        <f t="shared" si="84"/>
        <v>36</v>
      </c>
      <c r="F615" s="6">
        <v>5</v>
      </c>
      <c r="G615" s="6" t="str">
        <f t="shared" si="79"/>
        <v>08</v>
      </c>
      <c r="H615" s="6" t="str">
        <f t="shared" si="80"/>
        <v>08월 5주차</v>
      </c>
      <c r="I615" s="6" t="str">
        <f>H615&amp;" ("&amp;TEXT(C613,"m/dd")&amp;"~"&amp;TEXT(C619,"m/dd")&amp;")"</f>
        <v>08월 5주차 (8/28~9/03)</v>
      </c>
      <c r="J615" s="6" t="str">
        <f>A613&amp;"년 "&amp;WEEKNUM(C613,2)&amp;"주차"&amp;" ("&amp;TEXT(C613,"m/dd")&amp;"~"&amp;TEXT(C619,"m/dd")&amp;")"</f>
        <v>2023년 36주차 (8/28~9/03)</v>
      </c>
      <c r="K615" s="6">
        <f t="shared" si="76"/>
        <v>2023</v>
      </c>
      <c r="L615" s="6">
        <f t="shared" si="77"/>
        <v>36</v>
      </c>
    </row>
    <row r="616" spans="1:12" x14ac:dyDescent="0.45">
      <c r="A616" s="6">
        <f t="shared" si="81"/>
        <v>2023</v>
      </c>
      <c r="B616" s="6">
        <f t="shared" si="82"/>
        <v>8</v>
      </c>
      <c r="C616" s="7">
        <v>45169</v>
      </c>
      <c r="D616" s="6">
        <f t="shared" si="83"/>
        <v>4</v>
      </c>
      <c r="E616" s="6">
        <f t="shared" si="84"/>
        <v>36</v>
      </c>
      <c r="F616" s="6">
        <v>5</v>
      </c>
      <c r="G616" s="6" t="str">
        <f t="shared" si="79"/>
        <v>08</v>
      </c>
      <c r="H616" s="6" t="str">
        <f t="shared" si="80"/>
        <v>08월 5주차</v>
      </c>
      <c r="I616" s="6" t="str">
        <f>H616&amp;" ("&amp;TEXT(C613,"m/dd")&amp;"~"&amp;TEXT(C619,"m/dd")&amp;")"</f>
        <v>08월 5주차 (8/28~9/03)</v>
      </c>
      <c r="J616" s="6" t="str">
        <f>A613&amp;"년 "&amp;WEEKNUM(C613,2)&amp;"주차"&amp;" ("&amp;TEXT(C613,"m/dd")&amp;"~"&amp;TEXT(C619,"m/dd")&amp;")"</f>
        <v>2023년 36주차 (8/28~9/03)</v>
      </c>
      <c r="K616" s="6">
        <f t="shared" si="76"/>
        <v>2023</v>
      </c>
      <c r="L616" s="6">
        <f t="shared" si="77"/>
        <v>36</v>
      </c>
    </row>
    <row r="617" spans="1:12" x14ac:dyDescent="0.45">
      <c r="A617" s="6">
        <f t="shared" si="81"/>
        <v>2023</v>
      </c>
      <c r="B617" s="6">
        <v>8</v>
      </c>
      <c r="C617" s="7">
        <v>45170</v>
      </c>
      <c r="D617" s="6">
        <f t="shared" si="83"/>
        <v>5</v>
      </c>
      <c r="E617" s="6">
        <f t="shared" si="84"/>
        <v>36</v>
      </c>
      <c r="F617" s="6">
        <v>5</v>
      </c>
      <c r="G617" s="6" t="str">
        <f t="shared" si="79"/>
        <v>08</v>
      </c>
      <c r="H617" s="6" t="str">
        <f t="shared" si="80"/>
        <v>08월 5주차</v>
      </c>
      <c r="I617" s="6" t="str">
        <f>H617&amp;" ("&amp;TEXT(C613,"m/dd")&amp;"~"&amp;TEXT(C619,"m/dd")&amp;")"</f>
        <v>08월 5주차 (8/28~9/03)</v>
      </c>
      <c r="J617" s="6" t="str">
        <f>A613&amp;"년 "&amp;WEEKNUM(C613,2)&amp;"주차"&amp;" ("&amp;TEXT(C613,"m/dd")&amp;"~"&amp;TEXT(C619,"m/dd")&amp;")"</f>
        <v>2023년 36주차 (8/28~9/03)</v>
      </c>
      <c r="K617" s="6">
        <f t="shared" si="76"/>
        <v>2023</v>
      </c>
      <c r="L617" s="6">
        <f t="shared" si="77"/>
        <v>36</v>
      </c>
    </row>
    <row r="618" spans="1:12" x14ac:dyDescent="0.45">
      <c r="A618" s="6">
        <f t="shared" si="81"/>
        <v>2023</v>
      </c>
      <c r="B618" s="6">
        <v>8</v>
      </c>
      <c r="C618" s="7">
        <v>45171</v>
      </c>
      <c r="D618" s="6">
        <f t="shared" si="83"/>
        <v>6</v>
      </c>
      <c r="E618" s="6">
        <f t="shared" si="84"/>
        <v>36</v>
      </c>
      <c r="F618" s="6">
        <v>5</v>
      </c>
      <c r="G618" s="6" t="str">
        <f t="shared" si="79"/>
        <v>08</v>
      </c>
      <c r="H618" s="6" t="str">
        <f t="shared" si="80"/>
        <v>08월 5주차</v>
      </c>
      <c r="I618" s="6" t="str">
        <f>H618&amp;" ("&amp;TEXT(C613,"m/dd")&amp;"~"&amp;TEXT(C619,"m/dd")&amp;")"</f>
        <v>08월 5주차 (8/28~9/03)</v>
      </c>
      <c r="J618" s="6" t="str">
        <f>A613&amp;"년 "&amp;WEEKNUM(C613,2)&amp;"주차"&amp;" ("&amp;TEXT(C613,"m/dd")&amp;"~"&amp;TEXT(C619,"m/dd")&amp;")"</f>
        <v>2023년 36주차 (8/28~9/03)</v>
      </c>
      <c r="K618" s="6">
        <f t="shared" si="76"/>
        <v>2023</v>
      </c>
      <c r="L618" s="6">
        <f t="shared" si="77"/>
        <v>36</v>
      </c>
    </row>
    <row r="619" spans="1:12" x14ac:dyDescent="0.45">
      <c r="A619" s="6">
        <f t="shared" si="81"/>
        <v>2023</v>
      </c>
      <c r="B619" s="6">
        <v>8</v>
      </c>
      <c r="C619" s="7">
        <v>45172</v>
      </c>
      <c r="D619" s="6">
        <f t="shared" si="83"/>
        <v>7</v>
      </c>
      <c r="E619" s="6">
        <f t="shared" si="84"/>
        <v>36</v>
      </c>
      <c r="F619" s="6">
        <v>5</v>
      </c>
      <c r="G619" s="6" t="str">
        <f t="shared" si="79"/>
        <v>08</v>
      </c>
      <c r="H619" s="6" t="str">
        <f t="shared" si="80"/>
        <v>08월 5주차</v>
      </c>
      <c r="I619" s="6" t="str">
        <f>H619&amp;" ("&amp;TEXT(C613,"m/dd")&amp;"~"&amp;TEXT(C619,"m/dd")&amp;")"</f>
        <v>08월 5주차 (8/28~9/03)</v>
      </c>
      <c r="J619" s="6" t="str">
        <f>A613&amp;"년 "&amp;WEEKNUM(C613,2)&amp;"주차"&amp;" ("&amp;TEXT(C613,"m/dd")&amp;"~"&amp;TEXT(C619,"m/dd")&amp;")"</f>
        <v>2023년 36주차 (8/28~9/03)</v>
      </c>
      <c r="K619" s="6">
        <f t="shared" si="76"/>
        <v>2023</v>
      </c>
      <c r="L619" s="6">
        <f t="shared" si="77"/>
        <v>36</v>
      </c>
    </row>
    <row r="620" spans="1:12" x14ac:dyDescent="0.45">
      <c r="A620" s="6">
        <f t="shared" si="81"/>
        <v>2023</v>
      </c>
      <c r="B620" s="6">
        <f t="shared" si="82"/>
        <v>9</v>
      </c>
      <c r="C620" s="7">
        <v>45173</v>
      </c>
      <c r="D620" s="6">
        <f t="shared" si="83"/>
        <v>1</v>
      </c>
      <c r="E620" s="6">
        <f t="shared" si="84"/>
        <v>37</v>
      </c>
      <c r="F620" s="6">
        <f t="shared" ref="F620:F675" si="85">WEEKNUM(DATE(YEAR(C620),1,DAY(C620-WEEKDAY(C620,2)+1)),WEEKDAY(DATE(YEAR(C620),1,1),11)+10)</f>
        <v>1</v>
      </c>
      <c r="G620" s="6" t="str">
        <f t="shared" si="79"/>
        <v>09</v>
      </c>
      <c r="H620" s="6" t="str">
        <f t="shared" si="80"/>
        <v>09월 1주차</v>
      </c>
      <c r="I620" s="6" t="str">
        <f>H620&amp;" ("&amp;TEXT(C620,"m/dd")&amp;"~"&amp;TEXT(C626,"m/dd")&amp;")"</f>
        <v>09월 1주차 (9/04~9/10)</v>
      </c>
      <c r="J620" s="6" t="str">
        <f>A620&amp;"년 "&amp;WEEKNUM(C620,2)&amp;"주차"&amp;" ("&amp;TEXT(C620,"m/dd")&amp;"~"&amp;TEXT(C626,"m/dd")&amp;")"</f>
        <v>2023년 37주차 (9/04~9/10)</v>
      </c>
      <c r="K620" s="6">
        <f t="shared" si="76"/>
        <v>2023</v>
      </c>
      <c r="L620" s="6">
        <f t="shared" si="77"/>
        <v>37</v>
      </c>
    </row>
    <row r="621" spans="1:12" x14ac:dyDescent="0.45">
      <c r="A621" s="6">
        <f t="shared" si="81"/>
        <v>2023</v>
      </c>
      <c r="B621" s="6">
        <f t="shared" si="82"/>
        <v>9</v>
      </c>
      <c r="C621" s="7">
        <v>45174</v>
      </c>
      <c r="D621" s="6">
        <f t="shared" si="83"/>
        <v>2</v>
      </c>
      <c r="E621" s="6">
        <f t="shared" si="84"/>
        <v>37</v>
      </c>
      <c r="F621" s="6">
        <f t="shared" si="85"/>
        <v>1</v>
      </c>
      <c r="G621" s="6" t="str">
        <f t="shared" si="79"/>
        <v>09</v>
      </c>
      <c r="H621" s="6" t="str">
        <f t="shared" si="80"/>
        <v>09월 1주차</v>
      </c>
      <c r="I621" s="6" t="str">
        <f>H621&amp;" ("&amp;TEXT(C620,"m/dd")&amp;"~"&amp;TEXT(C626,"m/dd")&amp;")"</f>
        <v>09월 1주차 (9/04~9/10)</v>
      </c>
      <c r="J621" s="6" t="str">
        <f>A620&amp;"년 "&amp;WEEKNUM(C620,2)&amp;"주차"&amp;" ("&amp;TEXT(C620,"m/dd")&amp;"~"&amp;TEXT(C626,"m/dd")&amp;")"</f>
        <v>2023년 37주차 (9/04~9/10)</v>
      </c>
      <c r="K621" s="6">
        <f t="shared" si="76"/>
        <v>2023</v>
      </c>
      <c r="L621" s="6">
        <f t="shared" si="77"/>
        <v>37</v>
      </c>
    </row>
    <row r="622" spans="1:12" x14ac:dyDescent="0.45">
      <c r="A622" s="6">
        <f t="shared" si="81"/>
        <v>2023</v>
      </c>
      <c r="B622" s="6">
        <f t="shared" si="82"/>
        <v>9</v>
      </c>
      <c r="C622" s="7">
        <v>45175</v>
      </c>
      <c r="D622" s="6">
        <f t="shared" si="83"/>
        <v>3</v>
      </c>
      <c r="E622" s="6">
        <f t="shared" si="84"/>
        <v>37</v>
      </c>
      <c r="F622" s="6">
        <f t="shared" si="85"/>
        <v>1</v>
      </c>
      <c r="G622" s="6" t="str">
        <f t="shared" si="79"/>
        <v>09</v>
      </c>
      <c r="H622" s="6" t="str">
        <f t="shared" si="80"/>
        <v>09월 1주차</v>
      </c>
      <c r="I622" s="6" t="str">
        <f>H622&amp;" ("&amp;TEXT(C620,"m/dd")&amp;"~"&amp;TEXT(C626,"m/dd")&amp;")"</f>
        <v>09월 1주차 (9/04~9/10)</v>
      </c>
      <c r="J622" s="6" t="str">
        <f>A620&amp;"년 "&amp;WEEKNUM(C620,2)&amp;"주차"&amp;" ("&amp;TEXT(C620,"m/dd")&amp;"~"&amp;TEXT(C626,"m/dd")&amp;")"</f>
        <v>2023년 37주차 (9/04~9/10)</v>
      </c>
      <c r="K622" s="6">
        <f t="shared" si="76"/>
        <v>2023</v>
      </c>
      <c r="L622" s="6">
        <f t="shared" si="77"/>
        <v>37</v>
      </c>
    </row>
    <row r="623" spans="1:12" x14ac:dyDescent="0.45">
      <c r="A623" s="6">
        <f t="shared" si="81"/>
        <v>2023</v>
      </c>
      <c r="B623" s="6">
        <f t="shared" si="82"/>
        <v>9</v>
      </c>
      <c r="C623" s="7">
        <v>45176</v>
      </c>
      <c r="D623" s="6">
        <f t="shared" si="83"/>
        <v>4</v>
      </c>
      <c r="E623" s="6">
        <f t="shared" si="84"/>
        <v>37</v>
      </c>
      <c r="F623" s="6">
        <f t="shared" si="85"/>
        <v>1</v>
      </c>
      <c r="G623" s="6" t="str">
        <f t="shared" si="79"/>
        <v>09</v>
      </c>
      <c r="H623" s="6" t="str">
        <f t="shared" si="80"/>
        <v>09월 1주차</v>
      </c>
      <c r="I623" s="6" t="str">
        <f>H623&amp;" ("&amp;TEXT(C620,"m/dd")&amp;"~"&amp;TEXT(C626,"m/dd")&amp;")"</f>
        <v>09월 1주차 (9/04~9/10)</v>
      </c>
      <c r="J623" s="6" t="str">
        <f>A620&amp;"년 "&amp;WEEKNUM(C620,2)&amp;"주차"&amp;" ("&amp;TEXT(C620,"m/dd")&amp;"~"&amp;TEXT(C626,"m/dd")&amp;")"</f>
        <v>2023년 37주차 (9/04~9/10)</v>
      </c>
      <c r="K623" s="6">
        <f t="shared" ref="K623:K686" si="86">YEAR(C623)</f>
        <v>2023</v>
      </c>
      <c r="L623" s="6">
        <f t="shared" ref="L623:L686" si="87">WEEKNUM(C623,2)</f>
        <v>37</v>
      </c>
    </row>
    <row r="624" spans="1:12" x14ac:dyDescent="0.45">
      <c r="A624" s="6">
        <f t="shared" si="81"/>
        <v>2023</v>
      </c>
      <c r="B624" s="6">
        <f t="shared" si="82"/>
        <v>9</v>
      </c>
      <c r="C624" s="7">
        <v>45177</v>
      </c>
      <c r="D624" s="6">
        <f t="shared" si="83"/>
        <v>5</v>
      </c>
      <c r="E624" s="6">
        <f t="shared" si="84"/>
        <v>37</v>
      </c>
      <c r="F624" s="6">
        <f t="shared" si="85"/>
        <v>1</v>
      </c>
      <c r="G624" s="6" t="str">
        <f t="shared" si="79"/>
        <v>09</v>
      </c>
      <c r="H624" s="6" t="str">
        <f t="shared" si="80"/>
        <v>09월 1주차</v>
      </c>
      <c r="I624" s="6" t="str">
        <f>H624&amp;" ("&amp;TEXT(C620,"m/dd")&amp;"~"&amp;TEXT(C626,"m/dd")&amp;")"</f>
        <v>09월 1주차 (9/04~9/10)</v>
      </c>
      <c r="J624" s="6" t="str">
        <f>A620&amp;"년 "&amp;WEEKNUM(C620,2)&amp;"주차"&amp;" ("&amp;TEXT(C620,"m/dd")&amp;"~"&amp;TEXT(C626,"m/dd")&amp;")"</f>
        <v>2023년 37주차 (9/04~9/10)</v>
      </c>
      <c r="K624" s="6">
        <f t="shared" si="86"/>
        <v>2023</v>
      </c>
      <c r="L624" s="6">
        <f t="shared" si="87"/>
        <v>37</v>
      </c>
    </row>
    <row r="625" spans="1:12" x14ac:dyDescent="0.45">
      <c r="A625" s="6">
        <f t="shared" si="81"/>
        <v>2023</v>
      </c>
      <c r="B625" s="6">
        <f t="shared" si="82"/>
        <v>9</v>
      </c>
      <c r="C625" s="7">
        <v>45178</v>
      </c>
      <c r="D625" s="6">
        <f t="shared" si="83"/>
        <v>6</v>
      </c>
      <c r="E625" s="6">
        <f t="shared" si="84"/>
        <v>37</v>
      </c>
      <c r="F625" s="6">
        <f t="shared" si="85"/>
        <v>1</v>
      </c>
      <c r="G625" s="6" t="str">
        <f t="shared" si="79"/>
        <v>09</v>
      </c>
      <c r="H625" s="6" t="str">
        <f t="shared" si="80"/>
        <v>09월 1주차</v>
      </c>
      <c r="I625" s="6" t="str">
        <f>H625&amp;" ("&amp;TEXT(C620,"m/dd")&amp;"~"&amp;TEXT(C626,"m/dd")&amp;")"</f>
        <v>09월 1주차 (9/04~9/10)</v>
      </c>
      <c r="J625" s="6" t="str">
        <f>A620&amp;"년 "&amp;WEEKNUM(C620,2)&amp;"주차"&amp;" ("&amp;TEXT(C620,"m/dd")&amp;"~"&amp;TEXT(C626,"m/dd")&amp;")"</f>
        <v>2023년 37주차 (9/04~9/10)</v>
      </c>
      <c r="K625" s="6">
        <f t="shared" si="86"/>
        <v>2023</v>
      </c>
      <c r="L625" s="6">
        <f t="shared" si="87"/>
        <v>37</v>
      </c>
    </row>
    <row r="626" spans="1:12" x14ac:dyDescent="0.45">
      <c r="A626" s="6">
        <f t="shared" si="81"/>
        <v>2023</v>
      </c>
      <c r="B626" s="6">
        <f t="shared" si="82"/>
        <v>9</v>
      </c>
      <c r="C626" s="7">
        <v>45179</v>
      </c>
      <c r="D626" s="6">
        <f t="shared" si="83"/>
        <v>7</v>
      </c>
      <c r="E626" s="6">
        <f t="shared" si="84"/>
        <v>37</v>
      </c>
      <c r="F626" s="6">
        <f t="shared" si="85"/>
        <v>1</v>
      </c>
      <c r="G626" s="6" t="str">
        <f t="shared" si="79"/>
        <v>09</v>
      </c>
      <c r="H626" s="6" t="str">
        <f t="shared" si="80"/>
        <v>09월 1주차</v>
      </c>
      <c r="I626" s="6" t="str">
        <f>H626&amp;" ("&amp;TEXT(C620,"m/dd")&amp;"~"&amp;TEXT(C626,"m/dd")&amp;")"</f>
        <v>09월 1주차 (9/04~9/10)</v>
      </c>
      <c r="J626" s="6" t="str">
        <f>A620&amp;"년 "&amp;WEEKNUM(C620,2)&amp;"주차"&amp;" ("&amp;TEXT(C620,"m/dd")&amp;"~"&amp;TEXT(C626,"m/dd")&amp;")"</f>
        <v>2023년 37주차 (9/04~9/10)</v>
      </c>
      <c r="K626" s="6">
        <f t="shared" si="86"/>
        <v>2023</v>
      </c>
      <c r="L626" s="6">
        <f t="shared" si="87"/>
        <v>37</v>
      </c>
    </row>
    <row r="627" spans="1:12" x14ac:dyDescent="0.45">
      <c r="A627" s="6">
        <f t="shared" si="81"/>
        <v>2023</v>
      </c>
      <c r="B627" s="6">
        <f t="shared" si="82"/>
        <v>9</v>
      </c>
      <c r="C627" s="7">
        <v>45180</v>
      </c>
      <c r="D627" s="6">
        <f t="shared" si="83"/>
        <v>1</v>
      </c>
      <c r="E627" s="6">
        <f t="shared" si="84"/>
        <v>38</v>
      </c>
      <c r="F627" s="6">
        <f t="shared" si="85"/>
        <v>2</v>
      </c>
      <c r="G627" s="6" t="str">
        <f t="shared" si="79"/>
        <v>09</v>
      </c>
      <c r="H627" s="6" t="str">
        <f t="shared" si="80"/>
        <v>09월 2주차</v>
      </c>
      <c r="I627" s="6" t="str">
        <f>H627&amp;" ("&amp;TEXT(C627,"m/dd")&amp;"~"&amp;TEXT(C633,"m/dd")&amp;")"</f>
        <v>09월 2주차 (9/11~9/17)</v>
      </c>
      <c r="J627" s="6" t="str">
        <f>A627&amp;"년 "&amp;WEEKNUM(C627,2)&amp;"주차"&amp;" ("&amp;TEXT(C627,"m/dd")&amp;"~"&amp;TEXT(C633,"m/dd")&amp;")"</f>
        <v>2023년 38주차 (9/11~9/17)</v>
      </c>
      <c r="K627" s="6">
        <f t="shared" si="86"/>
        <v>2023</v>
      </c>
      <c r="L627" s="6">
        <f t="shared" si="87"/>
        <v>38</v>
      </c>
    </row>
    <row r="628" spans="1:12" x14ac:dyDescent="0.45">
      <c r="A628" s="6">
        <f t="shared" si="81"/>
        <v>2023</v>
      </c>
      <c r="B628" s="6">
        <f t="shared" si="82"/>
        <v>9</v>
      </c>
      <c r="C628" s="7">
        <v>45181</v>
      </c>
      <c r="D628" s="6">
        <f t="shared" si="83"/>
        <v>2</v>
      </c>
      <c r="E628" s="6">
        <f t="shared" si="84"/>
        <v>38</v>
      </c>
      <c r="F628" s="6">
        <f t="shared" si="85"/>
        <v>2</v>
      </c>
      <c r="G628" s="6" t="str">
        <f t="shared" si="79"/>
        <v>09</v>
      </c>
      <c r="H628" s="6" t="str">
        <f t="shared" si="80"/>
        <v>09월 2주차</v>
      </c>
      <c r="I628" s="6" t="str">
        <f>H628&amp;" ("&amp;TEXT(C627,"m/dd")&amp;"~"&amp;TEXT(C633,"m/dd")&amp;")"</f>
        <v>09월 2주차 (9/11~9/17)</v>
      </c>
      <c r="J628" s="6" t="str">
        <f>A627&amp;"년 "&amp;WEEKNUM(C627,2)&amp;"주차"&amp;" ("&amp;TEXT(C627,"m/dd")&amp;"~"&amp;TEXT(C633,"m/dd")&amp;")"</f>
        <v>2023년 38주차 (9/11~9/17)</v>
      </c>
      <c r="K628" s="6">
        <f t="shared" si="86"/>
        <v>2023</v>
      </c>
      <c r="L628" s="6">
        <f t="shared" si="87"/>
        <v>38</v>
      </c>
    </row>
    <row r="629" spans="1:12" x14ac:dyDescent="0.45">
      <c r="A629" s="6">
        <f t="shared" si="81"/>
        <v>2023</v>
      </c>
      <c r="B629" s="6">
        <f t="shared" si="82"/>
        <v>9</v>
      </c>
      <c r="C629" s="7">
        <v>45182</v>
      </c>
      <c r="D629" s="6">
        <f t="shared" si="83"/>
        <v>3</v>
      </c>
      <c r="E629" s="6">
        <f t="shared" si="84"/>
        <v>38</v>
      </c>
      <c r="F629" s="6">
        <f t="shared" si="85"/>
        <v>2</v>
      </c>
      <c r="G629" s="6" t="str">
        <f t="shared" si="79"/>
        <v>09</v>
      </c>
      <c r="H629" s="6" t="str">
        <f t="shared" si="80"/>
        <v>09월 2주차</v>
      </c>
      <c r="I629" s="6" t="str">
        <f>H629&amp;" ("&amp;TEXT(C627,"m/dd")&amp;"~"&amp;TEXT(C633,"m/dd")&amp;")"</f>
        <v>09월 2주차 (9/11~9/17)</v>
      </c>
      <c r="J629" s="6" t="str">
        <f>A627&amp;"년 "&amp;WEEKNUM(C627,2)&amp;"주차"&amp;" ("&amp;TEXT(C627,"m/dd")&amp;"~"&amp;TEXT(C633,"m/dd")&amp;")"</f>
        <v>2023년 38주차 (9/11~9/17)</v>
      </c>
      <c r="K629" s="6">
        <f t="shared" si="86"/>
        <v>2023</v>
      </c>
      <c r="L629" s="6">
        <f t="shared" si="87"/>
        <v>38</v>
      </c>
    </row>
    <row r="630" spans="1:12" x14ac:dyDescent="0.45">
      <c r="A630" s="6">
        <f t="shared" si="81"/>
        <v>2023</v>
      </c>
      <c r="B630" s="6">
        <f t="shared" si="82"/>
        <v>9</v>
      </c>
      <c r="C630" s="7">
        <v>45183</v>
      </c>
      <c r="D630" s="6">
        <f t="shared" si="83"/>
        <v>4</v>
      </c>
      <c r="E630" s="6">
        <f t="shared" si="84"/>
        <v>38</v>
      </c>
      <c r="F630" s="6">
        <f t="shared" si="85"/>
        <v>2</v>
      </c>
      <c r="G630" s="6" t="str">
        <f t="shared" si="79"/>
        <v>09</v>
      </c>
      <c r="H630" s="6" t="str">
        <f t="shared" si="80"/>
        <v>09월 2주차</v>
      </c>
      <c r="I630" s="6" t="str">
        <f>H630&amp;" ("&amp;TEXT(C627,"m/dd")&amp;"~"&amp;TEXT(C633,"m/dd")&amp;")"</f>
        <v>09월 2주차 (9/11~9/17)</v>
      </c>
      <c r="J630" s="6" t="str">
        <f>A627&amp;"년 "&amp;WEEKNUM(C627,2)&amp;"주차"&amp;" ("&amp;TEXT(C627,"m/dd")&amp;"~"&amp;TEXT(C633,"m/dd")&amp;")"</f>
        <v>2023년 38주차 (9/11~9/17)</v>
      </c>
      <c r="K630" s="6">
        <f t="shared" si="86"/>
        <v>2023</v>
      </c>
      <c r="L630" s="6">
        <f t="shared" si="87"/>
        <v>38</v>
      </c>
    </row>
    <row r="631" spans="1:12" x14ac:dyDescent="0.45">
      <c r="A631" s="6">
        <f t="shared" si="81"/>
        <v>2023</v>
      </c>
      <c r="B631" s="6">
        <f t="shared" si="82"/>
        <v>9</v>
      </c>
      <c r="C631" s="7">
        <v>45184</v>
      </c>
      <c r="D631" s="6">
        <f t="shared" si="83"/>
        <v>5</v>
      </c>
      <c r="E631" s="6">
        <f t="shared" si="84"/>
        <v>38</v>
      </c>
      <c r="F631" s="6">
        <f t="shared" si="85"/>
        <v>2</v>
      </c>
      <c r="G631" s="6" t="str">
        <f t="shared" si="79"/>
        <v>09</v>
      </c>
      <c r="H631" s="6" t="str">
        <f t="shared" si="80"/>
        <v>09월 2주차</v>
      </c>
      <c r="I631" s="6" t="str">
        <f>H631&amp;" ("&amp;TEXT(C627,"m/dd")&amp;"~"&amp;TEXT(C633,"m/dd")&amp;")"</f>
        <v>09월 2주차 (9/11~9/17)</v>
      </c>
      <c r="J631" s="6" t="str">
        <f>A627&amp;"년 "&amp;WEEKNUM(C627,2)&amp;"주차"&amp;" ("&amp;TEXT(C627,"m/dd")&amp;"~"&amp;TEXT(C633,"m/dd")&amp;")"</f>
        <v>2023년 38주차 (9/11~9/17)</v>
      </c>
      <c r="K631" s="6">
        <f t="shared" si="86"/>
        <v>2023</v>
      </c>
      <c r="L631" s="6">
        <f t="shared" si="87"/>
        <v>38</v>
      </c>
    </row>
    <row r="632" spans="1:12" x14ac:dyDescent="0.45">
      <c r="A632" s="6">
        <f t="shared" si="81"/>
        <v>2023</v>
      </c>
      <c r="B632" s="6">
        <f t="shared" si="82"/>
        <v>9</v>
      </c>
      <c r="C632" s="7">
        <v>45185</v>
      </c>
      <c r="D632" s="6">
        <f t="shared" si="83"/>
        <v>6</v>
      </c>
      <c r="E632" s="6">
        <f t="shared" si="84"/>
        <v>38</v>
      </c>
      <c r="F632" s="6">
        <f t="shared" si="85"/>
        <v>2</v>
      </c>
      <c r="G632" s="6" t="str">
        <f t="shared" si="79"/>
        <v>09</v>
      </c>
      <c r="H632" s="6" t="str">
        <f t="shared" si="80"/>
        <v>09월 2주차</v>
      </c>
      <c r="I632" s="6" t="str">
        <f>H632&amp;" ("&amp;TEXT(C627,"m/dd")&amp;"~"&amp;TEXT(C633,"m/dd")&amp;")"</f>
        <v>09월 2주차 (9/11~9/17)</v>
      </c>
      <c r="J632" s="6" t="str">
        <f>A627&amp;"년 "&amp;WEEKNUM(C627,2)&amp;"주차"&amp;" ("&amp;TEXT(C627,"m/dd")&amp;"~"&amp;TEXT(C633,"m/dd")&amp;")"</f>
        <v>2023년 38주차 (9/11~9/17)</v>
      </c>
      <c r="K632" s="6">
        <f t="shared" si="86"/>
        <v>2023</v>
      </c>
      <c r="L632" s="6">
        <f t="shared" si="87"/>
        <v>38</v>
      </c>
    </row>
    <row r="633" spans="1:12" x14ac:dyDescent="0.45">
      <c r="A633" s="6">
        <f t="shared" si="81"/>
        <v>2023</v>
      </c>
      <c r="B633" s="6">
        <f t="shared" si="82"/>
        <v>9</v>
      </c>
      <c r="C633" s="7">
        <v>45186</v>
      </c>
      <c r="D633" s="6">
        <f t="shared" si="83"/>
        <v>7</v>
      </c>
      <c r="E633" s="6">
        <f t="shared" si="84"/>
        <v>38</v>
      </c>
      <c r="F633" s="6">
        <f t="shared" si="85"/>
        <v>2</v>
      </c>
      <c r="G633" s="6" t="str">
        <f t="shared" si="79"/>
        <v>09</v>
      </c>
      <c r="H633" s="6" t="str">
        <f t="shared" si="80"/>
        <v>09월 2주차</v>
      </c>
      <c r="I633" s="6" t="str">
        <f>H633&amp;" ("&amp;TEXT(C627,"m/dd")&amp;"~"&amp;TEXT(C633,"m/dd")&amp;")"</f>
        <v>09월 2주차 (9/11~9/17)</v>
      </c>
      <c r="J633" s="6" t="str">
        <f>A627&amp;"년 "&amp;WEEKNUM(C627,2)&amp;"주차"&amp;" ("&amp;TEXT(C627,"m/dd")&amp;"~"&amp;TEXT(C633,"m/dd")&amp;")"</f>
        <v>2023년 38주차 (9/11~9/17)</v>
      </c>
      <c r="K633" s="6">
        <f t="shared" si="86"/>
        <v>2023</v>
      </c>
      <c r="L633" s="6">
        <f t="shared" si="87"/>
        <v>38</v>
      </c>
    </row>
    <row r="634" spans="1:12" x14ac:dyDescent="0.45">
      <c r="A634" s="6">
        <f t="shared" si="81"/>
        <v>2023</v>
      </c>
      <c r="B634" s="6">
        <f t="shared" si="82"/>
        <v>9</v>
      </c>
      <c r="C634" s="7">
        <v>45187</v>
      </c>
      <c r="D634" s="6">
        <f t="shared" si="83"/>
        <v>1</v>
      </c>
      <c r="E634" s="6">
        <f t="shared" si="84"/>
        <v>39</v>
      </c>
      <c r="F634" s="6">
        <f t="shared" si="85"/>
        <v>3</v>
      </c>
      <c r="G634" s="6" t="str">
        <f t="shared" si="79"/>
        <v>09</v>
      </c>
      <c r="H634" s="6" t="str">
        <f t="shared" si="80"/>
        <v>09월 3주차</v>
      </c>
      <c r="I634" s="6" t="str">
        <f>H634&amp;" ("&amp;TEXT(C634,"m/dd")&amp;"~"&amp;TEXT(C640,"m/dd")&amp;")"</f>
        <v>09월 3주차 (9/18~9/24)</v>
      </c>
      <c r="J634" s="6" t="str">
        <f>A634&amp;"년 "&amp;WEEKNUM(C634,2)&amp;"주차"&amp;" ("&amp;TEXT(C634,"m/dd")&amp;"~"&amp;TEXT(C640,"m/dd")&amp;")"</f>
        <v>2023년 39주차 (9/18~9/24)</v>
      </c>
      <c r="K634" s="6">
        <f t="shared" si="86"/>
        <v>2023</v>
      </c>
      <c r="L634" s="6">
        <f t="shared" si="87"/>
        <v>39</v>
      </c>
    </row>
    <row r="635" spans="1:12" x14ac:dyDescent="0.45">
      <c r="A635" s="6">
        <f t="shared" si="81"/>
        <v>2023</v>
      </c>
      <c r="B635" s="6">
        <f t="shared" si="82"/>
        <v>9</v>
      </c>
      <c r="C635" s="7">
        <v>45188</v>
      </c>
      <c r="D635" s="6">
        <f t="shared" si="83"/>
        <v>2</v>
      </c>
      <c r="E635" s="6">
        <f t="shared" si="84"/>
        <v>39</v>
      </c>
      <c r="F635" s="6">
        <f t="shared" si="85"/>
        <v>3</v>
      </c>
      <c r="G635" s="6" t="str">
        <f t="shared" si="79"/>
        <v>09</v>
      </c>
      <c r="H635" s="6" t="str">
        <f t="shared" si="80"/>
        <v>09월 3주차</v>
      </c>
      <c r="I635" s="6" t="str">
        <f>H635&amp;" ("&amp;TEXT(C634,"m/dd")&amp;"~"&amp;TEXT(C640,"m/dd")&amp;")"</f>
        <v>09월 3주차 (9/18~9/24)</v>
      </c>
      <c r="J635" s="6" t="str">
        <f>A634&amp;"년 "&amp;WEEKNUM(C634,2)&amp;"주차"&amp;" ("&amp;TEXT(C634,"m/dd")&amp;"~"&amp;TEXT(C640,"m/dd")&amp;")"</f>
        <v>2023년 39주차 (9/18~9/24)</v>
      </c>
      <c r="K635" s="6">
        <f t="shared" si="86"/>
        <v>2023</v>
      </c>
      <c r="L635" s="6">
        <f t="shared" si="87"/>
        <v>39</v>
      </c>
    </row>
    <row r="636" spans="1:12" x14ac:dyDescent="0.45">
      <c r="A636" s="6">
        <f t="shared" si="81"/>
        <v>2023</v>
      </c>
      <c r="B636" s="6">
        <f t="shared" si="82"/>
        <v>9</v>
      </c>
      <c r="C636" s="7">
        <v>45189</v>
      </c>
      <c r="D636" s="6">
        <f t="shared" si="83"/>
        <v>3</v>
      </c>
      <c r="E636" s="6">
        <f t="shared" si="84"/>
        <v>39</v>
      </c>
      <c r="F636" s="6">
        <f t="shared" si="85"/>
        <v>3</v>
      </c>
      <c r="G636" s="6" t="str">
        <f t="shared" si="79"/>
        <v>09</v>
      </c>
      <c r="H636" s="6" t="str">
        <f t="shared" si="80"/>
        <v>09월 3주차</v>
      </c>
      <c r="I636" s="6" t="str">
        <f>H636&amp;" ("&amp;TEXT(C634,"m/dd")&amp;"~"&amp;TEXT(C640,"m/dd")&amp;")"</f>
        <v>09월 3주차 (9/18~9/24)</v>
      </c>
      <c r="J636" s="6" t="str">
        <f>A634&amp;"년 "&amp;WEEKNUM(C634,2)&amp;"주차"&amp;" ("&amp;TEXT(C634,"m/dd")&amp;"~"&amp;TEXT(C640,"m/dd")&amp;")"</f>
        <v>2023년 39주차 (9/18~9/24)</v>
      </c>
      <c r="K636" s="6">
        <f t="shared" si="86"/>
        <v>2023</v>
      </c>
      <c r="L636" s="6">
        <f t="shared" si="87"/>
        <v>39</v>
      </c>
    </row>
    <row r="637" spans="1:12" x14ac:dyDescent="0.45">
      <c r="A637" s="6">
        <f t="shared" si="81"/>
        <v>2023</v>
      </c>
      <c r="B637" s="6">
        <f t="shared" si="82"/>
        <v>9</v>
      </c>
      <c r="C637" s="7">
        <v>45190</v>
      </c>
      <c r="D637" s="6">
        <f t="shared" si="83"/>
        <v>4</v>
      </c>
      <c r="E637" s="6">
        <f t="shared" si="84"/>
        <v>39</v>
      </c>
      <c r="F637" s="6">
        <f t="shared" si="85"/>
        <v>3</v>
      </c>
      <c r="G637" s="6" t="str">
        <f t="shared" si="79"/>
        <v>09</v>
      </c>
      <c r="H637" s="6" t="str">
        <f t="shared" si="80"/>
        <v>09월 3주차</v>
      </c>
      <c r="I637" s="6" t="str">
        <f>H637&amp;" ("&amp;TEXT(C634,"m/dd")&amp;"~"&amp;TEXT(C640,"m/dd")&amp;")"</f>
        <v>09월 3주차 (9/18~9/24)</v>
      </c>
      <c r="J637" s="6" t="str">
        <f>A634&amp;"년 "&amp;WEEKNUM(C634,2)&amp;"주차"&amp;" ("&amp;TEXT(C634,"m/dd")&amp;"~"&amp;TEXT(C640,"m/dd")&amp;")"</f>
        <v>2023년 39주차 (9/18~9/24)</v>
      </c>
      <c r="K637" s="6">
        <f t="shared" si="86"/>
        <v>2023</v>
      </c>
      <c r="L637" s="6">
        <f t="shared" si="87"/>
        <v>39</v>
      </c>
    </row>
    <row r="638" spans="1:12" x14ac:dyDescent="0.45">
      <c r="A638" s="6">
        <f t="shared" si="81"/>
        <v>2023</v>
      </c>
      <c r="B638" s="6">
        <f t="shared" si="82"/>
        <v>9</v>
      </c>
      <c r="C638" s="7">
        <v>45191</v>
      </c>
      <c r="D638" s="6">
        <f t="shared" si="83"/>
        <v>5</v>
      </c>
      <c r="E638" s="6">
        <f t="shared" si="84"/>
        <v>39</v>
      </c>
      <c r="F638" s="6">
        <f t="shared" si="85"/>
        <v>3</v>
      </c>
      <c r="G638" s="6" t="str">
        <f t="shared" si="79"/>
        <v>09</v>
      </c>
      <c r="H638" s="6" t="str">
        <f t="shared" si="80"/>
        <v>09월 3주차</v>
      </c>
      <c r="I638" s="6" t="str">
        <f>H638&amp;" ("&amp;TEXT(C634,"m/dd")&amp;"~"&amp;TEXT(C640,"m/dd")&amp;")"</f>
        <v>09월 3주차 (9/18~9/24)</v>
      </c>
      <c r="J638" s="6" t="str">
        <f>A634&amp;"년 "&amp;WEEKNUM(C634,2)&amp;"주차"&amp;" ("&amp;TEXT(C634,"m/dd")&amp;"~"&amp;TEXT(C640,"m/dd")&amp;")"</f>
        <v>2023년 39주차 (9/18~9/24)</v>
      </c>
      <c r="K638" s="6">
        <f t="shared" si="86"/>
        <v>2023</v>
      </c>
      <c r="L638" s="6">
        <f t="shared" si="87"/>
        <v>39</v>
      </c>
    </row>
    <row r="639" spans="1:12" x14ac:dyDescent="0.45">
      <c r="A639" s="6">
        <f t="shared" si="81"/>
        <v>2023</v>
      </c>
      <c r="B639" s="6">
        <f t="shared" si="82"/>
        <v>9</v>
      </c>
      <c r="C639" s="7">
        <v>45192</v>
      </c>
      <c r="D639" s="6">
        <f t="shared" si="83"/>
        <v>6</v>
      </c>
      <c r="E639" s="6">
        <f t="shared" si="84"/>
        <v>39</v>
      </c>
      <c r="F639" s="6">
        <f t="shared" si="85"/>
        <v>3</v>
      </c>
      <c r="G639" s="6" t="str">
        <f t="shared" si="79"/>
        <v>09</v>
      </c>
      <c r="H639" s="6" t="str">
        <f t="shared" si="80"/>
        <v>09월 3주차</v>
      </c>
      <c r="I639" s="6" t="str">
        <f>H639&amp;" ("&amp;TEXT(C634,"m/dd")&amp;"~"&amp;TEXT(C640,"m/dd")&amp;")"</f>
        <v>09월 3주차 (9/18~9/24)</v>
      </c>
      <c r="J639" s="6" t="str">
        <f>A634&amp;"년 "&amp;WEEKNUM(C634,2)&amp;"주차"&amp;" ("&amp;TEXT(C634,"m/dd")&amp;"~"&amp;TEXT(C640,"m/dd")&amp;")"</f>
        <v>2023년 39주차 (9/18~9/24)</v>
      </c>
      <c r="K639" s="6">
        <f t="shared" si="86"/>
        <v>2023</v>
      </c>
      <c r="L639" s="6">
        <f t="shared" si="87"/>
        <v>39</v>
      </c>
    </row>
    <row r="640" spans="1:12" x14ac:dyDescent="0.45">
      <c r="A640" s="6">
        <f t="shared" si="81"/>
        <v>2023</v>
      </c>
      <c r="B640" s="6">
        <f t="shared" si="82"/>
        <v>9</v>
      </c>
      <c r="C640" s="7">
        <v>45193</v>
      </c>
      <c r="D640" s="6">
        <f t="shared" si="83"/>
        <v>7</v>
      </c>
      <c r="E640" s="6">
        <f t="shared" si="84"/>
        <v>39</v>
      </c>
      <c r="F640" s="6">
        <f t="shared" si="85"/>
        <v>3</v>
      </c>
      <c r="G640" s="6" t="str">
        <f t="shared" si="79"/>
        <v>09</v>
      </c>
      <c r="H640" s="6" t="str">
        <f t="shared" si="80"/>
        <v>09월 3주차</v>
      </c>
      <c r="I640" s="6" t="str">
        <f>H640&amp;" ("&amp;TEXT(C634,"m/dd")&amp;"~"&amp;TEXT(C640,"m/dd")&amp;")"</f>
        <v>09월 3주차 (9/18~9/24)</v>
      </c>
      <c r="J640" s="6" t="str">
        <f>A634&amp;"년 "&amp;WEEKNUM(C634,2)&amp;"주차"&amp;" ("&amp;TEXT(C634,"m/dd")&amp;"~"&amp;TEXT(C640,"m/dd")&amp;")"</f>
        <v>2023년 39주차 (9/18~9/24)</v>
      </c>
      <c r="K640" s="6">
        <f t="shared" si="86"/>
        <v>2023</v>
      </c>
      <c r="L640" s="6">
        <f t="shared" si="87"/>
        <v>39</v>
      </c>
    </row>
    <row r="641" spans="1:12" x14ac:dyDescent="0.45">
      <c r="A641" s="6">
        <f t="shared" si="81"/>
        <v>2023</v>
      </c>
      <c r="B641" s="6">
        <f t="shared" si="82"/>
        <v>9</v>
      </c>
      <c r="C641" s="7">
        <v>45194</v>
      </c>
      <c r="D641" s="6">
        <f t="shared" si="83"/>
        <v>1</v>
      </c>
      <c r="E641" s="6">
        <f t="shared" si="84"/>
        <v>40</v>
      </c>
      <c r="F641" s="6">
        <f t="shared" si="85"/>
        <v>4</v>
      </c>
      <c r="G641" s="6" t="str">
        <f t="shared" si="79"/>
        <v>09</v>
      </c>
      <c r="H641" s="6" t="str">
        <f t="shared" si="80"/>
        <v>09월 4주차</v>
      </c>
      <c r="I641" s="6" t="str">
        <f>H641&amp;" ("&amp;TEXT(C641,"m/dd")&amp;"~"&amp;TEXT(C647,"m/dd")&amp;")"</f>
        <v>09월 4주차 (9/25~10/01)</v>
      </c>
      <c r="J641" s="6" t="str">
        <f>A641&amp;"년 "&amp;WEEKNUM(C641,2)&amp;"주차"&amp;" ("&amp;TEXT(C641,"m/dd")&amp;"~"&amp;TEXT(C647,"m/dd")&amp;")"</f>
        <v>2023년 40주차 (9/25~10/01)</v>
      </c>
      <c r="K641" s="6">
        <f t="shared" si="86"/>
        <v>2023</v>
      </c>
      <c r="L641" s="6">
        <f t="shared" si="87"/>
        <v>40</v>
      </c>
    </row>
    <row r="642" spans="1:12" x14ac:dyDescent="0.45">
      <c r="A642" s="6">
        <f t="shared" si="81"/>
        <v>2023</v>
      </c>
      <c r="B642" s="6">
        <f t="shared" si="82"/>
        <v>9</v>
      </c>
      <c r="C642" s="7">
        <v>45195</v>
      </c>
      <c r="D642" s="6">
        <f t="shared" si="83"/>
        <v>2</v>
      </c>
      <c r="E642" s="6">
        <f t="shared" si="84"/>
        <v>40</v>
      </c>
      <c r="F642" s="6">
        <f t="shared" si="85"/>
        <v>4</v>
      </c>
      <c r="G642" s="6" t="str">
        <f t="shared" si="79"/>
        <v>09</v>
      </c>
      <c r="H642" s="6" t="str">
        <f t="shared" si="80"/>
        <v>09월 4주차</v>
      </c>
      <c r="I642" s="6" t="str">
        <f>H642&amp;" ("&amp;TEXT(C641,"m/dd")&amp;"~"&amp;TEXT(C647,"m/dd")&amp;")"</f>
        <v>09월 4주차 (9/25~10/01)</v>
      </c>
      <c r="J642" s="6" t="str">
        <f>A641&amp;"년 "&amp;WEEKNUM(C641,2)&amp;"주차"&amp;" ("&amp;TEXT(C641,"m/dd")&amp;"~"&amp;TEXT(C647,"m/dd")&amp;")"</f>
        <v>2023년 40주차 (9/25~10/01)</v>
      </c>
      <c r="K642" s="6">
        <f t="shared" si="86"/>
        <v>2023</v>
      </c>
      <c r="L642" s="6">
        <f t="shared" si="87"/>
        <v>40</v>
      </c>
    </row>
    <row r="643" spans="1:12" x14ac:dyDescent="0.45">
      <c r="A643" s="6">
        <f t="shared" si="81"/>
        <v>2023</v>
      </c>
      <c r="B643" s="6">
        <f t="shared" si="82"/>
        <v>9</v>
      </c>
      <c r="C643" s="7">
        <v>45196</v>
      </c>
      <c r="D643" s="6">
        <f t="shared" si="83"/>
        <v>3</v>
      </c>
      <c r="E643" s="6">
        <f t="shared" si="84"/>
        <v>40</v>
      </c>
      <c r="F643" s="6">
        <f t="shared" si="85"/>
        <v>4</v>
      </c>
      <c r="G643" s="6" t="str">
        <f t="shared" si="79"/>
        <v>09</v>
      </c>
      <c r="H643" s="6" t="str">
        <f t="shared" si="80"/>
        <v>09월 4주차</v>
      </c>
      <c r="I643" s="6" t="str">
        <f>H643&amp;" ("&amp;TEXT(C641,"m/dd")&amp;"~"&amp;TEXT(C647,"m/dd")&amp;")"</f>
        <v>09월 4주차 (9/25~10/01)</v>
      </c>
      <c r="J643" s="6" t="str">
        <f>A641&amp;"년 "&amp;WEEKNUM(C641,2)&amp;"주차"&amp;" ("&amp;TEXT(C641,"m/dd")&amp;"~"&amp;TEXT(C647,"m/dd")&amp;")"</f>
        <v>2023년 40주차 (9/25~10/01)</v>
      </c>
      <c r="K643" s="6">
        <f t="shared" si="86"/>
        <v>2023</v>
      </c>
      <c r="L643" s="6">
        <f t="shared" si="87"/>
        <v>40</v>
      </c>
    </row>
    <row r="644" spans="1:12" x14ac:dyDescent="0.45">
      <c r="A644" s="6">
        <f t="shared" si="81"/>
        <v>2023</v>
      </c>
      <c r="B644" s="6">
        <f t="shared" si="82"/>
        <v>9</v>
      </c>
      <c r="C644" s="7">
        <v>45197</v>
      </c>
      <c r="D644" s="6">
        <f t="shared" si="83"/>
        <v>4</v>
      </c>
      <c r="E644" s="6">
        <f t="shared" si="84"/>
        <v>40</v>
      </c>
      <c r="F644" s="6">
        <f t="shared" si="85"/>
        <v>4</v>
      </c>
      <c r="G644" s="6" t="str">
        <f t="shared" si="79"/>
        <v>09</v>
      </c>
      <c r="H644" s="6" t="str">
        <f t="shared" si="80"/>
        <v>09월 4주차</v>
      </c>
      <c r="I644" s="6" t="str">
        <f>H644&amp;" ("&amp;TEXT(C641,"m/dd")&amp;"~"&amp;TEXT(C647,"m/dd")&amp;")"</f>
        <v>09월 4주차 (9/25~10/01)</v>
      </c>
      <c r="J644" s="6" t="str">
        <f>A641&amp;"년 "&amp;WEEKNUM(C641,2)&amp;"주차"&amp;" ("&amp;TEXT(C641,"m/dd")&amp;"~"&amp;TEXT(C647,"m/dd")&amp;")"</f>
        <v>2023년 40주차 (9/25~10/01)</v>
      </c>
      <c r="K644" s="6">
        <f t="shared" si="86"/>
        <v>2023</v>
      </c>
      <c r="L644" s="6">
        <f t="shared" si="87"/>
        <v>40</v>
      </c>
    </row>
    <row r="645" spans="1:12" x14ac:dyDescent="0.45">
      <c r="A645" s="6">
        <f t="shared" si="81"/>
        <v>2023</v>
      </c>
      <c r="B645" s="6">
        <f t="shared" si="82"/>
        <v>9</v>
      </c>
      <c r="C645" s="7">
        <v>45198</v>
      </c>
      <c r="D645" s="6">
        <f t="shared" si="83"/>
        <v>5</v>
      </c>
      <c r="E645" s="6">
        <f t="shared" si="84"/>
        <v>40</v>
      </c>
      <c r="F645" s="6">
        <f t="shared" si="85"/>
        <v>4</v>
      </c>
      <c r="G645" s="6" t="str">
        <f t="shared" si="79"/>
        <v>09</v>
      </c>
      <c r="H645" s="6" t="str">
        <f t="shared" si="80"/>
        <v>09월 4주차</v>
      </c>
      <c r="I645" s="6" t="str">
        <f>H645&amp;" ("&amp;TEXT(C641,"m/dd")&amp;"~"&amp;TEXT(C647,"m/dd")&amp;")"</f>
        <v>09월 4주차 (9/25~10/01)</v>
      </c>
      <c r="J645" s="6" t="str">
        <f>A641&amp;"년 "&amp;WEEKNUM(C641,2)&amp;"주차"&amp;" ("&amp;TEXT(C641,"m/dd")&amp;"~"&amp;TEXT(C647,"m/dd")&amp;")"</f>
        <v>2023년 40주차 (9/25~10/01)</v>
      </c>
      <c r="K645" s="6">
        <f t="shared" si="86"/>
        <v>2023</v>
      </c>
      <c r="L645" s="6">
        <f t="shared" si="87"/>
        <v>40</v>
      </c>
    </row>
    <row r="646" spans="1:12" x14ac:dyDescent="0.45">
      <c r="A646" s="6">
        <f t="shared" si="81"/>
        <v>2023</v>
      </c>
      <c r="B646" s="6">
        <f t="shared" si="82"/>
        <v>9</v>
      </c>
      <c r="C646" s="7">
        <v>45199</v>
      </c>
      <c r="D646" s="6">
        <f t="shared" si="83"/>
        <v>6</v>
      </c>
      <c r="E646" s="6">
        <f t="shared" si="84"/>
        <v>40</v>
      </c>
      <c r="F646" s="6">
        <f t="shared" si="85"/>
        <v>4</v>
      </c>
      <c r="G646" s="6" t="str">
        <f t="shared" si="79"/>
        <v>09</v>
      </c>
      <c r="H646" s="6" t="str">
        <f t="shared" si="80"/>
        <v>09월 4주차</v>
      </c>
      <c r="I646" s="6" t="str">
        <f>H646&amp;" ("&amp;TEXT(C641,"m/dd")&amp;"~"&amp;TEXT(C647,"m/dd")&amp;")"</f>
        <v>09월 4주차 (9/25~10/01)</v>
      </c>
      <c r="J646" s="6" t="str">
        <f>A641&amp;"년 "&amp;WEEKNUM(C641,2)&amp;"주차"&amp;" ("&amp;TEXT(C641,"m/dd")&amp;"~"&amp;TEXT(C647,"m/dd")&amp;")"</f>
        <v>2023년 40주차 (9/25~10/01)</v>
      </c>
      <c r="K646" s="6">
        <f t="shared" si="86"/>
        <v>2023</v>
      </c>
      <c r="L646" s="6">
        <f t="shared" si="87"/>
        <v>40</v>
      </c>
    </row>
    <row r="647" spans="1:12" x14ac:dyDescent="0.45">
      <c r="A647" s="6">
        <f t="shared" si="81"/>
        <v>2023</v>
      </c>
      <c r="B647" s="6">
        <v>9</v>
      </c>
      <c r="C647" s="7">
        <v>45200</v>
      </c>
      <c r="D647" s="6">
        <f t="shared" si="83"/>
        <v>7</v>
      </c>
      <c r="E647" s="6">
        <f t="shared" si="84"/>
        <v>40</v>
      </c>
      <c r="F647" s="6">
        <f t="shared" si="85"/>
        <v>4</v>
      </c>
      <c r="G647" s="6" t="str">
        <f t="shared" si="79"/>
        <v>09</v>
      </c>
      <c r="H647" s="6" t="str">
        <f t="shared" si="80"/>
        <v>09월 4주차</v>
      </c>
      <c r="I647" s="6" t="str">
        <f>H647&amp;" ("&amp;TEXT(C641,"m/dd")&amp;"~"&amp;TEXT(C647,"m/dd")&amp;")"</f>
        <v>09월 4주차 (9/25~10/01)</v>
      </c>
      <c r="J647" s="6" t="str">
        <f>A641&amp;"년 "&amp;WEEKNUM(C641,2)&amp;"주차"&amp;" ("&amp;TEXT(C641,"m/dd")&amp;"~"&amp;TEXT(C647,"m/dd")&amp;")"</f>
        <v>2023년 40주차 (9/25~10/01)</v>
      </c>
      <c r="K647" s="6">
        <f t="shared" si="86"/>
        <v>2023</v>
      </c>
      <c r="L647" s="6">
        <f t="shared" si="87"/>
        <v>40</v>
      </c>
    </row>
    <row r="648" spans="1:12" x14ac:dyDescent="0.45">
      <c r="A648" s="6">
        <f t="shared" si="81"/>
        <v>2023</v>
      </c>
      <c r="B648" s="6">
        <f t="shared" ref="B648:B675" si="88">MONTH(C648)</f>
        <v>10</v>
      </c>
      <c r="C648" s="7">
        <v>45201</v>
      </c>
      <c r="D648" s="6">
        <f t="shared" si="83"/>
        <v>1</v>
      </c>
      <c r="E648" s="6">
        <f t="shared" si="84"/>
        <v>41</v>
      </c>
      <c r="F648" s="6">
        <f t="shared" si="85"/>
        <v>1</v>
      </c>
      <c r="G648" s="6">
        <f t="shared" si="79"/>
        <v>10</v>
      </c>
      <c r="H648" s="6" t="str">
        <f t="shared" si="80"/>
        <v>10월 1주차</v>
      </c>
      <c r="I648" s="6" t="str">
        <f>H648&amp;" ("&amp;TEXT(C648,"m/dd")&amp;"~"&amp;TEXT(C654,"m/dd")&amp;")"</f>
        <v>10월 1주차 (10/02~10/08)</v>
      </c>
      <c r="J648" s="6" t="str">
        <f>A648&amp;"년 "&amp;WEEKNUM(C648,2)&amp;"주차"&amp;" ("&amp;TEXT(C648,"m/dd")&amp;"~"&amp;TEXT(C654,"m/dd")&amp;")"</f>
        <v>2023년 41주차 (10/02~10/08)</v>
      </c>
      <c r="K648" s="6">
        <f t="shared" si="86"/>
        <v>2023</v>
      </c>
      <c r="L648" s="6">
        <f t="shared" si="87"/>
        <v>41</v>
      </c>
    </row>
    <row r="649" spans="1:12" x14ac:dyDescent="0.45">
      <c r="A649" s="6">
        <f t="shared" si="81"/>
        <v>2023</v>
      </c>
      <c r="B649" s="6">
        <f t="shared" si="88"/>
        <v>10</v>
      </c>
      <c r="C649" s="7">
        <v>45202</v>
      </c>
      <c r="D649" s="6">
        <f t="shared" si="83"/>
        <v>2</v>
      </c>
      <c r="E649" s="6">
        <f t="shared" si="84"/>
        <v>41</v>
      </c>
      <c r="F649" s="6">
        <f t="shared" si="85"/>
        <v>1</v>
      </c>
      <c r="G649" s="6">
        <f t="shared" si="79"/>
        <v>10</v>
      </c>
      <c r="H649" s="6" t="str">
        <f t="shared" si="80"/>
        <v>10월 1주차</v>
      </c>
      <c r="I649" s="6" t="str">
        <f>H649&amp;" ("&amp;TEXT(C648,"m/dd")&amp;"~"&amp;TEXT(C654,"m/dd")&amp;")"</f>
        <v>10월 1주차 (10/02~10/08)</v>
      </c>
      <c r="J649" s="6" t="str">
        <f>A648&amp;"년 "&amp;WEEKNUM(C648,2)&amp;"주차"&amp;" ("&amp;TEXT(C648,"m/dd")&amp;"~"&amp;TEXT(C654,"m/dd")&amp;")"</f>
        <v>2023년 41주차 (10/02~10/08)</v>
      </c>
      <c r="K649" s="6">
        <f t="shared" si="86"/>
        <v>2023</v>
      </c>
      <c r="L649" s="6">
        <f t="shared" si="87"/>
        <v>41</v>
      </c>
    </row>
    <row r="650" spans="1:12" x14ac:dyDescent="0.45">
      <c r="A650" s="6">
        <f t="shared" si="81"/>
        <v>2023</v>
      </c>
      <c r="B650" s="6">
        <f t="shared" si="88"/>
        <v>10</v>
      </c>
      <c r="C650" s="7">
        <v>45203</v>
      </c>
      <c r="D650" s="6">
        <f t="shared" si="83"/>
        <v>3</v>
      </c>
      <c r="E650" s="6">
        <f t="shared" si="84"/>
        <v>41</v>
      </c>
      <c r="F650" s="6">
        <f t="shared" si="85"/>
        <v>1</v>
      </c>
      <c r="G650" s="6">
        <f t="shared" si="79"/>
        <v>10</v>
      </c>
      <c r="H650" s="6" t="str">
        <f t="shared" si="80"/>
        <v>10월 1주차</v>
      </c>
      <c r="I650" s="6" t="str">
        <f>H650&amp;" ("&amp;TEXT(C648,"m/dd")&amp;"~"&amp;TEXT(C654,"m/dd")&amp;")"</f>
        <v>10월 1주차 (10/02~10/08)</v>
      </c>
      <c r="J650" s="6" t="str">
        <f>A648&amp;"년 "&amp;WEEKNUM(C648,2)&amp;"주차"&amp;" ("&amp;TEXT(C648,"m/dd")&amp;"~"&amp;TEXT(C654,"m/dd")&amp;")"</f>
        <v>2023년 41주차 (10/02~10/08)</v>
      </c>
      <c r="K650" s="6">
        <f t="shared" si="86"/>
        <v>2023</v>
      </c>
      <c r="L650" s="6">
        <f t="shared" si="87"/>
        <v>41</v>
      </c>
    </row>
    <row r="651" spans="1:12" x14ac:dyDescent="0.45">
      <c r="A651" s="6">
        <f t="shared" si="81"/>
        <v>2023</v>
      </c>
      <c r="B651" s="6">
        <f t="shared" si="88"/>
        <v>10</v>
      </c>
      <c r="C651" s="7">
        <v>45204</v>
      </c>
      <c r="D651" s="6">
        <f t="shared" si="83"/>
        <v>4</v>
      </c>
      <c r="E651" s="6">
        <f t="shared" si="84"/>
        <v>41</v>
      </c>
      <c r="F651" s="6">
        <f t="shared" si="85"/>
        <v>1</v>
      </c>
      <c r="G651" s="6">
        <f t="shared" ref="G651:G714" si="89">IF(LEN(B651)=1,_xlfn.CONCAT(0,B651),B651)</f>
        <v>10</v>
      </c>
      <c r="H651" s="6" t="str">
        <f t="shared" ref="H651:H714" si="90">G651&amp;"월 "&amp;F651&amp;"주차"</f>
        <v>10월 1주차</v>
      </c>
      <c r="I651" s="6" t="str">
        <f>H651&amp;" ("&amp;TEXT(C648,"m/dd")&amp;"~"&amp;TEXT(C654,"m/dd")&amp;")"</f>
        <v>10월 1주차 (10/02~10/08)</v>
      </c>
      <c r="J651" s="6" t="str">
        <f>A648&amp;"년 "&amp;WEEKNUM(C648,2)&amp;"주차"&amp;" ("&amp;TEXT(C648,"m/dd")&amp;"~"&amp;TEXT(C654,"m/dd")&amp;")"</f>
        <v>2023년 41주차 (10/02~10/08)</v>
      </c>
      <c r="K651" s="6">
        <f t="shared" si="86"/>
        <v>2023</v>
      </c>
      <c r="L651" s="6">
        <f t="shared" si="87"/>
        <v>41</v>
      </c>
    </row>
    <row r="652" spans="1:12" x14ac:dyDescent="0.45">
      <c r="A652" s="6">
        <f t="shared" si="81"/>
        <v>2023</v>
      </c>
      <c r="B652" s="6">
        <f t="shared" si="88"/>
        <v>10</v>
      </c>
      <c r="C652" s="7">
        <v>45205</v>
      </c>
      <c r="D652" s="6">
        <f t="shared" si="83"/>
        <v>5</v>
      </c>
      <c r="E652" s="6">
        <f t="shared" si="84"/>
        <v>41</v>
      </c>
      <c r="F652" s="6">
        <f t="shared" si="85"/>
        <v>1</v>
      </c>
      <c r="G652" s="6">
        <f t="shared" si="89"/>
        <v>10</v>
      </c>
      <c r="H652" s="6" t="str">
        <f t="shared" si="90"/>
        <v>10월 1주차</v>
      </c>
      <c r="I652" s="6" t="str">
        <f>H652&amp;" ("&amp;TEXT(C648,"m/dd")&amp;"~"&amp;TEXT(C654,"m/dd")&amp;")"</f>
        <v>10월 1주차 (10/02~10/08)</v>
      </c>
      <c r="J652" s="6" t="str">
        <f>A648&amp;"년 "&amp;WEEKNUM(C648,2)&amp;"주차"&amp;" ("&amp;TEXT(C648,"m/dd")&amp;"~"&amp;TEXT(C654,"m/dd")&amp;")"</f>
        <v>2023년 41주차 (10/02~10/08)</v>
      </c>
      <c r="K652" s="6">
        <f t="shared" si="86"/>
        <v>2023</v>
      </c>
      <c r="L652" s="6">
        <f t="shared" si="87"/>
        <v>41</v>
      </c>
    </row>
    <row r="653" spans="1:12" x14ac:dyDescent="0.45">
      <c r="A653" s="6">
        <f t="shared" si="81"/>
        <v>2023</v>
      </c>
      <c r="B653" s="6">
        <f t="shared" si="88"/>
        <v>10</v>
      </c>
      <c r="C653" s="7">
        <v>45206</v>
      </c>
      <c r="D653" s="6">
        <f t="shared" si="83"/>
        <v>6</v>
      </c>
      <c r="E653" s="6">
        <f t="shared" si="84"/>
        <v>41</v>
      </c>
      <c r="F653" s="6">
        <f t="shared" si="85"/>
        <v>1</v>
      </c>
      <c r="G653" s="6">
        <f t="shared" si="89"/>
        <v>10</v>
      </c>
      <c r="H653" s="6" t="str">
        <f t="shared" si="90"/>
        <v>10월 1주차</v>
      </c>
      <c r="I653" s="6" t="str">
        <f>H653&amp;" ("&amp;TEXT(C648,"m/dd")&amp;"~"&amp;TEXT(C654,"m/dd")&amp;")"</f>
        <v>10월 1주차 (10/02~10/08)</v>
      </c>
      <c r="J653" s="6" t="str">
        <f>A648&amp;"년 "&amp;WEEKNUM(C648,2)&amp;"주차"&amp;" ("&amp;TEXT(C648,"m/dd")&amp;"~"&amp;TEXT(C654,"m/dd")&amp;")"</f>
        <v>2023년 41주차 (10/02~10/08)</v>
      </c>
      <c r="K653" s="6">
        <f t="shared" si="86"/>
        <v>2023</v>
      </c>
      <c r="L653" s="6">
        <f t="shared" si="87"/>
        <v>41</v>
      </c>
    </row>
    <row r="654" spans="1:12" x14ac:dyDescent="0.45">
      <c r="A654" s="6">
        <f t="shared" si="81"/>
        <v>2023</v>
      </c>
      <c r="B654" s="6">
        <f t="shared" si="88"/>
        <v>10</v>
      </c>
      <c r="C654" s="7">
        <v>45207</v>
      </c>
      <c r="D654" s="6">
        <f t="shared" si="83"/>
        <v>7</v>
      </c>
      <c r="E654" s="6">
        <f t="shared" si="84"/>
        <v>41</v>
      </c>
      <c r="F654" s="6">
        <f t="shared" si="85"/>
        <v>1</v>
      </c>
      <c r="G654" s="6">
        <f t="shared" si="89"/>
        <v>10</v>
      </c>
      <c r="H654" s="6" t="str">
        <f t="shared" si="90"/>
        <v>10월 1주차</v>
      </c>
      <c r="I654" s="6" t="str">
        <f>H654&amp;" ("&amp;TEXT(C648,"m/dd")&amp;"~"&amp;TEXT(C654,"m/dd")&amp;")"</f>
        <v>10월 1주차 (10/02~10/08)</v>
      </c>
      <c r="J654" s="6" t="str">
        <f>A648&amp;"년 "&amp;WEEKNUM(C648,2)&amp;"주차"&amp;" ("&amp;TEXT(C648,"m/dd")&amp;"~"&amp;TEXT(C654,"m/dd")&amp;")"</f>
        <v>2023년 41주차 (10/02~10/08)</v>
      </c>
      <c r="K654" s="6">
        <f t="shared" si="86"/>
        <v>2023</v>
      </c>
      <c r="L654" s="6">
        <f t="shared" si="87"/>
        <v>41</v>
      </c>
    </row>
    <row r="655" spans="1:12" x14ac:dyDescent="0.45">
      <c r="A655" s="6">
        <f t="shared" ref="A655:A718" si="91">YEAR(C655)</f>
        <v>2023</v>
      </c>
      <c r="B655" s="6">
        <f t="shared" si="88"/>
        <v>10</v>
      </c>
      <c r="C655" s="7">
        <v>45208</v>
      </c>
      <c r="D655" s="6">
        <f t="shared" si="83"/>
        <v>1</v>
      </c>
      <c r="E655" s="6">
        <f t="shared" si="84"/>
        <v>42</v>
      </c>
      <c r="F655" s="6">
        <f t="shared" si="85"/>
        <v>2</v>
      </c>
      <c r="G655" s="6">
        <f t="shared" si="89"/>
        <v>10</v>
      </c>
      <c r="H655" s="6" t="str">
        <f t="shared" si="90"/>
        <v>10월 2주차</v>
      </c>
      <c r="I655" s="6" t="str">
        <f>H655&amp;" ("&amp;TEXT(C655,"m/dd")&amp;"~"&amp;TEXT(C661,"m/dd")&amp;")"</f>
        <v>10월 2주차 (10/09~10/15)</v>
      </c>
      <c r="J655" s="6" t="str">
        <f>A655&amp;"년 "&amp;WEEKNUM(C655,2)&amp;"주차"&amp;" ("&amp;TEXT(C655,"m/dd")&amp;"~"&amp;TEXT(C661,"m/dd")&amp;")"</f>
        <v>2023년 42주차 (10/09~10/15)</v>
      </c>
      <c r="K655" s="6">
        <f t="shared" si="86"/>
        <v>2023</v>
      </c>
      <c r="L655" s="6">
        <f t="shared" si="87"/>
        <v>42</v>
      </c>
    </row>
    <row r="656" spans="1:12" x14ac:dyDescent="0.45">
      <c r="A656" s="6">
        <f t="shared" si="91"/>
        <v>2023</v>
      </c>
      <c r="B656" s="6">
        <f t="shared" si="88"/>
        <v>10</v>
      </c>
      <c r="C656" s="7">
        <v>45209</v>
      </c>
      <c r="D656" s="6">
        <f t="shared" si="83"/>
        <v>2</v>
      </c>
      <c r="E656" s="6">
        <f t="shared" si="84"/>
        <v>42</v>
      </c>
      <c r="F656" s="6">
        <f t="shared" si="85"/>
        <v>2</v>
      </c>
      <c r="G656" s="6">
        <f t="shared" si="89"/>
        <v>10</v>
      </c>
      <c r="H656" s="6" t="str">
        <f t="shared" si="90"/>
        <v>10월 2주차</v>
      </c>
      <c r="I656" s="6" t="str">
        <f>H656&amp;" ("&amp;TEXT(C655,"m/dd")&amp;"~"&amp;TEXT(C661,"m/dd")&amp;")"</f>
        <v>10월 2주차 (10/09~10/15)</v>
      </c>
      <c r="J656" s="6" t="str">
        <f>A655&amp;"년 "&amp;WEEKNUM(C655,2)&amp;"주차"&amp;" ("&amp;TEXT(C655,"m/dd")&amp;"~"&amp;TEXT(C661,"m/dd")&amp;")"</f>
        <v>2023년 42주차 (10/09~10/15)</v>
      </c>
      <c r="K656" s="6">
        <f t="shared" si="86"/>
        <v>2023</v>
      </c>
      <c r="L656" s="6">
        <f t="shared" si="87"/>
        <v>42</v>
      </c>
    </row>
    <row r="657" spans="1:12" x14ac:dyDescent="0.45">
      <c r="A657" s="6">
        <f t="shared" si="91"/>
        <v>2023</v>
      </c>
      <c r="B657" s="6">
        <f t="shared" si="88"/>
        <v>10</v>
      </c>
      <c r="C657" s="7">
        <v>45210</v>
      </c>
      <c r="D657" s="6">
        <f t="shared" si="83"/>
        <v>3</v>
      </c>
      <c r="E657" s="6">
        <f t="shared" si="84"/>
        <v>42</v>
      </c>
      <c r="F657" s="6">
        <f t="shared" si="85"/>
        <v>2</v>
      </c>
      <c r="G657" s="6">
        <f t="shared" si="89"/>
        <v>10</v>
      </c>
      <c r="H657" s="6" t="str">
        <f t="shared" si="90"/>
        <v>10월 2주차</v>
      </c>
      <c r="I657" s="6" t="str">
        <f>H657&amp;" ("&amp;TEXT(C655,"m/dd")&amp;"~"&amp;TEXT(C661,"m/dd")&amp;")"</f>
        <v>10월 2주차 (10/09~10/15)</v>
      </c>
      <c r="J657" s="6" t="str">
        <f>A655&amp;"년 "&amp;WEEKNUM(C655,2)&amp;"주차"&amp;" ("&amp;TEXT(C655,"m/dd")&amp;"~"&amp;TEXT(C661,"m/dd")&amp;")"</f>
        <v>2023년 42주차 (10/09~10/15)</v>
      </c>
      <c r="K657" s="6">
        <f t="shared" si="86"/>
        <v>2023</v>
      </c>
      <c r="L657" s="6">
        <f t="shared" si="87"/>
        <v>42</v>
      </c>
    </row>
    <row r="658" spans="1:12" x14ac:dyDescent="0.45">
      <c r="A658" s="6">
        <f t="shared" si="91"/>
        <v>2023</v>
      </c>
      <c r="B658" s="6">
        <f t="shared" si="88"/>
        <v>10</v>
      </c>
      <c r="C658" s="7">
        <v>45211</v>
      </c>
      <c r="D658" s="6">
        <f t="shared" si="83"/>
        <v>4</v>
      </c>
      <c r="E658" s="6">
        <f t="shared" si="84"/>
        <v>42</v>
      </c>
      <c r="F658" s="6">
        <f t="shared" si="85"/>
        <v>2</v>
      </c>
      <c r="G658" s="6">
        <f t="shared" si="89"/>
        <v>10</v>
      </c>
      <c r="H658" s="6" t="str">
        <f t="shared" si="90"/>
        <v>10월 2주차</v>
      </c>
      <c r="I658" s="6" t="str">
        <f>H658&amp;" ("&amp;TEXT(C655,"m/dd")&amp;"~"&amp;TEXT(C661,"m/dd")&amp;")"</f>
        <v>10월 2주차 (10/09~10/15)</v>
      </c>
      <c r="J658" s="6" t="str">
        <f>A655&amp;"년 "&amp;WEEKNUM(C655,2)&amp;"주차"&amp;" ("&amp;TEXT(C655,"m/dd")&amp;"~"&amp;TEXT(C661,"m/dd")&amp;")"</f>
        <v>2023년 42주차 (10/09~10/15)</v>
      </c>
      <c r="K658" s="6">
        <f t="shared" si="86"/>
        <v>2023</v>
      </c>
      <c r="L658" s="6">
        <f t="shared" si="87"/>
        <v>42</v>
      </c>
    </row>
    <row r="659" spans="1:12" x14ac:dyDescent="0.45">
      <c r="A659" s="6">
        <f t="shared" si="91"/>
        <v>2023</v>
      </c>
      <c r="B659" s="6">
        <f t="shared" si="88"/>
        <v>10</v>
      </c>
      <c r="C659" s="7">
        <v>45212</v>
      </c>
      <c r="D659" s="6">
        <f t="shared" si="83"/>
        <v>5</v>
      </c>
      <c r="E659" s="6">
        <f t="shared" si="84"/>
        <v>42</v>
      </c>
      <c r="F659" s="6">
        <f t="shared" si="85"/>
        <v>2</v>
      </c>
      <c r="G659" s="6">
        <f t="shared" si="89"/>
        <v>10</v>
      </c>
      <c r="H659" s="6" t="str">
        <f t="shared" si="90"/>
        <v>10월 2주차</v>
      </c>
      <c r="I659" s="6" t="str">
        <f>H659&amp;" ("&amp;TEXT(C655,"m/dd")&amp;"~"&amp;TEXT(C661,"m/dd")&amp;")"</f>
        <v>10월 2주차 (10/09~10/15)</v>
      </c>
      <c r="J659" s="6" t="str">
        <f>A655&amp;"년 "&amp;WEEKNUM(C655,2)&amp;"주차"&amp;" ("&amp;TEXT(C655,"m/dd")&amp;"~"&amp;TEXT(C661,"m/dd")&amp;")"</f>
        <v>2023년 42주차 (10/09~10/15)</v>
      </c>
      <c r="K659" s="6">
        <f t="shared" si="86"/>
        <v>2023</v>
      </c>
      <c r="L659" s="6">
        <f t="shared" si="87"/>
        <v>42</v>
      </c>
    </row>
    <row r="660" spans="1:12" x14ac:dyDescent="0.45">
      <c r="A660" s="6">
        <f t="shared" si="91"/>
        <v>2023</v>
      </c>
      <c r="B660" s="6">
        <f t="shared" si="88"/>
        <v>10</v>
      </c>
      <c r="C660" s="7">
        <v>45213</v>
      </c>
      <c r="D660" s="6">
        <f t="shared" si="83"/>
        <v>6</v>
      </c>
      <c r="E660" s="6">
        <f t="shared" si="84"/>
        <v>42</v>
      </c>
      <c r="F660" s="6">
        <f t="shared" si="85"/>
        <v>2</v>
      </c>
      <c r="G660" s="6">
        <f t="shared" si="89"/>
        <v>10</v>
      </c>
      <c r="H660" s="6" t="str">
        <f t="shared" si="90"/>
        <v>10월 2주차</v>
      </c>
      <c r="I660" s="6" t="str">
        <f>H660&amp;" ("&amp;TEXT(C655,"m/dd")&amp;"~"&amp;TEXT(C661,"m/dd")&amp;")"</f>
        <v>10월 2주차 (10/09~10/15)</v>
      </c>
      <c r="J660" s="6" t="str">
        <f>A655&amp;"년 "&amp;WEEKNUM(C655,2)&amp;"주차"&amp;" ("&amp;TEXT(C655,"m/dd")&amp;"~"&amp;TEXT(C661,"m/dd")&amp;")"</f>
        <v>2023년 42주차 (10/09~10/15)</v>
      </c>
      <c r="K660" s="6">
        <f t="shared" si="86"/>
        <v>2023</v>
      </c>
      <c r="L660" s="6">
        <f t="shared" si="87"/>
        <v>42</v>
      </c>
    </row>
    <row r="661" spans="1:12" x14ac:dyDescent="0.45">
      <c r="A661" s="6">
        <f t="shared" si="91"/>
        <v>2023</v>
      </c>
      <c r="B661" s="6">
        <f t="shared" si="88"/>
        <v>10</v>
      </c>
      <c r="C661" s="7">
        <v>45214</v>
      </c>
      <c r="D661" s="6">
        <f t="shared" si="83"/>
        <v>7</v>
      </c>
      <c r="E661" s="6">
        <f t="shared" si="84"/>
        <v>42</v>
      </c>
      <c r="F661" s="6">
        <f t="shared" si="85"/>
        <v>2</v>
      </c>
      <c r="G661" s="6">
        <f t="shared" si="89"/>
        <v>10</v>
      </c>
      <c r="H661" s="6" t="str">
        <f t="shared" si="90"/>
        <v>10월 2주차</v>
      </c>
      <c r="I661" s="6" t="str">
        <f>H661&amp;" ("&amp;TEXT(C655,"m/dd")&amp;"~"&amp;TEXT(C661,"m/dd")&amp;")"</f>
        <v>10월 2주차 (10/09~10/15)</v>
      </c>
      <c r="J661" s="6" t="str">
        <f>A655&amp;"년 "&amp;WEEKNUM(C655,2)&amp;"주차"&amp;" ("&amp;TEXT(C655,"m/dd")&amp;"~"&amp;TEXT(C661,"m/dd")&amp;")"</f>
        <v>2023년 42주차 (10/09~10/15)</v>
      </c>
      <c r="K661" s="6">
        <f t="shared" si="86"/>
        <v>2023</v>
      </c>
      <c r="L661" s="6">
        <f t="shared" si="87"/>
        <v>42</v>
      </c>
    </row>
    <row r="662" spans="1:12" x14ac:dyDescent="0.45">
      <c r="A662" s="6">
        <f t="shared" si="91"/>
        <v>2023</v>
      </c>
      <c r="B662" s="6">
        <f t="shared" si="88"/>
        <v>10</v>
      </c>
      <c r="C662" s="7">
        <v>45215</v>
      </c>
      <c r="D662" s="6">
        <f t="shared" si="83"/>
        <v>1</v>
      </c>
      <c r="E662" s="6">
        <f t="shared" si="84"/>
        <v>43</v>
      </c>
      <c r="F662" s="6">
        <f t="shared" si="85"/>
        <v>3</v>
      </c>
      <c r="G662" s="6">
        <f t="shared" si="89"/>
        <v>10</v>
      </c>
      <c r="H662" s="6" t="str">
        <f t="shared" si="90"/>
        <v>10월 3주차</v>
      </c>
      <c r="I662" s="6" t="str">
        <f>H662&amp;" ("&amp;TEXT(C662,"m/dd")&amp;"~"&amp;TEXT(C668,"m/dd")&amp;")"</f>
        <v>10월 3주차 (10/16~10/22)</v>
      </c>
      <c r="J662" s="6" t="str">
        <f>A662&amp;"년 "&amp;WEEKNUM(C662,2)&amp;"주차"&amp;" ("&amp;TEXT(C662,"m/dd")&amp;"~"&amp;TEXT(C668,"m/dd")&amp;")"</f>
        <v>2023년 43주차 (10/16~10/22)</v>
      </c>
      <c r="K662" s="6">
        <f t="shared" si="86"/>
        <v>2023</v>
      </c>
      <c r="L662" s="6">
        <f t="shared" si="87"/>
        <v>43</v>
      </c>
    </row>
    <row r="663" spans="1:12" x14ac:dyDescent="0.45">
      <c r="A663" s="6">
        <f t="shared" si="91"/>
        <v>2023</v>
      </c>
      <c r="B663" s="6">
        <f t="shared" si="88"/>
        <v>10</v>
      </c>
      <c r="C663" s="7">
        <v>45216</v>
      </c>
      <c r="D663" s="6">
        <f t="shared" ref="D663:D726" si="92">WEEKDAY(C663,2)</f>
        <v>2</v>
      </c>
      <c r="E663" s="6">
        <f t="shared" ref="E663:E726" si="93">WEEKNUM(C663,2)</f>
        <v>43</v>
      </c>
      <c r="F663" s="6">
        <f t="shared" si="85"/>
        <v>3</v>
      </c>
      <c r="G663" s="6">
        <f t="shared" si="89"/>
        <v>10</v>
      </c>
      <c r="H663" s="6" t="str">
        <f t="shared" si="90"/>
        <v>10월 3주차</v>
      </c>
      <c r="I663" s="6" t="str">
        <f>H663&amp;" ("&amp;TEXT(C662,"m/dd")&amp;"~"&amp;TEXT(C668,"m/dd")&amp;")"</f>
        <v>10월 3주차 (10/16~10/22)</v>
      </c>
      <c r="J663" s="6" t="str">
        <f>A662&amp;"년 "&amp;WEEKNUM(C662,2)&amp;"주차"&amp;" ("&amp;TEXT(C662,"m/dd")&amp;"~"&amp;TEXT(C668,"m/dd")&amp;")"</f>
        <v>2023년 43주차 (10/16~10/22)</v>
      </c>
      <c r="K663" s="6">
        <f t="shared" si="86"/>
        <v>2023</v>
      </c>
      <c r="L663" s="6">
        <f t="shared" si="87"/>
        <v>43</v>
      </c>
    </row>
    <row r="664" spans="1:12" x14ac:dyDescent="0.45">
      <c r="A664" s="6">
        <f t="shared" si="91"/>
        <v>2023</v>
      </c>
      <c r="B664" s="6">
        <f t="shared" si="88"/>
        <v>10</v>
      </c>
      <c r="C664" s="7">
        <v>45217</v>
      </c>
      <c r="D664" s="6">
        <f t="shared" si="92"/>
        <v>3</v>
      </c>
      <c r="E664" s="6">
        <f t="shared" si="93"/>
        <v>43</v>
      </c>
      <c r="F664" s="6">
        <f t="shared" si="85"/>
        <v>3</v>
      </c>
      <c r="G664" s="6">
        <f t="shared" si="89"/>
        <v>10</v>
      </c>
      <c r="H664" s="6" t="str">
        <f t="shared" si="90"/>
        <v>10월 3주차</v>
      </c>
      <c r="I664" s="6" t="str">
        <f>H664&amp;" ("&amp;TEXT(C662,"m/dd")&amp;"~"&amp;TEXT(C668,"m/dd")&amp;")"</f>
        <v>10월 3주차 (10/16~10/22)</v>
      </c>
      <c r="J664" s="6" t="str">
        <f>A662&amp;"년 "&amp;WEEKNUM(C662,2)&amp;"주차"&amp;" ("&amp;TEXT(C662,"m/dd")&amp;"~"&amp;TEXT(C668,"m/dd")&amp;")"</f>
        <v>2023년 43주차 (10/16~10/22)</v>
      </c>
      <c r="K664" s="6">
        <f t="shared" si="86"/>
        <v>2023</v>
      </c>
      <c r="L664" s="6">
        <f t="shared" si="87"/>
        <v>43</v>
      </c>
    </row>
    <row r="665" spans="1:12" x14ac:dyDescent="0.45">
      <c r="A665" s="6">
        <f t="shared" si="91"/>
        <v>2023</v>
      </c>
      <c r="B665" s="6">
        <f t="shared" si="88"/>
        <v>10</v>
      </c>
      <c r="C665" s="7">
        <v>45218</v>
      </c>
      <c r="D665" s="6">
        <f t="shared" si="92"/>
        <v>4</v>
      </c>
      <c r="E665" s="6">
        <f t="shared" si="93"/>
        <v>43</v>
      </c>
      <c r="F665" s="6">
        <f t="shared" si="85"/>
        <v>3</v>
      </c>
      <c r="G665" s="6">
        <f t="shared" si="89"/>
        <v>10</v>
      </c>
      <c r="H665" s="6" t="str">
        <f t="shared" si="90"/>
        <v>10월 3주차</v>
      </c>
      <c r="I665" s="6" t="str">
        <f>H665&amp;" ("&amp;TEXT(C662,"m/dd")&amp;"~"&amp;TEXT(C668,"m/dd")&amp;")"</f>
        <v>10월 3주차 (10/16~10/22)</v>
      </c>
      <c r="J665" s="6" t="str">
        <f>A662&amp;"년 "&amp;WEEKNUM(C662,2)&amp;"주차"&amp;" ("&amp;TEXT(C662,"m/dd")&amp;"~"&amp;TEXT(C668,"m/dd")&amp;")"</f>
        <v>2023년 43주차 (10/16~10/22)</v>
      </c>
      <c r="K665" s="6">
        <f t="shared" si="86"/>
        <v>2023</v>
      </c>
      <c r="L665" s="6">
        <f t="shared" si="87"/>
        <v>43</v>
      </c>
    </row>
    <row r="666" spans="1:12" x14ac:dyDescent="0.45">
      <c r="A666" s="6">
        <f t="shared" si="91"/>
        <v>2023</v>
      </c>
      <c r="B666" s="6">
        <f t="shared" si="88"/>
        <v>10</v>
      </c>
      <c r="C666" s="7">
        <v>45219</v>
      </c>
      <c r="D666" s="6">
        <f t="shared" si="92"/>
        <v>5</v>
      </c>
      <c r="E666" s="6">
        <f t="shared" si="93"/>
        <v>43</v>
      </c>
      <c r="F666" s="6">
        <f t="shared" si="85"/>
        <v>3</v>
      </c>
      <c r="G666" s="6">
        <f t="shared" si="89"/>
        <v>10</v>
      </c>
      <c r="H666" s="6" t="str">
        <f t="shared" si="90"/>
        <v>10월 3주차</v>
      </c>
      <c r="I666" s="6" t="str">
        <f>H666&amp;" ("&amp;TEXT(C662,"m/dd")&amp;"~"&amp;TEXT(C668,"m/dd")&amp;")"</f>
        <v>10월 3주차 (10/16~10/22)</v>
      </c>
      <c r="J666" s="6" t="str">
        <f>A662&amp;"년 "&amp;WEEKNUM(C662,2)&amp;"주차"&amp;" ("&amp;TEXT(C662,"m/dd")&amp;"~"&amp;TEXT(C668,"m/dd")&amp;")"</f>
        <v>2023년 43주차 (10/16~10/22)</v>
      </c>
      <c r="K666" s="6">
        <f t="shared" si="86"/>
        <v>2023</v>
      </c>
      <c r="L666" s="6">
        <f t="shared" si="87"/>
        <v>43</v>
      </c>
    </row>
    <row r="667" spans="1:12" x14ac:dyDescent="0.45">
      <c r="A667" s="6">
        <f t="shared" si="91"/>
        <v>2023</v>
      </c>
      <c r="B667" s="6">
        <f t="shared" si="88"/>
        <v>10</v>
      </c>
      <c r="C667" s="7">
        <v>45220</v>
      </c>
      <c r="D667" s="6">
        <f t="shared" si="92"/>
        <v>6</v>
      </c>
      <c r="E667" s="6">
        <f t="shared" si="93"/>
        <v>43</v>
      </c>
      <c r="F667" s="6">
        <f t="shared" si="85"/>
        <v>3</v>
      </c>
      <c r="G667" s="6">
        <f t="shared" si="89"/>
        <v>10</v>
      </c>
      <c r="H667" s="6" t="str">
        <f t="shared" si="90"/>
        <v>10월 3주차</v>
      </c>
      <c r="I667" s="6" t="str">
        <f>H667&amp;" ("&amp;TEXT(C662,"m/dd")&amp;"~"&amp;TEXT(C668,"m/dd")&amp;")"</f>
        <v>10월 3주차 (10/16~10/22)</v>
      </c>
      <c r="J667" s="6" t="str">
        <f>A662&amp;"년 "&amp;WEEKNUM(C662,2)&amp;"주차"&amp;" ("&amp;TEXT(C662,"m/dd")&amp;"~"&amp;TEXT(C668,"m/dd")&amp;")"</f>
        <v>2023년 43주차 (10/16~10/22)</v>
      </c>
      <c r="K667" s="6">
        <f t="shared" si="86"/>
        <v>2023</v>
      </c>
      <c r="L667" s="6">
        <f t="shared" si="87"/>
        <v>43</v>
      </c>
    </row>
    <row r="668" spans="1:12" x14ac:dyDescent="0.45">
      <c r="A668" s="6">
        <f t="shared" si="91"/>
        <v>2023</v>
      </c>
      <c r="B668" s="6">
        <f t="shared" si="88"/>
        <v>10</v>
      </c>
      <c r="C668" s="7">
        <v>45221</v>
      </c>
      <c r="D668" s="6">
        <f t="shared" si="92"/>
        <v>7</v>
      </c>
      <c r="E668" s="6">
        <f t="shared" si="93"/>
        <v>43</v>
      </c>
      <c r="F668" s="6">
        <f t="shared" si="85"/>
        <v>3</v>
      </c>
      <c r="G668" s="6">
        <f t="shared" si="89"/>
        <v>10</v>
      </c>
      <c r="H668" s="6" t="str">
        <f t="shared" si="90"/>
        <v>10월 3주차</v>
      </c>
      <c r="I668" s="6" t="str">
        <f>H668&amp;" ("&amp;TEXT(C662,"m/dd")&amp;"~"&amp;TEXT(C668,"m/dd")&amp;")"</f>
        <v>10월 3주차 (10/16~10/22)</v>
      </c>
      <c r="J668" s="6" t="str">
        <f>A662&amp;"년 "&amp;WEEKNUM(C662,2)&amp;"주차"&amp;" ("&amp;TEXT(C662,"m/dd")&amp;"~"&amp;TEXT(C668,"m/dd")&amp;")"</f>
        <v>2023년 43주차 (10/16~10/22)</v>
      </c>
      <c r="K668" s="6">
        <f t="shared" si="86"/>
        <v>2023</v>
      </c>
      <c r="L668" s="6">
        <f t="shared" si="87"/>
        <v>43</v>
      </c>
    </row>
    <row r="669" spans="1:12" x14ac:dyDescent="0.45">
      <c r="A669" s="6">
        <f t="shared" si="91"/>
        <v>2023</v>
      </c>
      <c r="B669" s="6">
        <f t="shared" si="88"/>
        <v>10</v>
      </c>
      <c r="C669" s="7">
        <v>45222</v>
      </c>
      <c r="D669" s="6">
        <f t="shared" si="92"/>
        <v>1</v>
      </c>
      <c r="E669" s="6">
        <f t="shared" si="93"/>
        <v>44</v>
      </c>
      <c r="F669" s="6">
        <f t="shared" si="85"/>
        <v>4</v>
      </c>
      <c r="G669" s="6">
        <f t="shared" si="89"/>
        <v>10</v>
      </c>
      <c r="H669" s="6" t="str">
        <f t="shared" si="90"/>
        <v>10월 4주차</v>
      </c>
      <c r="I669" s="6" t="str">
        <f>H669&amp;" ("&amp;TEXT(C669,"m/dd")&amp;"~"&amp;TEXT(C675,"m/dd")&amp;")"</f>
        <v>10월 4주차 (10/23~10/29)</v>
      </c>
      <c r="J669" s="6" t="str">
        <f>A669&amp;"년 "&amp;WEEKNUM(C669,2)&amp;"주차"&amp;" ("&amp;TEXT(C669,"m/dd")&amp;"~"&amp;TEXT(C675,"m/dd")&amp;")"</f>
        <v>2023년 44주차 (10/23~10/29)</v>
      </c>
      <c r="K669" s="6">
        <f t="shared" si="86"/>
        <v>2023</v>
      </c>
      <c r="L669" s="6">
        <f t="shared" si="87"/>
        <v>44</v>
      </c>
    </row>
    <row r="670" spans="1:12" x14ac:dyDescent="0.45">
      <c r="A670" s="6">
        <f t="shared" si="91"/>
        <v>2023</v>
      </c>
      <c r="B670" s="6">
        <f t="shared" si="88"/>
        <v>10</v>
      </c>
      <c r="C670" s="7">
        <v>45223</v>
      </c>
      <c r="D670" s="6">
        <f t="shared" si="92"/>
        <v>2</v>
      </c>
      <c r="E670" s="6">
        <f t="shared" si="93"/>
        <v>44</v>
      </c>
      <c r="F670" s="6">
        <f t="shared" si="85"/>
        <v>4</v>
      </c>
      <c r="G670" s="6">
        <f t="shared" si="89"/>
        <v>10</v>
      </c>
      <c r="H670" s="6" t="str">
        <f t="shared" si="90"/>
        <v>10월 4주차</v>
      </c>
      <c r="I670" s="6" t="str">
        <f>H670&amp;" ("&amp;TEXT(C669,"m/dd")&amp;"~"&amp;TEXT(C675,"m/dd")&amp;")"</f>
        <v>10월 4주차 (10/23~10/29)</v>
      </c>
      <c r="J670" s="6" t="str">
        <f>A669&amp;"년 "&amp;WEEKNUM(C669,2)&amp;"주차"&amp;" ("&amp;TEXT(C669,"m/dd")&amp;"~"&amp;TEXT(C675,"m/dd")&amp;")"</f>
        <v>2023년 44주차 (10/23~10/29)</v>
      </c>
      <c r="K670" s="6">
        <f t="shared" si="86"/>
        <v>2023</v>
      </c>
      <c r="L670" s="6">
        <f t="shared" si="87"/>
        <v>44</v>
      </c>
    </row>
    <row r="671" spans="1:12" x14ac:dyDescent="0.45">
      <c r="A671" s="6">
        <f t="shared" si="91"/>
        <v>2023</v>
      </c>
      <c r="B671" s="6">
        <f t="shared" si="88"/>
        <v>10</v>
      </c>
      <c r="C671" s="7">
        <v>45224</v>
      </c>
      <c r="D671" s="6">
        <f t="shared" si="92"/>
        <v>3</v>
      </c>
      <c r="E671" s="6">
        <f t="shared" si="93"/>
        <v>44</v>
      </c>
      <c r="F671" s="6">
        <f t="shared" si="85"/>
        <v>4</v>
      </c>
      <c r="G671" s="6">
        <f t="shared" si="89"/>
        <v>10</v>
      </c>
      <c r="H671" s="6" t="str">
        <f t="shared" si="90"/>
        <v>10월 4주차</v>
      </c>
      <c r="I671" s="6" t="str">
        <f>H671&amp;" ("&amp;TEXT(C669,"m/dd")&amp;"~"&amp;TEXT(C675,"m/dd")&amp;")"</f>
        <v>10월 4주차 (10/23~10/29)</v>
      </c>
      <c r="J671" s="6" t="str">
        <f>A669&amp;"년 "&amp;WEEKNUM(C669,2)&amp;"주차"&amp;" ("&amp;TEXT(C669,"m/dd")&amp;"~"&amp;TEXT(C675,"m/dd")&amp;")"</f>
        <v>2023년 44주차 (10/23~10/29)</v>
      </c>
      <c r="K671" s="6">
        <f t="shared" si="86"/>
        <v>2023</v>
      </c>
      <c r="L671" s="6">
        <f t="shared" si="87"/>
        <v>44</v>
      </c>
    </row>
    <row r="672" spans="1:12" x14ac:dyDescent="0.45">
      <c r="A672" s="6">
        <f t="shared" si="91"/>
        <v>2023</v>
      </c>
      <c r="B672" s="6">
        <f t="shared" si="88"/>
        <v>10</v>
      </c>
      <c r="C672" s="7">
        <v>45225</v>
      </c>
      <c r="D672" s="6">
        <f t="shared" si="92"/>
        <v>4</v>
      </c>
      <c r="E672" s="6">
        <f t="shared" si="93"/>
        <v>44</v>
      </c>
      <c r="F672" s="6">
        <f t="shared" si="85"/>
        <v>4</v>
      </c>
      <c r="G672" s="6">
        <f t="shared" si="89"/>
        <v>10</v>
      </c>
      <c r="H672" s="6" t="str">
        <f t="shared" si="90"/>
        <v>10월 4주차</v>
      </c>
      <c r="I672" s="6" t="str">
        <f>H672&amp;" ("&amp;TEXT(C669,"m/dd")&amp;"~"&amp;TEXT(C675,"m/dd")&amp;")"</f>
        <v>10월 4주차 (10/23~10/29)</v>
      </c>
      <c r="J672" s="6" t="str">
        <f>A669&amp;"년 "&amp;WEEKNUM(C669,2)&amp;"주차"&amp;" ("&amp;TEXT(C669,"m/dd")&amp;"~"&amp;TEXT(C675,"m/dd")&amp;")"</f>
        <v>2023년 44주차 (10/23~10/29)</v>
      </c>
      <c r="K672" s="6">
        <f t="shared" si="86"/>
        <v>2023</v>
      </c>
      <c r="L672" s="6">
        <f t="shared" si="87"/>
        <v>44</v>
      </c>
    </row>
    <row r="673" spans="1:12" x14ac:dyDescent="0.45">
      <c r="A673" s="6">
        <f t="shared" si="91"/>
        <v>2023</v>
      </c>
      <c r="B673" s="6">
        <f t="shared" si="88"/>
        <v>10</v>
      </c>
      <c r="C673" s="7">
        <v>45226</v>
      </c>
      <c r="D673" s="6">
        <f t="shared" si="92"/>
        <v>5</v>
      </c>
      <c r="E673" s="6">
        <f t="shared" si="93"/>
        <v>44</v>
      </c>
      <c r="F673" s="6">
        <f t="shared" si="85"/>
        <v>4</v>
      </c>
      <c r="G673" s="6">
        <f t="shared" si="89"/>
        <v>10</v>
      </c>
      <c r="H673" s="6" t="str">
        <f t="shared" si="90"/>
        <v>10월 4주차</v>
      </c>
      <c r="I673" s="6" t="str">
        <f>H673&amp;" ("&amp;TEXT(C669,"m/dd")&amp;"~"&amp;TEXT(C675,"m/dd")&amp;")"</f>
        <v>10월 4주차 (10/23~10/29)</v>
      </c>
      <c r="J673" s="6" t="str">
        <f>A669&amp;"년 "&amp;WEEKNUM(C669,2)&amp;"주차"&amp;" ("&amp;TEXT(C669,"m/dd")&amp;"~"&amp;TEXT(C675,"m/dd")&amp;")"</f>
        <v>2023년 44주차 (10/23~10/29)</v>
      </c>
      <c r="K673" s="6">
        <f t="shared" si="86"/>
        <v>2023</v>
      </c>
      <c r="L673" s="6">
        <f t="shared" si="87"/>
        <v>44</v>
      </c>
    </row>
    <row r="674" spans="1:12" x14ac:dyDescent="0.45">
      <c r="A674" s="6">
        <f t="shared" si="91"/>
        <v>2023</v>
      </c>
      <c r="B674" s="6">
        <f t="shared" si="88"/>
        <v>10</v>
      </c>
      <c r="C674" s="7">
        <v>45227</v>
      </c>
      <c r="D674" s="6">
        <f t="shared" si="92"/>
        <v>6</v>
      </c>
      <c r="E674" s="6">
        <f t="shared" si="93"/>
        <v>44</v>
      </c>
      <c r="F674" s="6">
        <f t="shared" si="85"/>
        <v>4</v>
      </c>
      <c r="G674" s="6">
        <f t="shared" si="89"/>
        <v>10</v>
      </c>
      <c r="H674" s="6" t="str">
        <f t="shared" si="90"/>
        <v>10월 4주차</v>
      </c>
      <c r="I674" s="6" t="str">
        <f>H674&amp;" ("&amp;TEXT(C669,"m/dd")&amp;"~"&amp;TEXT(C675,"m/dd")&amp;")"</f>
        <v>10월 4주차 (10/23~10/29)</v>
      </c>
      <c r="J674" s="6" t="str">
        <f>A669&amp;"년 "&amp;WEEKNUM(C669,2)&amp;"주차"&amp;" ("&amp;TEXT(C669,"m/dd")&amp;"~"&amp;TEXT(C675,"m/dd")&amp;")"</f>
        <v>2023년 44주차 (10/23~10/29)</v>
      </c>
      <c r="K674" s="6">
        <f t="shared" si="86"/>
        <v>2023</v>
      </c>
      <c r="L674" s="6">
        <f t="shared" si="87"/>
        <v>44</v>
      </c>
    </row>
    <row r="675" spans="1:12" x14ac:dyDescent="0.45">
      <c r="A675" s="6">
        <f t="shared" si="91"/>
        <v>2023</v>
      </c>
      <c r="B675" s="6">
        <f t="shared" si="88"/>
        <v>10</v>
      </c>
      <c r="C675" s="7">
        <v>45228</v>
      </c>
      <c r="D675" s="6">
        <f t="shared" si="92"/>
        <v>7</v>
      </c>
      <c r="E675" s="6">
        <f t="shared" si="93"/>
        <v>44</v>
      </c>
      <c r="F675" s="6">
        <f t="shared" si="85"/>
        <v>4</v>
      </c>
      <c r="G675" s="6">
        <f t="shared" si="89"/>
        <v>10</v>
      </c>
      <c r="H675" s="6" t="str">
        <f t="shared" si="90"/>
        <v>10월 4주차</v>
      </c>
      <c r="I675" s="6" t="str">
        <f>H675&amp;" ("&amp;TEXT(C669,"m/dd")&amp;"~"&amp;TEXT(C675,"m/dd")&amp;")"</f>
        <v>10월 4주차 (10/23~10/29)</v>
      </c>
      <c r="J675" s="6" t="str">
        <f>A669&amp;"년 "&amp;WEEKNUM(C669,2)&amp;"주차"&amp;" ("&amp;TEXT(C669,"m/dd")&amp;"~"&amp;TEXT(C675,"m/dd")&amp;")"</f>
        <v>2023년 44주차 (10/23~10/29)</v>
      </c>
      <c r="K675" s="6">
        <f t="shared" si="86"/>
        <v>2023</v>
      </c>
      <c r="L675" s="6">
        <f t="shared" si="87"/>
        <v>44</v>
      </c>
    </row>
    <row r="676" spans="1:12" x14ac:dyDescent="0.45">
      <c r="A676" s="6">
        <f t="shared" si="91"/>
        <v>2023</v>
      </c>
      <c r="B676" s="6">
        <v>11</v>
      </c>
      <c r="C676" s="7">
        <v>45229</v>
      </c>
      <c r="D676" s="6">
        <f t="shared" si="92"/>
        <v>1</v>
      </c>
      <c r="E676" s="6">
        <f t="shared" si="93"/>
        <v>45</v>
      </c>
      <c r="F676" s="6">
        <v>1</v>
      </c>
      <c r="G676" s="6">
        <f t="shared" si="89"/>
        <v>11</v>
      </c>
      <c r="H676" s="6" t="str">
        <f t="shared" si="90"/>
        <v>11월 1주차</v>
      </c>
      <c r="I676" s="6" t="str">
        <f>H676&amp;" ("&amp;TEXT(C676,"m/dd")&amp;"~"&amp;TEXT(C682,"m/dd")&amp;")"</f>
        <v>11월 1주차 (10/30~11/05)</v>
      </c>
      <c r="J676" s="6" t="str">
        <f>A676&amp;"년 "&amp;WEEKNUM(C676,2)&amp;"주차"&amp;" ("&amp;TEXT(C676,"m/dd")&amp;"~"&amp;TEXT(C682,"m/dd")&amp;")"</f>
        <v>2023년 45주차 (10/30~11/05)</v>
      </c>
      <c r="K676" s="6">
        <f t="shared" si="86"/>
        <v>2023</v>
      </c>
      <c r="L676" s="6">
        <f t="shared" si="87"/>
        <v>45</v>
      </c>
    </row>
    <row r="677" spans="1:12" x14ac:dyDescent="0.45">
      <c r="A677" s="6">
        <f t="shared" si="91"/>
        <v>2023</v>
      </c>
      <c r="B677" s="6">
        <v>11</v>
      </c>
      <c r="C677" s="7">
        <v>45230</v>
      </c>
      <c r="D677" s="6">
        <f t="shared" si="92"/>
        <v>2</v>
      </c>
      <c r="E677" s="6">
        <f t="shared" si="93"/>
        <v>45</v>
      </c>
      <c r="F677" s="6">
        <v>1</v>
      </c>
      <c r="G677" s="6">
        <f t="shared" si="89"/>
        <v>11</v>
      </c>
      <c r="H677" s="6" t="str">
        <f t="shared" si="90"/>
        <v>11월 1주차</v>
      </c>
      <c r="I677" s="6" t="str">
        <f>H677&amp;" ("&amp;TEXT(C676,"m/dd")&amp;"~"&amp;TEXT(C682,"m/dd")&amp;")"</f>
        <v>11월 1주차 (10/30~11/05)</v>
      </c>
      <c r="J677" s="6" t="str">
        <f>A676&amp;"년 "&amp;WEEKNUM(C676,2)&amp;"주차"&amp;" ("&amp;TEXT(C676,"m/dd")&amp;"~"&amp;TEXT(C682,"m/dd")&amp;")"</f>
        <v>2023년 45주차 (10/30~11/05)</v>
      </c>
      <c r="K677" s="6">
        <f t="shared" si="86"/>
        <v>2023</v>
      </c>
      <c r="L677" s="6">
        <f t="shared" si="87"/>
        <v>45</v>
      </c>
    </row>
    <row r="678" spans="1:12" x14ac:dyDescent="0.45">
      <c r="A678" s="6">
        <f t="shared" si="91"/>
        <v>2023</v>
      </c>
      <c r="B678" s="6">
        <f t="shared" ref="B678:B741" si="94">MONTH(C678)</f>
        <v>11</v>
      </c>
      <c r="C678" s="7">
        <v>45231</v>
      </c>
      <c r="D678" s="6">
        <f t="shared" si="92"/>
        <v>3</v>
      </c>
      <c r="E678" s="6">
        <f t="shared" si="93"/>
        <v>45</v>
      </c>
      <c r="F678" s="6">
        <v>1</v>
      </c>
      <c r="G678" s="6">
        <f t="shared" si="89"/>
        <v>11</v>
      </c>
      <c r="H678" s="6" t="str">
        <f t="shared" si="90"/>
        <v>11월 1주차</v>
      </c>
      <c r="I678" s="6" t="str">
        <f>H678&amp;" ("&amp;TEXT(C676,"m/dd")&amp;"~"&amp;TEXT(C682,"m/dd")&amp;")"</f>
        <v>11월 1주차 (10/30~11/05)</v>
      </c>
      <c r="J678" s="6" t="str">
        <f>A676&amp;"년 "&amp;WEEKNUM(C676,2)&amp;"주차"&amp;" ("&amp;TEXT(C676,"m/dd")&amp;"~"&amp;TEXT(C682,"m/dd")&amp;")"</f>
        <v>2023년 45주차 (10/30~11/05)</v>
      </c>
      <c r="K678" s="6">
        <f t="shared" si="86"/>
        <v>2023</v>
      </c>
      <c r="L678" s="6">
        <f t="shared" si="87"/>
        <v>45</v>
      </c>
    </row>
    <row r="679" spans="1:12" x14ac:dyDescent="0.45">
      <c r="A679" s="6">
        <f t="shared" si="91"/>
        <v>2023</v>
      </c>
      <c r="B679" s="6">
        <f t="shared" si="94"/>
        <v>11</v>
      </c>
      <c r="C679" s="7">
        <v>45232</v>
      </c>
      <c r="D679" s="6">
        <f t="shared" si="92"/>
        <v>4</v>
      </c>
      <c r="E679" s="6">
        <f t="shared" si="93"/>
        <v>45</v>
      </c>
      <c r="F679" s="6">
        <v>1</v>
      </c>
      <c r="G679" s="6">
        <f t="shared" si="89"/>
        <v>11</v>
      </c>
      <c r="H679" s="6" t="str">
        <f t="shared" si="90"/>
        <v>11월 1주차</v>
      </c>
      <c r="I679" s="6" t="str">
        <f>H679&amp;" ("&amp;TEXT(C676,"m/dd")&amp;"~"&amp;TEXT(C682,"m/dd")&amp;")"</f>
        <v>11월 1주차 (10/30~11/05)</v>
      </c>
      <c r="J679" s="6" t="str">
        <f>A676&amp;"년 "&amp;WEEKNUM(C676,2)&amp;"주차"&amp;" ("&amp;TEXT(C676,"m/dd")&amp;"~"&amp;TEXT(C682,"m/dd")&amp;")"</f>
        <v>2023년 45주차 (10/30~11/05)</v>
      </c>
      <c r="K679" s="6">
        <f t="shared" si="86"/>
        <v>2023</v>
      </c>
      <c r="L679" s="6">
        <f t="shared" si="87"/>
        <v>45</v>
      </c>
    </row>
    <row r="680" spans="1:12" x14ac:dyDescent="0.45">
      <c r="A680" s="6">
        <f t="shared" si="91"/>
        <v>2023</v>
      </c>
      <c r="B680" s="6">
        <f t="shared" si="94"/>
        <v>11</v>
      </c>
      <c r="C680" s="7">
        <v>45233</v>
      </c>
      <c r="D680" s="6">
        <f t="shared" si="92"/>
        <v>5</v>
      </c>
      <c r="E680" s="6">
        <f t="shared" si="93"/>
        <v>45</v>
      </c>
      <c r="F680" s="6">
        <v>1</v>
      </c>
      <c r="G680" s="6">
        <f t="shared" si="89"/>
        <v>11</v>
      </c>
      <c r="H680" s="6" t="str">
        <f t="shared" si="90"/>
        <v>11월 1주차</v>
      </c>
      <c r="I680" s="6" t="str">
        <f>H680&amp;" ("&amp;TEXT(C676,"m/dd")&amp;"~"&amp;TEXT(C682,"m/dd")&amp;")"</f>
        <v>11월 1주차 (10/30~11/05)</v>
      </c>
      <c r="J680" s="6" t="str">
        <f>A676&amp;"년 "&amp;WEEKNUM(C676,2)&amp;"주차"&amp;" ("&amp;TEXT(C676,"m/dd")&amp;"~"&amp;TEXT(C682,"m/dd")&amp;")"</f>
        <v>2023년 45주차 (10/30~11/05)</v>
      </c>
      <c r="K680" s="6">
        <f t="shared" si="86"/>
        <v>2023</v>
      </c>
      <c r="L680" s="6">
        <f t="shared" si="87"/>
        <v>45</v>
      </c>
    </row>
    <row r="681" spans="1:12" x14ac:dyDescent="0.45">
      <c r="A681" s="6">
        <f t="shared" si="91"/>
        <v>2023</v>
      </c>
      <c r="B681" s="6">
        <f t="shared" si="94"/>
        <v>11</v>
      </c>
      <c r="C681" s="7">
        <v>45234</v>
      </c>
      <c r="D681" s="6">
        <f t="shared" si="92"/>
        <v>6</v>
      </c>
      <c r="E681" s="6">
        <f t="shared" si="93"/>
        <v>45</v>
      </c>
      <c r="F681" s="6">
        <v>1</v>
      </c>
      <c r="G681" s="6">
        <f t="shared" si="89"/>
        <v>11</v>
      </c>
      <c r="H681" s="6" t="str">
        <f t="shared" si="90"/>
        <v>11월 1주차</v>
      </c>
      <c r="I681" s="6" t="str">
        <f>H681&amp;" ("&amp;TEXT(C676,"m/dd")&amp;"~"&amp;TEXT(C682,"m/dd")&amp;")"</f>
        <v>11월 1주차 (10/30~11/05)</v>
      </c>
      <c r="J681" s="6" t="str">
        <f>A676&amp;"년 "&amp;WEEKNUM(C676,2)&amp;"주차"&amp;" ("&amp;TEXT(C676,"m/dd")&amp;"~"&amp;TEXT(C682,"m/dd")&amp;")"</f>
        <v>2023년 45주차 (10/30~11/05)</v>
      </c>
      <c r="K681" s="6">
        <f t="shared" si="86"/>
        <v>2023</v>
      </c>
      <c r="L681" s="6">
        <f t="shared" si="87"/>
        <v>45</v>
      </c>
    </row>
    <row r="682" spans="1:12" x14ac:dyDescent="0.45">
      <c r="A682" s="6">
        <f t="shared" si="91"/>
        <v>2023</v>
      </c>
      <c r="B682" s="6">
        <f t="shared" si="94"/>
        <v>11</v>
      </c>
      <c r="C682" s="7">
        <v>45235</v>
      </c>
      <c r="D682" s="6">
        <f t="shared" si="92"/>
        <v>7</v>
      </c>
      <c r="E682" s="6">
        <f t="shared" si="93"/>
        <v>45</v>
      </c>
      <c r="F682" s="6">
        <v>1</v>
      </c>
      <c r="G682" s="6">
        <f t="shared" si="89"/>
        <v>11</v>
      </c>
      <c r="H682" s="6" t="str">
        <f t="shared" si="90"/>
        <v>11월 1주차</v>
      </c>
      <c r="I682" s="6" t="str">
        <f>H682&amp;" ("&amp;TEXT(C676,"m/dd")&amp;"~"&amp;TEXT(C682,"m/dd")&amp;")"</f>
        <v>11월 1주차 (10/30~11/05)</v>
      </c>
      <c r="J682" s="6" t="str">
        <f>A676&amp;"년 "&amp;WEEKNUM(C676,2)&amp;"주차"&amp;" ("&amp;TEXT(C676,"m/dd")&amp;"~"&amp;TEXT(C682,"m/dd")&amp;")"</f>
        <v>2023년 45주차 (10/30~11/05)</v>
      </c>
      <c r="K682" s="6">
        <f t="shared" si="86"/>
        <v>2023</v>
      </c>
      <c r="L682" s="6">
        <f t="shared" si="87"/>
        <v>45</v>
      </c>
    </row>
    <row r="683" spans="1:12" x14ac:dyDescent="0.45">
      <c r="A683" s="6">
        <f t="shared" si="91"/>
        <v>2023</v>
      </c>
      <c r="B683" s="6">
        <f t="shared" si="94"/>
        <v>11</v>
      </c>
      <c r="C683" s="7">
        <v>45236</v>
      </c>
      <c r="D683" s="6">
        <f t="shared" si="92"/>
        <v>1</v>
      </c>
      <c r="E683" s="6">
        <f t="shared" si="93"/>
        <v>46</v>
      </c>
      <c r="F683" s="6">
        <v>2</v>
      </c>
      <c r="G683" s="6">
        <f t="shared" si="89"/>
        <v>11</v>
      </c>
      <c r="H683" s="6" t="str">
        <f t="shared" si="90"/>
        <v>11월 2주차</v>
      </c>
      <c r="I683" s="6" t="str">
        <f>H683&amp;" ("&amp;TEXT(C683,"m/dd")&amp;"~"&amp;TEXT(C689,"m/dd")&amp;")"</f>
        <v>11월 2주차 (11/06~11/12)</v>
      </c>
      <c r="J683" s="6" t="str">
        <f>A683&amp;"년 "&amp;WEEKNUM(C683,2)&amp;"주차"&amp;" ("&amp;TEXT(C683,"m/dd")&amp;"~"&amp;TEXT(C689,"m/dd")&amp;")"</f>
        <v>2023년 46주차 (11/06~11/12)</v>
      </c>
      <c r="K683" s="6">
        <f t="shared" si="86"/>
        <v>2023</v>
      </c>
      <c r="L683" s="6">
        <f t="shared" si="87"/>
        <v>46</v>
      </c>
    </row>
    <row r="684" spans="1:12" x14ac:dyDescent="0.45">
      <c r="A684" s="6">
        <f t="shared" si="91"/>
        <v>2023</v>
      </c>
      <c r="B684" s="6">
        <f t="shared" si="94"/>
        <v>11</v>
      </c>
      <c r="C684" s="7">
        <v>45237</v>
      </c>
      <c r="D684" s="6">
        <f t="shared" si="92"/>
        <v>2</v>
      </c>
      <c r="E684" s="6">
        <f t="shared" si="93"/>
        <v>46</v>
      </c>
      <c r="F684" s="6">
        <v>2</v>
      </c>
      <c r="G684" s="6">
        <f t="shared" si="89"/>
        <v>11</v>
      </c>
      <c r="H684" s="6" t="str">
        <f t="shared" si="90"/>
        <v>11월 2주차</v>
      </c>
      <c r="I684" s="6" t="str">
        <f>H684&amp;" ("&amp;TEXT(C683,"m/dd")&amp;"~"&amp;TEXT(C689,"m/dd")&amp;")"</f>
        <v>11월 2주차 (11/06~11/12)</v>
      </c>
      <c r="J684" s="6" t="str">
        <f>A683&amp;"년 "&amp;WEEKNUM(C683,2)&amp;"주차"&amp;" ("&amp;TEXT(C683,"m/dd")&amp;"~"&amp;TEXT(C689,"m/dd")&amp;")"</f>
        <v>2023년 46주차 (11/06~11/12)</v>
      </c>
      <c r="K684" s="6">
        <f t="shared" si="86"/>
        <v>2023</v>
      </c>
      <c r="L684" s="6">
        <f t="shared" si="87"/>
        <v>46</v>
      </c>
    </row>
    <row r="685" spans="1:12" x14ac:dyDescent="0.45">
      <c r="A685" s="6">
        <f t="shared" si="91"/>
        <v>2023</v>
      </c>
      <c r="B685" s="6">
        <f t="shared" si="94"/>
        <v>11</v>
      </c>
      <c r="C685" s="7">
        <v>45238</v>
      </c>
      <c r="D685" s="6">
        <f t="shared" si="92"/>
        <v>3</v>
      </c>
      <c r="E685" s="6">
        <f t="shared" si="93"/>
        <v>46</v>
      </c>
      <c r="F685" s="6">
        <v>2</v>
      </c>
      <c r="G685" s="6">
        <f t="shared" si="89"/>
        <v>11</v>
      </c>
      <c r="H685" s="6" t="str">
        <f t="shared" si="90"/>
        <v>11월 2주차</v>
      </c>
      <c r="I685" s="6" t="str">
        <f>H685&amp;" ("&amp;TEXT(C683,"m/dd")&amp;"~"&amp;TEXT(C689,"m/dd")&amp;")"</f>
        <v>11월 2주차 (11/06~11/12)</v>
      </c>
      <c r="J685" s="6" t="str">
        <f>A683&amp;"년 "&amp;WEEKNUM(C683,2)&amp;"주차"&amp;" ("&amp;TEXT(C683,"m/dd")&amp;"~"&amp;TEXT(C689,"m/dd")&amp;")"</f>
        <v>2023년 46주차 (11/06~11/12)</v>
      </c>
      <c r="K685" s="6">
        <f t="shared" si="86"/>
        <v>2023</v>
      </c>
      <c r="L685" s="6">
        <f t="shared" si="87"/>
        <v>46</v>
      </c>
    </row>
    <row r="686" spans="1:12" x14ac:dyDescent="0.45">
      <c r="A686" s="6">
        <f t="shared" si="91"/>
        <v>2023</v>
      </c>
      <c r="B686" s="6">
        <f t="shared" si="94"/>
        <v>11</v>
      </c>
      <c r="C686" s="7">
        <v>45239</v>
      </c>
      <c r="D686" s="6">
        <f t="shared" si="92"/>
        <v>4</v>
      </c>
      <c r="E686" s="6">
        <f t="shared" si="93"/>
        <v>46</v>
      </c>
      <c r="F686" s="6">
        <v>2</v>
      </c>
      <c r="G686" s="6">
        <f t="shared" si="89"/>
        <v>11</v>
      </c>
      <c r="H686" s="6" t="str">
        <f t="shared" si="90"/>
        <v>11월 2주차</v>
      </c>
      <c r="I686" s="6" t="str">
        <f>H686&amp;" ("&amp;TEXT(C683,"m/dd")&amp;"~"&amp;TEXT(C689,"m/dd")&amp;")"</f>
        <v>11월 2주차 (11/06~11/12)</v>
      </c>
      <c r="J686" s="6" t="str">
        <f>A683&amp;"년 "&amp;WEEKNUM(C683,2)&amp;"주차"&amp;" ("&amp;TEXT(C683,"m/dd")&amp;"~"&amp;TEXT(C689,"m/dd")&amp;")"</f>
        <v>2023년 46주차 (11/06~11/12)</v>
      </c>
      <c r="K686" s="6">
        <f t="shared" si="86"/>
        <v>2023</v>
      </c>
      <c r="L686" s="6">
        <f t="shared" si="87"/>
        <v>46</v>
      </c>
    </row>
    <row r="687" spans="1:12" x14ac:dyDescent="0.45">
      <c r="A687" s="6">
        <f t="shared" si="91"/>
        <v>2023</v>
      </c>
      <c r="B687" s="6">
        <f t="shared" si="94"/>
        <v>11</v>
      </c>
      <c r="C687" s="7">
        <v>45240</v>
      </c>
      <c r="D687" s="6">
        <f t="shared" si="92"/>
        <v>5</v>
      </c>
      <c r="E687" s="6">
        <f t="shared" si="93"/>
        <v>46</v>
      </c>
      <c r="F687" s="6">
        <v>2</v>
      </c>
      <c r="G687" s="6">
        <f t="shared" si="89"/>
        <v>11</v>
      </c>
      <c r="H687" s="6" t="str">
        <f t="shared" si="90"/>
        <v>11월 2주차</v>
      </c>
      <c r="I687" s="6" t="str">
        <f>H687&amp;" ("&amp;TEXT(C683,"m/dd")&amp;"~"&amp;TEXT(C689,"m/dd")&amp;")"</f>
        <v>11월 2주차 (11/06~11/12)</v>
      </c>
      <c r="J687" s="6" t="str">
        <f>A683&amp;"년 "&amp;WEEKNUM(C683,2)&amp;"주차"&amp;" ("&amp;TEXT(C683,"m/dd")&amp;"~"&amp;TEXT(C689,"m/dd")&amp;")"</f>
        <v>2023년 46주차 (11/06~11/12)</v>
      </c>
      <c r="K687" s="6">
        <f t="shared" ref="K687:K750" si="95">YEAR(C687)</f>
        <v>2023</v>
      </c>
      <c r="L687" s="6">
        <f t="shared" ref="L687:L750" si="96">WEEKNUM(C687,2)</f>
        <v>46</v>
      </c>
    </row>
    <row r="688" spans="1:12" x14ac:dyDescent="0.45">
      <c r="A688" s="6">
        <f t="shared" si="91"/>
        <v>2023</v>
      </c>
      <c r="B688" s="6">
        <f t="shared" si="94"/>
        <v>11</v>
      </c>
      <c r="C688" s="7">
        <v>45241</v>
      </c>
      <c r="D688" s="6">
        <f t="shared" si="92"/>
        <v>6</v>
      </c>
      <c r="E688" s="6">
        <f t="shared" si="93"/>
        <v>46</v>
      </c>
      <c r="F688" s="6">
        <v>2</v>
      </c>
      <c r="G688" s="6">
        <f t="shared" si="89"/>
        <v>11</v>
      </c>
      <c r="H688" s="6" t="str">
        <f t="shared" si="90"/>
        <v>11월 2주차</v>
      </c>
      <c r="I688" s="6" t="str">
        <f>H688&amp;" ("&amp;TEXT(C683,"m/dd")&amp;"~"&amp;TEXT(C689,"m/dd")&amp;")"</f>
        <v>11월 2주차 (11/06~11/12)</v>
      </c>
      <c r="J688" s="6" t="str">
        <f>A683&amp;"년 "&amp;WEEKNUM(C683,2)&amp;"주차"&amp;" ("&amp;TEXT(C683,"m/dd")&amp;"~"&amp;TEXT(C689,"m/dd")&amp;")"</f>
        <v>2023년 46주차 (11/06~11/12)</v>
      </c>
      <c r="K688" s="6">
        <f t="shared" si="95"/>
        <v>2023</v>
      </c>
      <c r="L688" s="6">
        <f t="shared" si="96"/>
        <v>46</v>
      </c>
    </row>
    <row r="689" spans="1:12" x14ac:dyDescent="0.45">
      <c r="A689" s="6">
        <f t="shared" si="91"/>
        <v>2023</v>
      </c>
      <c r="B689" s="6">
        <f t="shared" si="94"/>
        <v>11</v>
      </c>
      <c r="C689" s="7">
        <v>45242</v>
      </c>
      <c r="D689" s="6">
        <f t="shared" si="92"/>
        <v>7</v>
      </c>
      <c r="E689" s="6">
        <f t="shared" si="93"/>
        <v>46</v>
      </c>
      <c r="F689" s="6">
        <v>2</v>
      </c>
      <c r="G689" s="6">
        <f t="shared" si="89"/>
        <v>11</v>
      </c>
      <c r="H689" s="6" t="str">
        <f t="shared" si="90"/>
        <v>11월 2주차</v>
      </c>
      <c r="I689" s="6" t="str">
        <f>H689&amp;" ("&amp;TEXT(C683,"m/dd")&amp;"~"&amp;TEXT(C689,"m/dd")&amp;")"</f>
        <v>11월 2주차 (11/06~11/12)</v>
      </c>
      <c r="J689" s="6" t="str">
        <f>A683&amp;"년 "&amp;WEEKNUM(C683,2)&amp;"주차"&amp;" ("&amp;TEXT(C683,"m/dd")&amp;"~"&amp;TEXT(C689,"m/dd")&amp;")"</f>
        <v>2023년 46주차 (11/06~11/12)</v>
      </c>
      <c r="K689" s="6">
        <f t="shared" si="95"/>
        <v>2023</v>
      </c>
      <c r="L689" s="6">
        <f t="shared" si="96"/>
        <v>46</v>
      </c>
    </row>
    <row r="690" spans="1:12" x14ac:dyDescent="0.45">
      <c r="A690" s="6">
        <f t="shared" si="91"/>
        <v>2023</v>
      </c>
      <c r="B690" s="6">
        <f t="shared" si="94"/>
        <v>11</v>
      </c>
      <c r="C690" s="7">
        <v>45243</v>
      </c>
      <c r="D690" s="6">
        <f t="shared" si="92"/>
        <v>1</v>
      </c>
      <c r="E690" s="6">
        <f t="shared" si="93"/>
        <v>47</v>
      </c>
      <c r="F690" s="6">
        <v>3</v>
      </c>
      <c r="G690" s="6">
        <f t="shared" si="89"/>
        <v>11</v>
      </c>
      <c r="H690" s="6" t="str">
        <f t="shared" si="90"/>
        <v>11월 3주차</v>
      </c>
      <c r="I690" s="6" t="str">
        <f>H690&amp;" ("&amp;TEXT(C690,"m/dd")&amp;"~"&amp;TEXT(C696,"m/dd")&amp;")"</f>
        <v>11월 3주차 (11/13~11/19)</v>
      </c>
      <c r="J690" s="6" t="str">
        <f>A690&amp;"년 "&amp;WEEKNUM(C690,2)&amp;"주차"&amp;" ("&amp;TEXT(C690,"m/dd")&amp;"~"&amp;TEXT(C696,"m/dd")&amp;")"</f>
        <v>2023년 47주차 (11/13~11/19)</v>
      </c>
      <c r="K690" s="6">
        <f t="shared" si="95"/>
        <v>2023</v>
      </c>
      <c r="L690" s="6">
        <f t="shared" si="96"/>
        <v>47</v>
      </c>
    </row>
    <row r="691" spans="1:12" x14ac:dyDescent="0.45">
      <c r="A691" s="6">
        <f t="shared" si="91"/>
        <v>2023</v>
      </c>
      <c r="B691" s="6">
        <f t="shared" si="94"/>
        <v>11</v>
      </c>
      <c r="C691" s="7">
        <v>45244</v>
      </c>
      <c r="D691" s="6">
        <f t="shared" si="92"/>
        <v>2</v>
      </c>
      <c r="E691" s="6">
        <f t="shared" si="93"/>
        <v>47</v>
      </c>
      <c r="F691" s="6">
        <v>3</v>
      </c>
      <c r="G691" s="6">
        <f t="shared" si="89"/>
        <v>11</v>
      </c>
      <c r="H691" s="6" t="str">
        <f t="shared" si="90"/>
        <v>11월 3주차</v>
      </c>
      <c r="I691" s="6" t="str">
        <f>H691&amp;" ("&amp;TEXT(C690,"m/dd")&amp;"~"&amp;TEXT(C696,"m/dd")&amp;")"</f>
        <v>11월 3주차 (11/13~11/19)</v>
      </c>
      <c r="J691" s="6" t="str">
        <f>A690&amp;"년 "&amp;WEEKNUM(C690,2)&amp;"주차"&amp;" ("&amp;TEXT(C690,"m/dd")&amp;"~"&amp;TEXT(C696,"m/dd")&amp;")"</f>
        <v>2023년 47주차 (11/13~11/19)</v>
      </c>
      <c r="K691" s="6">
        <f t="shared" si="95"/>
        <v>2023</v>
      </c>
      <c r="L691" s="6">
        <f t="shared" si="96"/>
        <v>47</v>
      </c>
    </row>
    <row r="692" spans="1:12" x14ac:dyDescent="0.45">
      <c r="A692" s="6">
        <f t="shared" si="91"/>
        <v>2023</v>
      </c>
      <c r="B692" s="6">
        <f t="shared" si="94"/>
        <v>11</v>
      </c>
      <c r="C692" s="7">
        <v>45245</v>
      </c>
      <c r="D692" s="6">
        <f t="shared" si="92"/>
        <v>3</v>
      </c>
      <c r="E692" s="6">
        <f t="shared" si="93"/>
        <v>47</v>
      </c>
      <c r="F692" s="6">
        <v>3</v>
      </c>
      <c r="G692" s="6">
        <f t="shared" si="89"/>
        <v>11</v>
      </c>
      <c r="H692" s="6" t="str">
        <f t="shared" si="90"/>
        <v>11월 3주차</v>
      </c>
      <c r="I692" s="6" t="str">
        <f>H692&amp;" ("&amp;TEXT(C690,"m/dd")&amp;"~"&amp;TEXT(C696,"m/dd")&amp;")"</f>
        <v>11월 3주차 (11/13~11/19)</v>
      </c>
      <c r="J692" s="6" t="str">
        <f>A690&amp;"년 "&amp;WEEKNUM(C690,2)&amp;"주차"&amp;" ("&amp;TEXT(C690,"m/dd")&amp;"~"&amp;TEXT(C696,"m/dd")&amp;")"</f>
        <v>2023년 47주차 (11/13~11/19)</v>
      </c>
      <c r="K692" s="6">
        <f t="shared" si="95"/>
        <v>2023</v>
      </c>
      <c r="L692" s="6">
        <f t="shared" si="96"/>
        <v>47</v>
      </c>
    </row>
    <row r="693" spans="1:12" x14ac:dyDescent="0.45">
      <c r="A693" s="6">
        <f t="shared" si="91"/>
        <v>2023</v>
      </c>
      <c r="B693" s="6">
        <f t="shared" si="94"/>
        <v>11</v>
      </c>
      <c r="C693" s="7">
        <v>45246</v>
      </c>
      <c r="D693" s="6">
        <f t="shared" si="92"/>
        <v>4</v>
      </c>
      <c r="E693" s="6">
        <f t="shared" si="93"/>
        <v>47</v>
      </c>
      <c r="F693" s="6">
        <v>3</v>
      </c>
      <c r="G693" s="6">
        <f t="shared" si="89"/>
        <v>11</v>
      </c>
      <c r="H693" s="6" t="str">
        <f t="shared" si="90"/>
        <v>11월 3주차</v>
      </c>
      <c r="I693" s="6" t="str">
        <f>H693&amp;" ("&amp;TEXT(C690,"m/dd")&amp;"~"&amp;TEXT(C696,"m/dd")&amp;")"</f>
        <v>11월 3주차 (11/13~11/19)</v>
      </c>
      <c r="J693" s="6" t="str">
        <f>A690&amp;"년 "&amp;WEEKNUM(C690,2)&amp;"주차"&amp;" ("&amp;TEXT(C690,"m/dd")&amp;"~"&amp;TEXT(C696,"m/dd")&amp;")"</f>
        <v>2023년 47주차 (11/13~11/19)</v>
      </c>
      <c r="K693" s="6">
        <f t="shared" si="95"/>
        <v>2023</v>
      </c>
      <c r="L693" s="6">
        <f t="shared" si="96"/>
        <v>47</v>
      </c>
    </row>
    <row r="694" spans="1:12" x14ac:dyDescent="0.45">
      <c r="A694" s="6">
        <f t="shared" si="91"/>
        <v>2023</v>
      </c>
      <c r="B694" s="6">
        <f t="shared" si="94"/>
        <v>11</v>
      </c>
      <c r="C694" s="7">
        <v>45247</v>
      </c>
      <c r="D694" s="6">
        <f t="shared" si="92"/>
        <v>5</v>
      </c>
      <c r="E694" s="6">
        <f t="shared" si="93"/>
        <v>47</v>
      </c>
      <c r="F694" s="6">
        <v>3</v>
      </c>
      <c r="G694" s="6">
        <f t="shared" si="89"/>
        <v>11</v>
      </c>
      <c r="H694" s="6" t="str">
        <f t="shared" si="90"/>
        <v>11월 3주차</v>
      </c>
      <c r="I694" s="6" t="str">
        <f>H694&amp;" ("&amp;TEXT(C690,"m/dd")&amp;"~"&amp;TEXT(C696,"m/dd")&amp;")"</f>
        <v>11월 3주차 (11/13~11/19)</v>
      </c>
      <c r="J694" s="6" t="str">
        <f>A690&amp;"년 "&amp;WEEKNUM(C690,2)&amp;"주차"&amp;" ("&amp;TEXT(C690,"m/dd")&amp;"~"&amp;TEXT(C696,"m/dd")&amp;")"</f>
        <v>2023년 47주차 (11/13~11/19)</v>
      </c>
      <c r="K694" s="6">
        <f t="shared" si="95"/>
        <v>2023</v>
      </c>
      <c r="L694" s="6">
        <f t="shared" si="96"/>
        <v>47</v>
      </c>
    </row>
    <row r="695" spans="1:12" x14ac:dyDescent="0.45">
      <c r="A695" s="6">
        <f t="shared" si="91"/>
        <v>2023</v>
      </c>
      <c r="B695" s="6">
        <f t="shared" si="94"/>
        <v>11</v>
      </c>
      <c r="C695" s="7">
        <v>45248</v>
      </c>
      <c r="D695" s="6">
        <f t="shared" si="92"/>
        <v>6</v>
      </c>
      <c r="E695" s="6">
        <f t="shared" si="93"/>
        <v>47</v>
      </c>
      <c r="F695" s="6">
        <v>3</v>
      </c>
      <c r="G695" s="6">
        <f t="shared" si="89"/>
        <v>11</v>
      </c>
      <c r="H695" s="6" t="str">
        <f t="shared" si="90"/>
        <v>11월 3주차</v>
      </c>
      <c r="I695" s="6" t="str">
        <f>H695&amp;" ("&amp;TEXT(C690,"m/dd")&amp;"~"&amp;TEXT(C696,"m/dd")&amp;")"</f>
        <v>11월 3주차 (11/13~11/19)</v>
      </c>
      <c r="J695" s="6" t="str">
        <f>A690&amp;"년 "&amp;WEEKNUM(C690,2)&amp;"주차"&amp;" ("&amp;TEXT(C690,"m/dd")&amp;"~"&amp;TEXT(C696,"m/dd")&amp;")"</f>
        <v>2023년 47주차 (11/13~11/19)</v>
      </c>
      <c r="K695" s="6">
        <f t="shared" si="95"/>
        <v>2023</v>
      </c>
      <c r="L695" s="6">
        <f t="shared" si="96"/>
        <v>47</v>
      </c>
    </row>
    <row r="696" spans="1:12" x14ac:dyDescent="0.45">
      <c r="A696" s="6">
        <f t="shared" si="91"/>
        <v>2023</v>
      </c>
      <c r="B696" s="6">
        <f t="shared" si="94"/>
        <v>11</v>
      </c>
      <c r="C696" s="7">
        <v>45249</v>
      </c>
      <c r="D696" s="6">
        <f t="shared" si="92"/>
        <v>7</v>
      </c>
      <c r="E696" s="6">
        <f t="shared" si="93"/>
        <v>47</v>
      </c>
      <c r="F696" s="6">
        <v>3</v>
      </c>
      <c r="G696" s="6">
        <f t="shared" si="89"/>
        <v>11</v>
      </c>
      <c r="H696" s="6" t="str">
        <f t="shared" si="90"/>
        <v>11월 3주차</v>
      </c>
      <c r="I696" s="6" t="str">
        <f>H696&amp;" ("&amp;TEXT(C690,"m/dd")&amp;"~"&amp;TEXT(C696,"m/dd")&amp;")"</f>
        <v>11월 3주차 (11/13~11/19)</v>
      </c>
      <c r="J696" s="6" t="str">
        <f>A690&amp;"년 "&amp;WEEKNUM(C690,2)&amp;"주차"&amp;" ("&amp;TEXT(C690,"m/dd")&amp;"~"&amp;TEXT(C696,"m/dd")&amp;")"</f>
        <v>2023년 47주차 (11/13~11/19)</v>
      </c>
      <c r="K696" s="6">
        <f t="shared" si="95"/>
        <v>2023</v>
      </c>
      <c r="L696" s="6">
        <f t="shared" si="96"/>
        <v>47</v>
      </c>
    </row>
    <row r="697" spans="1:12" x14ac:dyDescent="0.45">
      <c r="A697" s="6">
        <f t="shared" si="91"/>
        <v>2023</v>
      </c>
      <c r="B697" s="6">
        <f t="shared" si="94"/>
        <v>11</v>
      </c>
      <c r="C697" s="7">
        <v>45250</v>
      </c>
      <c r="D697" s="6">
        <f t="shared" si="92"/>
        <v>1</v>
      </c>
      <c r="E697" s="6">
        <f t="shared" si="93"/>
        <v>48</v>
      </c>
      <c r="F697" s="6">
        <v>4</v>
      </c>
      <c r="G697" s="6">
        <f t="shared" si="89"/>
        <v>11</v>
      </c>
      <c r="H697" s="6" t="str">
        <f t="shared" si="90"/>
        <v>11월 4주차</v>
      </c>
      <c r="I697" s="6" t="str">
        <f>H697&amp;" ("&amp;TEXT(C697,"m/dd")&amp;"~"&amp;TEXT(C703,"m/dd")&amp;")"</f>
        <v>11월 4주차 (11/20~11/26)</v>
      </c>
      <c r="J697" s="6" t="str">
        <f>A697&amp;"년 "&amp;WEEKNUM(C697,2)&amp;"주차"&amp;" ("&amp;TEXT(C697,"m/dd")&amp;"~"&amp;TEXT(C703,"m/dd")&amp;")"</f>
        <v>2023년 48주차 (11/20~11/26)</v>
      </c>
      <c r="K697" s="6">
        <f t="shared" si="95"/>
        <v>2023</v>
      </c>
      <c r="L697" s="6">
        <f t="shared" si="96"/>
        <v>48</v>
      </c>
    </row>
    <row r="698" spans="1:12" x14ac:dyDescent="0.45">
      <c r="A698" s="6">
        <f t="shared" si="91"/>
        <v>2023</v>
      </c>
      <c r="B698" s="6">
        <f t="shared" si="94"/>
        <v>11</v>
      </c>
      <c r="C698" s="7">
        <v>45251</v>
      </c>
      <c r="D698" s="6">
        <f t="shared" si="92"/>
        <v>2</v>
      </c>
      <c r="E698" s="6">
        <f t="shared" si="93"/>
        <v>48</v>
      </c>
      <c r="F698" s="6">
        <v>4</v>
      </c>
      <c r="G698" s="6">
        <f t="shared" si="89"/>
        <v>11</v>
      </c>
      <c r="H698" s="6" t="str">
        <f t="shared" si="90"/>
        <v>11월 4주차</v>
      </c>
      <c r="I698" s="6" t="str">
        <f>H698&amp;" ("&amp;TEXT(C697,"m/dd")&amp;"~"&amp;TEXT(C703,"m/dd")&amp;")"</f>
        <v>11월 4주차 (11/20~11/26)</v>
      </c>
      <c r="J698" s="6" t="str">
        <f>A697&amp;"년 "&amp;WEEKNUM(C697,2)&amp;"주차"&amp;" ("&amp;TEXT(C697,"m/dd")&amp;"~"&amp;TEXT(C703,"m/dd")&amp;")"</f>
        <v>2023년 48주차 (11/20~11/26)</v>
      </c>
      <c r="K698" s="6">
        <f t="shared" si="95"/>
        <v>2023</v>
      </c>
      <c r="L698" s="6">
        <f t="shared" si="96"/>
        <v>48</v>
      </c>
    </row>
    <row r="699" spans="1:12" x14ac:dyDescent="0.45">
      <c r="A699" s="6">
        <f t="shared" si="91"/>
        <v>2023</v>
      </c>
      <c r="B699" s="6">
        <f t="shared" si="94"/>
        <v>11</v>
      </c>
      <c r="C699" s="7">
        <v>45252</v>
      </c>
      <c r="D699" s="6">
        <f t="shared" si="92"/>
        <v>3</v>
      </c>
      <c r="E699" s="6">
        <f t="shared" si="93"/>
        <v>48</v>
      </c>
      <c r="F699" s="6">
        <v>4</v>
      </c>
      <c r="G699" s="6">
        <f t="shared" si="89"/>
        <v>11</v>
      </c>
      <c r="H699" s="6" t="str">
        <f t="shared" si="90"/>
        <v>11월 4주차</v>
      </c>
      <c r="I699" s="6" t="str">
        <f>H699&amp;" ("&amp;TEXT(C697,"m/dd")&amp;"~"&amp;TEXT(C703,"m/dd")&amp;")"</f>
        <v>11월 4주차 (11/20~11/26)</v>
      </c>
      <c r="J699" s="6" t="str">
        <f>A697&amp;"년 "&amp;WEEKNUM(C697,2)&amp;"주차"&amp;" ("&amp;TEXT(C697,"m/dd")&amp;"~"&amp;TEXT(C703,"m/dd")&amp;")"</f>
        <v>2023년 48주차 (11/20~11/26)</v>
      </c>
      <c r="K699" s="6">
        <f t="shared" si="95"/>
        <v>2023</v>
      </c>
      <c r="L699" s="6">
        <f t="shared" si="96"/>
        <v>48</v>
      </c>
    </row>
    <row r="700" spans="1:12" x14ac:dyDescent="0.45">
      <c r="A700" s="6">
        <f t="shared" si="91"/>
        <v>2023</v>
      </c>
      <c r="B700" s="6">
        <f t="shared" si="94"/>
        <v>11</v>
      </c>
      <c r="C700" s="7">
        <v>45253</v>
      </c>
      <c r="D700" s="6">
        <f t="shared" si="92"/>
        <v>4</v>
      </c>
      <c r="E700" s="6">
        <f t="shared" si="93"/>
        <v>48</v>
      </c>
      <c r="F700" s="6">
        <v>4</v>
      </c>
      <c r="G700" s="6">
        <f t="shared" si="89"/>
        <v>11</v>
      </c>
      <c r="H700" s="6" t="str">
        <f t="shared" si="90"/>
        <v>11월 4주차</v>
      </c>
      <c r="I700" s="6" t="str">
        <f>H700&amp;" ("&amp;TEXT(C697,"m/dd")&amp;"~"&amp;TEXT(C703,"m/dd")&amp;")"</f>
        <v>11월 4주차 (11/20~11/26)</v>
      </c>
      <c r="J700" s="6" t="str">
        <f>A697&amp;"년 "&amp;WEEKNUM(C697,2)&amp;"주차"&amp;" ("&amp;TEXT(C697,"m/dd")&amp;"~"&amp;TEXT(C703,"m/dd")&amp;")"</f>
        <v>2023년 48주차 (11/20~11/26)</v>
      </c>
      <c r="K700" s="6">
        <f t="shared" si="95"/>
        <v>2023</v>
      </c>
      <c r="L700" s="6">
        <f t="shared" si="96"/>
        <v>48</v>
      </c>
    </row>
    <row r="701" spans="1:12" x14ac:dyDescent="0.45">
      <c r="A701" s="6">
        <f t="shared" si="91"/>
        <v>2023</v>
      </c>
      <c r="B701" s="6">
        <f t="shared" si="94"/>
        <v>11</v>
      </c>
      <c r="C701" s="7">
        <v>45254</v>
      </c>
      <c r="D701" s="6">
        <f t="shared" si="92"/>
        <v>5</v>
      </c>
      <c r="E701" s="6">
        <f t="shared" si="93"/>
        <v>48</v>
      </c>
      <c r="F701" s="6">
        <v>4</v>
      </c>
      <c r="G701" s="6">
        <f t="shared" si="89"/>
        <v>11</v>
      </c>
      <c r="H701" s="6" t="str">
        <f t="shared" si="90"/>
        <v>11월 4주차</v>
      </c>
      <c r="I701" s="6" t="str">
        <f>H701&amp;" ("&amp;TEXT(C697,"m/dd")&amp;"~"&amp;TEXT(C703,"m/dd")&amp;")"</f>
        <v>11월 4주차 (11/20~11/26)</v>
      </c>
      <c r="J701" s="6" t="str">
        <f>A697&amp;"년 "&amp;WEEKNUM(C697,2)&amp;"주차"&amp;" ("&amp;TEXT(C697,"m/dd")&amp;"~"&amp;TEXT(C703,"m/dd")&amp;")"</f>
        <v>2023년 48주차 (11/20~11/26)</v>
      </c>
      <c r="K701" s="6">
        <f t="shared" si="95"/>
        <v>2023</v>
      </c>
      <c r="L701" s="6">
        <f t="shared" si="96"/>
        <v>48</v>
      </c>
    </row>
    <row r="702" spans="1:12" x14ac:dyDescent="0.45">
      <c r="A702" s="6">
        <f t="shared" si="91"/>
        <v>2023</v>
      </c>
      <c r="B702" s="6">
        <f t="shared" si="94"/>
        <v>11</v>
      </c>
      <c r="C702" s="7">
        <v>45255</v>
      </c>
      <c r="D702" s="6">
        <f t="shared" si="92"/>
        <v>6</v>
      </c>
      <c r="E702" s="6">
        <f t="shared" si="93"/>
        <v>48</v>
      </c>
      <c r="F702" s="6">
        <v>4</v>
      </c>
      <c r="G702" s="6">
        <f t="shared" si="89"/>
        <v>11</v>
      </c>
      <c r="H702" s="6" t="str">
        <f t="shared" si="90"/>
        <v>11월 4주차</v>
      </c>
      <c r="I702" s="6" t="str">
        <f>H702&amp;" ("&amp;TEXT(C697,"m/dd")&amp;"~"&amp;TEXT(C703,"m/dd")&amp;")"</f>
        <v>11월 4주차 (11/20~11/26)</v>
      </c>
      <c r="J702" s="6" t="str">
        <f>A697&amp;"년 "&amp;WEEKNUM(C697,2)&amp;"주차"&amp;" ("&amp;TEXT(C697,"m/dd")&amp;"~"&amp;TEXT(C703,"m/dd")&amp;")"</f>
        <v>2023년 48주차 (11/20~11/26)</v>
      </c>
      <c r="K702" s="6">
        <f t="shared" si="95"/>
        <v>2023</v>
      </c>
      <c r="L702" s="6">
        <f t="shared" si="96"/>
        <v>48</v>
      </c>
    </row>
    <row r="703" spans="1:12" x14ac:dyDescent="0.45">
      <c r="A703" s="6">
        <f t="shared" si="91"/>
        <v>2023</v>
      </c>
      <c r="B703" s="6">
        <f t="shared" si="94"/>
        <v>11</v>
      </c>
      <c r="C703" s="7">
        <v>45256</v>
      </c>
      <c r="D703" s="6">
        <f t="shared" si="92"/>
        <v>7</v>
      </c>
      <c r="E703" s="6">
        <f t="shared" si="93"/>
        <v>48</v>
      </c>
      <c r="F703" s="6">
        <v>4</v>
      </c>
      <c r="G703" s="6">
        <f t="shared" si="89"/>
        <v>11</v>
      </c>
      <c r="H703" s="6" t="str">
        <f t="shared" si="90"/>
        <v>11월 4주차</v>
      </c>
      <c r="I703" s="6" t="str">
        <f>H703&amp;" ("&amp;TEXT(C697,"m/dd")&amp;"~"&amp;TEXT(C703,"m/dd")&amp;")"</f>
        <v>11월 4주차 (11/20~11/26)</v>
      </c>
      <c r="J703" s="6" t="str">
        <f>A697&amp;"년 "&amp;WEEKNUM(C697,2)&amp;"주차"&amp;" ("&amp;TEXT(C697,"m/dd")&amp;"~"&amp;TEXT(C703,"m/dd")&amp;")"</f>
        <v>2023년 48주차 (11/20~11/26)</v>
      </c>
      <c r="K703" s="6">
        <f t="shared" si="95"/>
        <v>2023</v>
      </c>
      <c r="L703" s="6">
        <f t="shared" si="96"/>
        <v>48</v>
      </c>
    </row>
    <row r="704" spans="1:12" x14ac:dyDescent="0.45">
      <c r="A704" s="6">
        <f t="shared" si="91"/>
        <v>2023</v>
      </c>
      <c r="B704" s="6">
        <f t="shared" si="94"/>
        <v>11</v>
      </c>
      <c r="C704" s="7">
        <v>45257</v>
      </c>
      <c r="D704" s="6">
        <f t="shared" si="92"/>
        <v>1</v>
      </c>
      <c r="E704" s="6">
        <f t="shared" si="93"/>
        <v>49</v>
      </c>
      <c r="F704" s="6">
        <v>5</v>
      </c>
      <c r="G704" s="6">
        <f t="shared" si="89"/>
        <v>11</v>
      </c>
      <c r="H704" s="6" t="str">
        <f t="shared" si="90"/>
        <v>11월 5주차</v>
      </c>
      <c r="I704" s="6" t="str">
        <f>H704&amp;" ("&amp;TEXT(C704,"m/dd")&amp;"~"&amp;TEXT(C710,"m/dd")&amp;")"</f>
        <v>11월 5주차 (11/27~12/03)</v>
      </c>
      <c r="J704" s="6" t="str">
        <f>A704&amp;"년 "&amp;WEEKNUM(C704,2)&amp;"주차"&amp;" ("&amp;TEXT(C704,"m/dd")&amp;"~"&amp;TEXT(C710,"m/dd")&amp;")"</f>
        <v>2023년 49주차 (11/27~12/03)</v>
      </c>
      <c r="K704" s="6">
        <f t="shared" si="95"/>
        <v>2023</v>
      </c>
      <c r="L704" s="6">
        <f t="shared" si="96"/>
        <v>49</v>
      </c>
    </row>
    <row r="705" spans="1:12" x14ac:dyDescent="0.45">
      <c r="A705" s="6">
        <f t="shared" si="91"/>
        <v>2023</v>
      </c>
      <c r="B705" s="6">
        <f t="shared" si="94"/>
        <v>11</v>
      </c>
      <c r="C705" s="7">
        <v>45258</v>
      </c>
      <c r="D705" s="6">
        <f t="shared" si="92"/>
        <v>2</v>
      </c>
      <c r="E705" s="6">
        <f t="shared" si="93"/>
        <v>49</v>
      </c>
      <c r="F705" s="6">
        <v>5</v>
      </c>
      <c r="G705" s="6">
        <f t="shared" si="89"/>
        <v>11</v>
      </c>
      <c r="H705" s="6" t="str">
        <f t="shared" si="90"/>
        <v>11월 5주차</v>
      </c>
      <c r="I705" s="6" t="str">
        <f>H705&amp;" ("&amp;TEXT(C704,"m/dd")&amp;"~"&amp;TEXT(C710,"m/dd")&amp;")"</f>
        <v>11월 5주차 (11/27~12/03)</v>
      </c>
      <c r="J705" s="6" t="str">
        <f>A704&amp;"년 "&amp;WEEKNUM(C704,2)&amp;"주차"&amp;" ("&amp;TEXT(C704,"m/dd")&amp;"~"&amp;TEXT(C710,"m/dd")&amp;")"</f>
        <v>2023년 49주차 (11/27~12/03)</v>
      </c>
      <c r="K705" s="6">
        <f t="shared" si="95"/>
        <v>2023</v>
      </c>
      <c r="L705" s="6">
        <f t="shared" si="96"/>
        <v>49</v>
      </c>
    </row>
    <row r="706" spans="1:12" x14ac:dyDescent="0.45">
      <c r="A706" s="6">
        <f t="shared" si="91"/>
        <v>2023</v>
      </c>
      <c r="B706" s="6">
        <f t="shared" si="94"/>
        <v>11</v>
      </c>
      <c r="C706" s="7">
        <v>45259</v>
      </c>
      <c r="D706" s="6">
        <f t="shared" si="92"/>
        <v>3</v>
      </c>
      <c r="E706" s="6">
        <f t="shared" si="93"/>
        <v>49</v>
      </c>
      <c r="F706" s="6">
        <v>5</v>
      </c>
      <c r="G706" s="6">
        <f t="shared" si="89"/>
        <v>11</v>
      </c>
      <c r="H706" s="6" t="str">
        <f t="shared" si="90"/>
        <v>11월 5주차</v>
      </c>
      <c r="I706" s="6" t="str">
        <f>H706&amp;" ("&amp;TEXT(C704,"m/dd")&amp;"~"&amp;TEXT(C710,"m/dd")&amp;")"</f>
        <v>11월 5주차 (11/27~12/03)</v>
      </c>
      <c r="J706" s="6" t="str">
        <f>A704&amp;"년 "&amp;WEEKNUM(C704,2)&amp;"주차"&amp;" ("&amp;TEXT(C704,"m/dd")&amp;"~"&amp;TEXT(C710,"m/dd")&amp;")"</f>
        <v>2023년 49주차 (11/27~12/03)</v>
      </c>
      <c r="K706" s="6">
        <f t="shared" si="95"/>
        <v>2023</v>
      </c>
      <c r="L706" s="6">
        <f t="shared" si="96"/>
        <v>49</v>
      </c>
    </row>
    <row r="707" spans="1:12" x14ac:dyDescent="0.45">
      <c r="A707" s="6">
        <f t="shared" si="91"/>
        <v>2023</v>
      </c>
      <c r="B707" s="6">
        <f t="shared" si="94"/>
        <v>11</v>
      </c>
      <c r="C707" s="7">
        <v>45260</v>
      </c>
      <c r="D707" s="6">
        <f t="shared" si="92"/>
        <v>4</v>
      </c>
      <c r="E707" s="6">
        <f t="shared" si="93"/>
        <v>49</v>
      </c>
      <c r="F707" s="6">
        <v>5</v>
      </c>
      <c r="G707" s="6">
        <f t="shared" si="89"/>
        <v>11</v>
      </c>
      <c r="H707" s="6" t="str">
        <f t="shared" si="90"/>
        <v>11월 5주차</v>
      </c>
      <c r="I707" s="6" t="str">
        <f>H707&amp;" ("&amp;TEXT(C704,"m/dd")&amp;"~"&amp;TEXT(C710,"m/dd")&amp;")"</f>
        <v>11월 5주차 (11/27~12/03)</v>
      </c>
      <c r="J707" s="6" t="str">
        <f>A704&amp;"년 "&amp;WEEKNUM(C704,2)&amp;"주차"&amp;" ("&amp;TEXT(C704,"m/dd")&amp;"~"&amp;TEXT(C710,"m/dd")&amp;")"</f>
        <v>2023년 49주차 (11/27~12/03)</v>
      </c>
      <c r="K707" s="6">
        <f t="shared" si="95"/>
        <v>2023</v>
      </c>
      <c r="L707" s="6">
        <f t="shared" si="96"/>
        <v>49</v>
      </c>
    </row>
    <row r="708" spans="1:12" x14ac:dyDescent="0.45">
      <c r="A708" s="6">
        <f t="shared" si="91"/>
        <v>2023</v>
      </c>
      <c r="B708" s="6">
        <v>11</v>
      </c>
      <c r="C708" s="7">
        <v>45261</v>
      </c>
      <c r="D708" s="6">
        <f t="shared" si="92"/>
        <v>5</v>
      </c>
      <c r="E708" s="6">
        <f t="shared" si="93"/>
        <v>49</v>
      </c>
      <c r="F708" s="6">
        <v>5</v>
      </c>
      <c r="G708" s="6">
        <f t="shared" si="89"/>
        <v>11</v>
      </c>
      <c r="H708" s="6" t="str">
        <f t="shared" si="90"/>
        <v>11월 5주차</v>
      </c>
      <c r="I708" s="6" t="str">
        <f>H708&amp;" ("&amp;TEXT(C704,"m/dd")&amp;"~"&amp;TEXT(C710,"m/dd")&amp;")"</f>
        <v>11월 5주차 (11/27~12/03)</v>
      </c>
      <c r="J708" s="6" t="str">
        <f>A704&amp;"년 "&amp;WEEKNUM(C704,2)&amp;"주차"&amp;" ("&amp;TEXT(C704,"m/dd")&amp;"~"&amp;TEXT(C710,"m/dd")&amp;")"</f>
        <v>2023년 49주차 (11/27~12/03)</v>
      </c>
      <c r="K708" s="6">
        <f t="shared" si="95"/>
        <v>2023</v>
      </c>
      <c r="L708" s="6">
        <f t="shared" si="96"/>
        <v>49</v>
      </c>
    </row>
    <row r="709" spans="1:12" x14ac:dyDescent="0.45">
      <c r="A709" s="6">
        <f t="shared" si="91"/>
        <v>2023</v>
      </c>
      <c r="B709" s="6">
        <v>11</v>
      </c>
      <c r="C709" s="7">
        <v>45262</v>
      </c>
      <c r="D709" s="6">
        <f t="shared" si="92"/>
        <v>6</v>
      </c>
      <c r="E709" s="6">
        <f t="shared" si="93"/>
        <v>49</v>
      </c>
      <c r="F709" s="6">
        <v>5</v>
      </c>
      <c r="G709" s="6">
        <f t="shared" si="89"/>
        <v>11</v>
      </c>
      <c r="H709" s="6" t="str">
        <f t="shared" si="90"/>
        <v>11월 5주차</v>
      </c>
      <c r="I709" s="6" t="str">
        <f>H709&amp;" ("&amp;TEXT(C704,"m/dd")&amp;"~"&amp;TEXT(C710,"m/dd")&amp;")"</f>
        <v>11월 5주차 (11/27~12/03)</v>
      </c>
      <c r="J709" s="6" t="str">
        <f>A704&amp;"년 "&amp;WEEKNUM(C704,2)&amp;"주차"&amp;" ("&amp;TEXT(C704,"m/dd")&amp;"~"&amp;TEXT(C710,"m/dd")&amp;")"</f>
        <v>2023년 49주차 (11/27~12/03)</v>
      </c>
      <c r="K709" s="6">
        <f t="shared" si="95"/>
        <v>2023</v>
      </c>
      <c r="L709" s="6">
        <f t="shared" si="96"/>
        <v>49</v>
      </c>
    </row>
    <row r="710" spans="1:12" x14ac:dyDescent="0.45">
      <c r="A710" s="6">
        <f t="shared" si="91"/>
        <v>2023</v>
      </c>
      <c r="B710" s="6">
        <v>11</v>
      </c>
      <c r="C710" s="7">
        <v>45263</v>
      </c>
      <c r="D710" s="6">
        <f t="shared" si="92"/>
        <v>7</v>
      </c>
      <c r="E710" s="6">
        <f t="shared" si="93"/>
        <v>49</v>
      </c>
      <c r="F710" s="6">
        <v>5</v>
      </c>
      <c r="G710" s="6">
        <f t="shared" si="89"/>
        <v>11</v>
      </c>
      <c r="H710" s="6" t="str">
        <f t="shared" si="90"/>
        <v>11월 5주차</v>
      </c>
      <c r="I710" s="6" t="str">
        <f>H710&amp;" ("&amp;TEXT(C704,"m/dd")&amp;"~"&amp;TEXT(C710,"m/dd")&amp;")"</f>
        <v>11월 5주차 (11/27~12/03)</v>
      </c>
      <c r="J710" s="6" t="str">
        <f>A704&amp;"년 "&amp;WEEKNUM(C704,2)&amp;"주차"&amp;" ("&amp;TEXT(C704,"m/dd")&amp;"~"&amp;TEXT(C710,"m/dd")&amp;")"</f>
        <v>2023년 49주차 (11/27~12/03)</v>
      </c>
      <c r="K710" s="6">
        <f t="shared" si="95"/>
        <v>2023</v>
      </c>
      <c r="L710" s="6">
        <f t="shared" si="96"/>
        <v>49</v>
      </c>
    </row>
    <row r="711" spans="1:12" x14ac:dyDescent="0.45">
      <c r="A711" s="6">
        <f t="shared" si="91"/>
        <v>2023</v>
      </c>
      <c r="B711" s="6">
        <f t="shared" si="94"/>
        <v>12</v>
      </c>
      <c r="C711" s="7">
        <v>45264</v>
      </c>
      <c r="D711" s="6">
        <f t="shared" si="92"/>
        <v>1</v>
      </c>
      <c r="E711" s="6">
        <f t="shared" si="93"/>
        <v>50</v>
      </c>
      <c r="F711" s="6">
        <f t="shared" ref="F711:F766" si="97">WEEKNUM(DATE(YEAR(C711),1,DAY(C711-WEEKDAY(C711,2)+1)),WEEKDAY(DATE(YEAR(C711),1,1),11)+10)</f>
        <v>1</v>
      </c>
      <c r="G711" s="6">
        <f t="shared" si="89"/>
        <v>12</v>
      </c>
      <c r="H711" s="6" t="str">
        <f t="shared" si="90"/>
        <v>12월 1주차</v>
      </c>
      <c r="I711" s="6" t="str">
        <f>H711&amp;" ("&amp;TEXT(C711,"m/dd")&amp;"~"&amp;TEXT(C717,"m/dd")&amp;")"</f>
        <v>12월 1주차 (12/04~12/10)</v>
      </c>
      <c r="J711" s="6" t="str">
        <f>A711&amp;"년 "&amp;WEEKNUM(C711,2)&amp;"주차"&amp;" ("&amp;TEXT(C711,"m/dd")&amp;"~"&amp;TEXT(C717,"m/dd")&amp;")"</f>
        <v>2023년 50주차 (12/04~12/10)</v>
      </c>
      <c r="K711" s="6">
        <f t="shared" si="95"/>
        <v>2023</v>
      </c>
      <c r="L711" s="6">
        <f t="shared" si="96"/>
        <v>50</v>
      </c>
    </row>
    <row r="712" spans="1:12" x14ac:dyDescent="0.45">
      <c r="A712" s="6">
        <f t="shared" si="91"/>
        <v>2023</v>
      </c>
      <c r="B712" s="6">
        <f t="shared" si="94"/>
        <v>12</v>
      </c>
      <c r="C712" s="7">
        <v>45265</v>
      </c>
      <c r="D712" s="6">
        <f t="shared" si="92"/>
        <v>2</v>
      </c>
      <c r="E712" s="6">
        <f t="shared" si="93"/>
        <v>50</v>
      </c>
      <c r="F712" s="6">
        <f t="shared" si="97"/>
        <v>1</v>
      </c>
      <c r="G712" s="6">
        <f t="shared" si="89"/>
        <v>12</v>
      </c>
      <c r="H712" s="6" t="str">
        <f t="shared" si="90"/>
        <v>12월 1주차</v>
      </c>
      <c r="I712" s="6" t="str">
        <f>H712&amp;" ("&amp;TEXT(C711,"m/dd")&amp;"~"&amp;TEXT(C717,"m/dd")&amp;")"</f>
        <v>12월 1주차 (12/04~12/10)</v>
      </c>
      <c r="J712" s="6" t="str">
        <f>A711&amp;"년 "&amp;WEEKNUM(C711,2)&amp;"주차"&amp;" ("&amp;TEXT(C711,"m/dd")&amp;"~"&amp;TEXT(C717,"m/dd")&amp;")"</f>
        <v>2023년 50주차 (12/04~12/10)</v>
      </c>
      <c r="K712" s="6">
        <f t="shared" si="95"/>
        <v>2023</v>
      </c>
      <c r="L712" s="6">
        <f t="shared" si="96"/>
        <v>50</v>
      </c>
    </row>
    <row r="713" spans="1:12" x14ac:dyDescent="0.45">
      <c r="A713" s="6">
        <f t="shared" si="91"/>
        <v>2023</v>
      </c>
      <c r="B713" s="6">
        <f t="shared" si="94"/>
        <v>12</v>
      </c>
      <c r="C713" s="7">
        <v>45266</v>
      </c>
      <c r="D713" s="6">
        <f t="shared" si="92"/>
        <v>3</v>
      </c>
      <c r="E713" s="6">
        <f t="shared" si="93"/>
        <v>50</v>
      </c>
      <c r="F713" s="6">
        <f t="shared" si="97"/>
        <v>1</v>
      </c>
      <c r="G713" s="6">
        <f t="shared" si="89"/>
        <v>12</v>
      </c>
      <c r="H713" s="6" t="str">
        <f t="shared" si="90"/>
        <v>12월 1주차</v>
      </c>
      <c r="I713" s="6" t="str">
        <f>H713&amp;" ("&amp;TEXT(C711,"m/dd")&amp;"~"&amp;TEXT(C717,"m/dd")&amp;")"</f>
        <v>12월 1주차 (12/04~12/10)</v>
      </c>
      <c r="J713" s="6" t="str">
        <f>A711&amp;"년 "&amp;WEEKNUM(C711,2)&amp;"주차"&amp;" ("&amp;TEXT(C711,"m/dd")&amp;"~"&amp;TEXT(C717,"m/dd")&amp;")"</f>
        <v>2023년 50주차 (12/04~12/10)</v>
      </c>
      <c r="K713" s="6">
        <f t="shared" si="95"/>
        <v>2023</v>
      </c>
      <c r="L713" s="6">
        <f t="shared" si="96"/>
        <v>50</v>
      </c>
    </row>
    <row r="714" spans="1:12" x14ac:dyDescent="0.45">
      <c r="A714" s="6">
        <f t="shared" si="91"/>
        <v>2023</v>
      </c>
      <c r="B714" s="6">
        <f t="shared" si="94"/>
        <v>12</v>
      </c>
      <c r="C714" s="7">
        <v>45267</v>
      </c>
      <c r="D714" s="6">
        <f t="shared" si="92"/>
        <v>4</v>
      </c>
      <c r="E714" s="6">
        <f t="shared" si="93"/>
        <v>50</v>
      </c>
      <c r="F714" s="6">
        <f t="shared" si="97"/>
        <v>1</v>
      </c>
      <c r="G714" s="6">
        <f t="shared" si="89"/>
        <v>12</v>
      </c>
      <c r="H714" s="6" t="str">
        <f t="shared" si="90"/>
        <v>12월 1주차</v>
      </c>
      <c r="I714" s="6" t="str">
        <f>H714&amp;" ("&amp;TEXT(C711,"m/dd")&amp;"~"&amp;TEXT(C717,"m/dd")&amp;")"</f>
        <v>12월 1주차 (12/04~12/10)</v>
      </c>
      <c r="J714" s="6" t="str">
        <f>A711&amp;"년 "&amp;WEEKNUM(C711,2)&amp;"주차"&amp;" ("&amp;TEXT(C711,"m/dd")&amp;"~"&amp;TEXT(C717,"m/dd")&amp;")"</f>
        <v>2023년 50주차 (12/04~12/10)</v>
      </c>
      <c r="K714" s="6">
        <f t="shared" si="95"/>
        <v>2023</v>
      </c>
      <c r="L714" s="6">
        <f t="shared" si="96"/>
        <v>50</v>
      </c>
    </row>
    <row r="715" spans="1:12" x14ac:dyDescent="0.45">
      <c r="A715" s="6">
        <f t="shared" si="91"/>
        <v>2023</v>
      </c>
      <c r="B715" s="6">
        <f t="shared" si="94"/>
        <v>12</v>
      </c>
      <c r="C715" s="7">
        <v>45268</v>
      </c>
      <c r="D715" s="6">
        <f t="shared" si="92"/>
        <v>5</v>
      </c>
      <c r="E715" s="6">
        <f t="shared" si="93"/>
        <v>50</v>
      </c>
      <c r="F715" s="6">
        <f t="shared" si="97"/>
        <v>1</v>
      </c>
      <c r="G715" s="6">
        <f t="shared" ref="G715:G778" si="98">IF(LEN(B715)=1,_xlfn.CONCAT(0,B715),B715)</f>
        <v>12</v>
      </c>
      <c r="H715" s="6" t="str">
        <f t="shared" ref="H715:H778" si="99">G715&amp;"월 "&amp;F715&amp;"주차"</f>
        <v>12월 1주차</v>
      </c>
      <c r="I715" s="6" t="str">
        <f>H715&amp;" ("&amp;TEXT(C711,"m/dd")&amp;"~"&amp;TEXT(C717,"m/dd")&amp;")"</f>
        <v>12월 1주차 (12/04~12/10)</v>
      </c>
      <c r="J715" s="6" t="str">
        <f>A711&amp;"년 "&amp;WEEKNUM(C711,2)&amp;"주차"&amp;" ("&amp;TEXT(C711,"m/dd")&amp;"~"&amp;TEXT(C717,"m/dd")&amp;")"</f>
        <v>2023년 50주차 (12/04~12/10)</v>
      </c>
      <c r="K715" s="6">
        <f t="shared" si="95"/>
        <v>2023</v>
      </c>
      <c r="L715" s="6">
        <f t="shared" si="96"/>
        <v>50</v>
      </c>
    </row>
    <row r="716" spans="1:12" x14ac:dyDescent="0.45">
      <c r="A716" s="6">
        <f t="shared" si="91"/>
        <v>2023</v>
      </c>
      <c r="B716" s="6">
        <f t="shared" si="94"/>
        <v>12</v>
      </c>
      <c r="C716" s="7">
        <v>45269</v>
      </c>
      <c r="D716" s="6">
        <f t="shared" si="92"/>
        <v>6</v>
      </c>
      <c r="E716" s="6">
        <f t="shared" si="93"/>
        <v>50</v>
      </c>
      <c r="F716" s="6">
        <f t="shared" si="97"/>
        <v>1</v>
      </c>
      <c r="G716" s="6">
        <f t="shared" si="98"/>
        <v>12</v>
      </c>
      <c r="H716" s="6" t="str">
        <f t="shared" si="99"/>
        <v>12월 1주차</v>
      </c>
      <c r="I716" s="6" t="str">
        <f>H716&amp;" ("&amp;TEXT(C711,"m/dd")&amp;"~"&amp;TEXT(C717,"m/dd")&amp;")"</f>
        <v>12월 1주차 (12/04~12/10)</v>
      </c>
      <c r="J716" s="6" t="str">
        <f>A711&amp;"년 "&amp;WEEKNUM(C711,2)&amp;"주차"&amp;" ("&amp;TEXT(C711,"m/dd")&amp;"~"&amp;TEXT(C717,"m/dd")&amp;")"</f>
        <v>2023년 50주차 (12/04~12/10)</v>
      </c>
      <c r="K716" s="6">
        <f t="shared" si="95"/>
        <v>2023</v>
      </c>
      <c r="L716" s="6">
        <f t="shared" si="96"/>
        <v>50</v>
      </c>
    </row>
    <row r="717" spans="1:12" x14ac:dyDescent="0.45">
      <c r="A717" s="6">
        <f t="shared" si="91"/>
        <v>2023</v>
      </c>
      <c r="B717" s="6">
        <f t="shared" si="94"/>
        <v>12</v>
      </c>
      <c r="C717" s="7">
        <v>45270</v>
      </c>
      <c r="D717" s="6">
        <f t="shared" si="92"/>
        <v>7</v>
      </c>
      <c r="E717" s="6">
        <f t="shared" si="93"/>
        <v>50</v>
      </c>
      <c r="F717" s="6">
        <f t="shared" si="97"/>
        <v>1</v>
      </c>
      <c r="G717" s="6">
        <f t="shared" si="98"/>
        <v>12</v>
      </c>
      <c r="H717" s="6" t="str">
        <f t="shared" si="99"/>
        <v>12월 1주차</v>
      </c>
      <c r="I717" s="6" t="str">
        <f>H717&amp;" ("&amp;TEXT(C711,"m/dd")&amp;"~"&amp;TEXT(C717,"m/dd")&amp;")"</f>
        <v>12월 1주차 (12/04~12/10)</v>
      </c>
      <c r="J717" s="6" t="str">
        <f>A711&amp;"년 "&amp;WEEKNUM(C711,2)&amp;"주차"&amp;" ("&amp;TEXT(C711,"m/dd")&amp;"~"&amp;TEXT(C717,"m/dd")&amp;")"</f>
        <v>2023년 50주차 (12/04~12/10)</v>
      </c>
      <c r="K717" s="6">
        <f t="shared" si="95"/>
        <v>2023</v>
      </c>
      <c r="L717" s="6">
        <f t="shared" si="96"/>
        <v>50</v>
      </c>
    </row>
    <row r="718" spans="1:12" x14ac:dyDescent="0.45">
      <c r="A718" s="6">
        <f t="shared" si="91"/>
        <v>2023</v>
      </c>
      <c r="B718" s="6">
        <f t="shared" si="94"/>
        <v>12</v>
      </c>
      <c r="C718" s="7">
        <v>45271</v>
      </c>
      <c r="D718" s="6">
        <f t="shared" si="92"/>
        <v>1</v>
      </c>
      <c r="E718" s="6">
        <f t="shared" si="93"/>
        <v>51</v>
      </c>
      <c r="F718" s="6">
        <f t="shared" si="97"/>
        <v>2</v>
      </c>
      <c r="G718" s="6">
        <f t="shared" si="98"/>
        <v>12</v>
      </c>
      <c r="H718" s="6" t="str">
        <f t="shared" si="99"/>
        <v>12월 2주차</v>
      </c>
      <c r="I718" s="6" t="str">
        <f>H718&amp;" ("&amp;TEXT(C718,"m/dd")&amp;"~"&amp;TEXT(C724,"m/dd")&amp;")"</f>
        <v>12월 2주차 (12/11~12/17)</v>
      </c>
      <c r="J718" s="6" t="str">
        <f>A718&amp;"년 "&amp;WEEKNUM(C718,2)&amp;"주차"&amp;" ("&amp;TEXT(C718,"m/dd")&amp;"~"&amp;TEXT(C724,"m/dd")&amp;")"</f>
        <v>2023년 51주차 (12/11~12/17)</v>
      </c>
      <c r="K718" s="6">
        <f t="shared" si="95"/>
        <v>2023</v>
      </c>
      <c r="L718" s="6">
        <f t="shared" si="96"/>
        <v>51</v>
      </c>
    </row>
    <row r="719" spans="1:12" x14ac:dyDescent="0.45">
      <c r="A719" s="6">
        <f t="shared" ref="A719:A782" si="100">YEAR(C719)</f>
        <v>2023</v>
      </c>
      <c r="B719" s="6">
        <f t="shared" si="94"/>
        <v>12</v>
      </c>
      <c r="C719" s="7">
        <v>45272</v>
      </c>
      <c r="D719" s="6">
        <f t="shared" si="92"/>
        <v>2</v>
      </c>
      <c r="E719" s="6">
        <f t="shared" si="93"/>
        <v>51</v>
      </c>
      <c r="F719" s="6">
        <f t="shared" si="97"/>
        <v>2</v>
      </c>
      <c r="G719" s="6">
        <f t="shared" si="98"/>
        <v>12</v>
      </c>
      <c r="H719" s="6" t="str">
        <f t="shared" si="99"/>
        <v>12월 2주차</v>
      </c>
      <c r="I719" s="6" t="str">
        <f>H719&amp;" ("&amp;TEXT(C718,"m/dd")&amp;"~"&amp;TEXT(C724,"m/dd")&amp;")"</f>
        <v>12월 2주차 (12/11~12/17)</v>
      </c>
      <c r="J719" s="6" t="str">
        <f>A718&amp;"년 "&amp;WEEKNUM(C718,2)&amp;"주차"&amp;" ("&amp;TEXT(C718,"m/dd")&amp;"~"&amp;TEXT(C724,"m/dd")&amp;")"</f>
        <v>2023년 51주차 (12/11~12/17)</v>
      </c>
      <c r="K719" s="6">
        <f t="shared" si="95"/>
        <v>2023</v>
      </c>
      <c r="L719" s="6">
        <f t="shared" si="96"/>
        <v>51</v>
      </c>
    </row>
    <row r="720" spans="1:12" x14ac:dyDescent="0.45">
      <c r="A720" s="6">
        <f t="shared" si="100"/>
        <v>2023</v>
      </c>
      <c r="B720" s="6">
        <f t="shared" si="94"/>
        <v>12</v>
      </c>
      <c r="C720" s="7">
        <v>45273</v>
      </c>
      <c r="D720" s="6">
        <f t="shared" si="92"/>
        <v>3</v>
      </c>
      <c r="E720" s="6">
        <f t="shared" si="93"/>
        <v>51</v>
      </c>
      <c r="F720" s="6">
        <f t="shared" si="97"/>
        <v>2</v>
      </c>
      <c r="G720" s="6">
        <f t="shared" si="98"/>
        <v>12</v>
      </c>
      <c r="H720" s="6" t="str">
        <f t="shared" si="99"/>
        <v>12월 2주차</v>
      </c>
      <c r="I720" s="6" t="str">
        <f>H720&amp;" ("&amp;TEXT(C718,"m/dd")&amp;"~"&amp;TEXT(C724,"m/dd")&amp;")"</f>
        <v>12월 2주차 (12/11~12/17)</v>
      </c>
      <c r="J720" s="6" t="str">
        <f>A718&amp;"년 "&amp;WEEKNUM(C718,2)&amp;"주차"&amp;" ("&amp;TEXT(C718,"m/dd")&amp;"~"&amp;TEXT(C724,"m/dd")&amp;")"</f>
        <v>2023년 51주차 (12/11~12/17)</v>
      </c>
      <c r="K720" s="6">
        <f t="shared" si="95"/>
        <v>2023</v>
      </c>
      <c r="L720" s="6">
        <f t="shared" si="96"/>
        <v>51</v>
      </c>
    </row>
    <row r="721" spans="1:12" x14ac:dyDescent="0.45">
      <c r="A721" s="6">
        <f t="shared" si="100"/>
        <v>2023</v>
      </c>
      <c r="B721" s="6">
        <f t="shared" si="94"/>
        <v>12</v>
      </c>
      <c r="C721" s="7">
        <v>45274</v>
      </c>
      <c r="D721" s="6">
        <f t="shared" si="92"/>
        <v>4</v>
      </c>
      <c r="E721" s="6">
        <f t="shared" si="93"/>
        <v>51</v>
      </c>
      <c r="F721" s="6">
        <f t="shared" si="97"/>
        <v>2</v>
      </c>
      <c r="G721" s="6">
        <f t="shared" si="98"/>
        <v>12</v>
      </c>
      <c r="H721" s="6" t="str">
        <f t="shared" si="99"/>
        <v>12월 2주차</v>
      </c>
      <c r="I721" s="6" t="str">
        <f>H721&amp;" ("&amp;TEXT(C718,"m/dd")&amp;"~"&amp;TEXT(C724,"m/dd")&amp;")"</f>
        <v>12월 2주차 (12/11~12/17)</v>
      </c>
      <c r="J721" s="6" t="str">
        <f>A718&amp;"년 "&amp;WEEKNUM(C718,2)&amp;"주차"&amp;" ("&amp;TEXT(C718,"m/dd")&amp;"~"&amp;TEXT(C724,"m/dd")&amp;")"</f>
        <v>2023년 51주차 (12/11~12/17)</v>
      </c>
      <c r="K721" s="6">
        <f t="shared" si="95"/>
        <v>2023</v>
      </c>
      <c r="L721" s="6">
        <f t="shared" si="96"/>
        <v>51</v>
      </c>
    </row>
    <row r="722" spans="1:12" x14ac:dyDescent="0.45">
      <c r="A722" s="6">
        <f t="shared" si="100"/>
        <v>2023</v>
      </c>
      <c r="B722" s="6">
        <f t="shared" si="94"/>
        <v>12</v>
      </c>
      <c r="C722" s="7">
        <v>45275</v>
      </c>
      <c r="D722" s="6">
        <f t="shared" si="92"/>
        <v>5</v>
      </c>
      <c r="E722" s="6">
        <f t="shared" si="93"/>
        <v>51</v>
      </c>
      <c r="F722" s="6">
        <f t="shared" si="97"/>
        <v>2</v>
      </c>
      <c r="G722" s="6">
        <f t="shared" si="98"/>
        <v>12</v>
      </c>
      <c r="H722" s="6" t="str">
        <f t="shared" si="99"/>
        <v>12월 2주차</v>
      </c>
      <c r="I722" s="6" t="str">
        <f>H722&amp;" ("&amp;TEXT(C718,"m/dd")&amp;"~"&amp;TEXT(C724,"m/dd")&amp;")"</f>
        <v>12월 2주차 (12/11~12/17)</v>
      </c>
      <c r="J722" s="6" t="str">
        <f>A718&amp;"년 "&amp;WEEKNUM(C718,2)&amp;"주차"&amp;" ("&amp;TEXT(C718,"m/dd")&amp;"~"&amp;TEXT(C724,"m/dd")&amp;")"</f>
        <v>2023년 51주차 (12/11~12/17)</v>
      </c>
      <c r="K722" s="6">
        <f t="shared" si="95"/>
        <v>2023</v>
      </c>
      <c r="L722" s="6">
        <f t="shared" si="96"/>
        <v>51</v>
      </c>
    </row>
    <row r="723" spans="1:12" x14ac:dyDescent="0.45">
      <c r="A723" s="6">
        <f t="shared" si="100"/>
        <v>2023</v>
      </c>
      <c r="B723" s="6">
        <f t="shared" si="94"/>
        <v>12</v>
      </c>
      <c r="C723" s="7">
        <v>45276</v>
      </c>
      <c r="D723" s="6">
        <f t="shared" si="92"/>
        <v>6</v>
      </c>
      <c r="E723" s="6">
        <f t="shared" si="93"/>
        <v>51</v>
      </c>
      <c r="F723" s="6">
        <f t="shared" si="97"/>
        <v>2</v>
      </c>
      <c r="G723" s="6">
        <f t="shared" si="98"/>
        <v>12</v>
      </c>
      <c r="H723" s="6" t="str">
        <f t="shared" si="99"/>
        <v>12월 2주차</v>
      </c>
      <c r="I723" s="6" t="str">
        <f>H723&amp;" ("&amp;TEXT(C718,"m/dd")&amp;"~"&amp;TEXT(C724,"m/dd")&amp;")"</f>
        <v>12월 2주차 (12/11~12/17)</v>
      </c>
      <c r="J723" s="6" t="str">
        <f>A718&amp;"년 "&amp;WEEKNUM(C718,2)&amp;"주차"&amp;" ("&amp;TEXT(C718,"m/dd")&amp;"~"&amp;TEXT(C724,"m/dd")&amp;")"</f>
        <v>2023년 51주차 (12/11~12/17)</v>
      </c>
      <c r="K723" s="6">
        <f t="shared" si="95"/>
        <v>2023</v>
      </c>
      <c r="L723" s="6">
        <f t="shared" si="96"/>
        <v>51</v>
      </c>
    </row>
    <row r="724" spans="1:12" x14ac:dyDescent="0.45">
      <c r="A724" s="6">
        <f t="shared" si="100"/>
        <v>2023</v>
      </c>
      <c r="B724" s="6">
        <f t="shared" si="94"/>
        <v>12</v>
      </c>
      <c r="C724" s="7">
        <v>45277</v>
      </c>
      <c r="D724" s="6">
        <f t="shared" si="92"/>
        <v>7</v>
      </c>
      <c r="E724" s="6">
        <f t="shared" si="93"/>
        <v>51</v>
      </c>
      <c r="F724" s="6">
        <f t="shared" si="97"/>
        <v>2</v>
      </c>
      <c r="G724" s="6">
        <f t="shared" si="98"/>
        <v>12</v>
      </c>
      <c r="H724" s="6" t="str">
        <f t="shared" si="99"/>
        <v>12월 2주차</v>
      </c>
      <c r="I724" s="6" t="str">
        <f>H724&amp;" ("&amp;TEXT(C718,"m/dd")&amp;"~"&amp;TEXT(C724,"m/dd")&amp;")"</f>
        <v>12월 2주차 (12/11~12/17)</v>
      </c>
      <c r="J724" s="6" t="str">
        <f>A718&amp;"년 "&amp;WEEKNUM(C718,2)&amp;"주차"&amp;" ("&amp;TEXT(C718,"m/dd")&amp;"~"&amp;TEXT(C724,"m/dd")&amp;")"</f>
        <v>2023년 51주차 (12/11~12/17)</v>
      </c>
      <c r="K724" s="6">
        <f t="shared" si="95"/>
        <v>2023</v>
      </c>
      <c r="L724" s="6">
        <f t="shared" si="96"/>
        <v>51</v>
      </c>
    </row>
    <row r="725" spans="1:12" x14ac:dyDescent="0.45">
      <c r="A725" s="6">
        <f t="shared" si="100"/>
        <v>2023</v>
      </c>
      <c r="B725" s="6">
        <f t="shared" si="94"/>
        <v>12</v>
      </c>
      <c r="C725" s="7">
        <v>45278</v>
      </c>
      <c r="D725" s="6">
        <f t="shared" si="92"/>
        <v>1</v>
      </c>
      <c r="E725" s="6">
        <f t="shared" si="93"/>
        <v>52</v>
      </c>
      <c r="F725" s="6">
        <f t="shared" si="97"/>
        <v>3</v>
      </c>
      <c r="G725" s="6">
        <f t="shared" si="98"/>
        <v>12</v>
      </c>
      <c r="H725" s="6" t="str">
        <f t="shared" si="99"/>
        <v>12월 3주차</v>
      </c>
      <c r="I725" s="6" t="str">
        <f>H725&amp;" ("&amp;TEXT(C725,"m/dd")&amp;"~"&amp;TEXT(C731,"m/dd")&amp;")"</f>
        <v>12월 3주차 (12/18~12/24)</v>
      </c>
      <c r="J725" s="6" t="str">
        <f>A725&amp;"년 "&amp;WEEKNUM(C725,2)&amp;"주차"&amp;" ("&amp;TEXT(C725,"m/dd")&amp;"~"&amp;TEXT(C731,"m/dd")&amp;")"</f>
        <v>2023년 52주차 (12/18~12/24)</v>
      </c>
      <c r="K725" s="6">
        <f t="shared" si="95"/>
        <v>2023</v>
      </c>
      <c r="L725" s="6">
        <f t="shared" si="96"/>
        <v>52</v>
      </c>
    </row>
    <row r="726" spans="1:12" x14ac:dyDescent="0.45">
      <c r="A726" s="6">
        <f t="shared" si="100"/>
        <v>2023</v>
      </c>
      <c r="B726" s="6">
        <f t="shared" si="94"/>
        <v>12</v>
      </c>
      <c r="C726" s="7">
        <v>45279</v>
      </c>
      <c r="D726" s="6">
        <f t="shared" si="92"/>
        <v>2</v>
      </c>
      <c r="E726" s="6">
        <f t="shared" si="93"/>
        <v>52</v>
      </c>
      <c r="F726" s="6">
        <f t="shared" si="97"/>
        <v>3</v>
      </c>
      <c r="G726" s="6">
        <f t="shared" si="98"/>
        <v>12</v>
      </c>
      <c r="H726" s="6" t="str">
        <f t="shared" si="99"/>
        <v>12월 3주차</v>
      </c>
      <c r="I726" s="6" t="str">
        <f>H726&amp;" ("&amp;TEXT(C725,"m/dd")&amp;"~"&amp;TEXT(C731,"m/dd")&amp;")"</f>
        <v>12월 3주차 (12/18~12/24)</v>
      </c>
      <c r="J726" s="6" t="str">
        <f>A725&amp;"년 "&amp;WEEKNUM(C725,2)&amp;"주차"&amp;" ("&amp;TEXT(C725,"m/dd")&amp;"~"&amp;TEXT(C731,"m/dd")&amp;")"</f>
        <v>2023년 52주차 (12/18~12/24)</v>
      </c>
      <c r="K726" s="6">
        <f t="shared" si="95"/>
        <v>2023</v>
      </c>
      <c r="L726" s="6">
        <f t="shared" si="96"/>
        <v>52</v>
      </c>
    </row>
    <row r="727" spans="1:12" x14ac:dyDescent="0.45">
      <c r="A727" s="6">
        <f t="shared" si="100"/>
        <v>2023</v>
      </c>
      <c r="B727" s="6">
        <f t="shared" si="94"/>
        <v>12</v>
      </c>
      <c r="C727" s="7">
        <v>45280</v>
      </c>
      <c r="D727" s="6">
        <f t="shared" ref="D727:D790" si="101">WEEKDAY(C727,2)</f>
        <v>3</v>
      </c>
      <c r="E727" s="6">
        <f t="shared" ref="E727:E790" si="102">WEEKNUM(C727,2)</f>
        <v>52</v>
      </c>
      <c r="F727" s="6">
        <f t="shared" si="97"/>
        <v>3</v>
      </c>
      <c r="G727" s="6">
        <f t="shared" si="98"/>
        <v>12</v>
      </c>
      <c r="H727" s="6" t="str">
        <f t="shared" si="99"/>
        <v>12월 3주차</v>
      </c>
      <c r="I727" s="6" t="str">
        <f>H727&amp;" ("&amp;TEXT(C725,"m/dd")&amp;"~"&amp;TEXT(C731,"m/dd")&amp;")"</f>
        <v>12월 3주차 (12/18~12/24)</v>
      </c>
      <c r="J727" s="6" t="str">
        <f>A725&amp;"년 "&amp;WEEKNUM(C725,2)&amp;"주차"&amp;" ("&amp;TEXT(C725,"m/dd")&amp;"~"&amp;TEXT(C731,"m/dd")&amp;")"</f>
        <v>2023년 52주차 (12/18~12/24)</v>
      </c>
      <c r="K727" s="6">
        <f t="shared" si="95"/>
        <v>2023</v>
      </c>
      <c r="L727" s="6">
        <f t="shared" si="96"/>
        <v>52</v>
      </c>
    </row>
    <row r="728" spans="1:12" x14ac:dyDescent="0.45">
      <c r="A728" s="6">
        <f t="shared" si="100"/>
        <v>2023</v>
      </c>
      <c r="B728" s="6">
        <f t="shared" si="94"/>
        <v>12</v>
      </c>
      <c r="C728" s="7">
        <v>45281</v>
      </c>
      <c r="D728" s="6">
        <f t="shared" si="101"/>
        <v>4</v>
      </c>
      <c r="E728" s="6">
        <f t="shared" si="102"/>
        <v>52</v>
      </c>
      <c r="F728" s="6">
        <f t="shared" si="97"/>
        <v>3</v>
      </c>
      <c r="G728" s="6">
        <f t="shared" si="98"/>
        <v>12</v>
      </c>
      <c r="H728" s="6" t="str">
        <f t="shared" si="99"/>
        <v>12월 3주차</v>
      </c>
      <c r="I728" s="6" t="str">
        <f>H728&amp;" ("&amp;TEXT(C725,"m/dd")&amp;"~"&amp;TEXT(C731,"m/dd")&amp;")"</f>
        <v>12월 3주차 (12/18~12/24)</v>
      </c>
      <c r="J728" s="6" t="str">
        <f>A725&amp;"년 "&amp;WEEKNUM(C725,2)&amp;"주차"&amp;" ("&amp;TEXT(C725,"m/dd")&amp;"~"&amp;TEXT(C731,"m/dd")&amp;")"</f>
        <v>2023년 52주차 (12/18~12/24)</v>
      </c>
      <c r="K728" s="6">
        <f t="shared" si="95"/>
        <v>2023</v>
      </c>
      <c r="L728" s="6">
        <f t="shared" si="96"/>
        <v>52</v>
      </c>
    </row>
    <row r="729" spans="1:12" x14ac:dyDescent="0.45">
      <c r="A729" s="6">
        <f t="shared" si="100"/>
        <v>2023</v>
      </c>
      <c r="B729" s="6">
        <f t="shared" si="94"/>
        <v>12</v>
      </c>
      <c r="C729" s="7">
        <v>45282</v>
      </c>
      <c r="D729" s="6">
        <f t="shared" si="101"/>
        <v>5</v>
      </c>
      <c r="E729" s="6">
        <f t="shared" si="102"/>
        <v>52</v>
      </c>
      <c r="F729" s="6">
        <f t="shared" si="97"/>
        <v>3</v>
      </c>
      <c r="G729" s="6">
        <f t="shared" si="98"/>
        <v>12</v>
      </c>
      <c r="H729" s="6" t="str">
        <f t="shared" si="99"/>
        <v>12월 3주차</v>
      </c>
      <c r="I729" s="6" t="str">
        <f>H729&amp;" ("&amp;TEXT(C725,"m/dd")&amp;"~"&amp;TEXT(C731,"m/dd")&amp;")"</f>
        <v>12월 3주차 (12/18~12/24)</v>
      </c>
      <c r="J729" s="6" t="str">
        <f>A725&amp;"년 "&amp;WEEKNUM(C725,2)&amp;"주차"&amp;" ("&amp;TEXT(C725,"m/dd")&amp;"~"&amp;TEXT(C731,"m/dd")&amp;")"</f>
        <v>2023년 52주차 (12/18~12/24)</v>
      </c>
      <c r="K729" s="6">
        <f t="shared" si="95"/>
        <v>2023</v>
      </c>
      <c r="L729" s="6">
        <f t="shared" si="96"/>
        <v>52</v>
      </c>
    </row>
    <row r="730" spans="1:12" x14ac:dyDescent="0.45">
      <c r="A730" s="6">
        <f t="shared" si="100"/>
        <v>2023</v>
      </c>
      <c r="B730" s="6">
        <f t="shared" si="94"/>
        <v>12</v>
      </c>
      <c r="C730" s="7">
        <v>45283</v>
      </c>
      <c r="D730" s="6">
        <f t="shared" si="101"/>
        <v>6</v>
      </c>
      <c r="E730" s="6">
        <f t="shared" si="102"/>
        <v>52</v>
      </c>
      <c r="F730" s="6">
        <f t="shared" si="97"/>
        <v>3</v>
      </c>
      <c r="G730" s="6">
        <f t="shared" si="98"/>
        <v>12</v>
      </c>
      <c r="H730" s="6" t="str">
        <f t="shared" si="99"/>
        <v>12월 3주차</v>
      </c>
      <c r="I730" s="6" t="str">
        <f>H730&amp;" ("&amp;TEXT(C725,"m/dd")&amp;"~"&amp;TEXT(C731,"m/dd")&amp;")"</f>
        <v>12월 3주차 (12/18~12/24)</v>
      </c>
      <c r="J730" s="6" t="str">
        <f>A725&amp;"년 "&amp;WEEKNUM(C725,2)&amp;"주차"&amp;" ("&amp;TEXT(C725,"m/dd")&amp;"~"&amp;TEXT(C731,"m/dd")&amp;")"</f>
        <v>2023년 52주차 (12/18~12/24)</v>
      </c>
      <c r="K730" s="6">
        <f t="shared" si="95"/>
        <v>2023</v>
      </c>
      <c r="L730" s="6">
        <f t="shared" si="96"/>
        <v>52</v>
      </c>
    </row>
    <row r="731" spans="1:12" x14ac:dyDescent="0.45">
      <c r="A731" s="6">
        <f t="shared" si="100"/>
        <v>2023</v>
      </c>
      <c r="B731" s="6">
        <f t="shared" si="94"/>
        <v>12</v>
      </c>
      <c r="C731" s="7">
        <v>45284</v>
      </c>
      <c r="D731" s="6">
        <f t="shared" si="101"/>
        <v>7</v>
      </c>
      <c r="E731" s="6">
        <f t="shared" si="102"/>
        <v>52</v>
      </c>
      <c r="F731" s="6">
        <f t="shared" si="97"/>
        <v>3</v>
      </c>
      <c r="G731" s="6">
        <f t="shared" si="98"/>
        <v>12</v>
      </c>
      <c r="H731" s="6" t="str">
        <f t="shared" si="99"/>
        <v>12월 3주차</v>
      </c>
      <c r="I731" s="6" t="str">
        <f>H731&amp;" ("&amp;TEXT(C725,"m/dd")&amp;"~"&amp;TEXT(C731,"m/dd")&amp;")"</f>
        <v>12월 3주차 (12/18~12/24)</v>
      </c>
      <c r="J731" s="6" t="str">
        <f>A725&amp;"년 "&amp;WEEKNUM(C725,2)&amp;"주차"&amp;" ("&amp;TEXT(C725,"m/dd")&amp;"~"&amp;TEXT(C731,"m/dd")&amp;")"</f>
        <v>2023년 52주차 (12/18~12/24)</v>
      </c>
      <c r="K731" s="6">
        <f t="shared" si="95"/>
        <v>2023</v>
      </c>
      <c r="L731" s="6">
        <f t="shared" si="96"/>
        <v>52</v>
      </c>
    </row>
    <row r="732" spans="1:12" x14ac:dyDescent="0.45">
      <c r="A732" s="6">
        <f t="shared" si="100"/>
        <v>2023</v>
      </c>
      <c r="B732" s="6">
        <f t="shared" si="94"/>
        <v>12</v>
      </c>
      <c r="C732" s="7">
        <v>45285</v>
      </c>
      <c r="D732" s="6">
        <f t="shared" si="101"/>
        <v>1</v>
      </c>
      <c r="E732" s="6">
        <f t="shared" si="102"/>
        <v>53</v>
      </c>
      <c r="F732" s="6">
        <f t="shared" si="97"/>
        <v>4</v>
      </c>
      <c r="G732" s="6">
        <f t="shared" si="98"/>
        <v>12</v>
      </c>
      <c r="H732" s="6" t="str">
        <f t="shared" si="99"/>
        <v>12월 4주차</v>
      </c>
      <c r="I732" s="6" t="str">
        <f>H732&amp;" ("&amp;TEXT(C732,"m/dd")&amp;"~"&amp;TEXT(C738,"m/dd")&amp;")"</f>
        <v>12월 4주차 (12/25~12/31)</v>
      </c>
      <c r="J732" s="6" t="str">
        <f>A732&amp;"년 "&amp;WEEKNUM(C732,2)&amp;"주차"&amp;" ("&amp;TEXT(C732,"m/dd")&amp;"~"&amp;TEXT(C738,"m/dd")&amp;")"</f>
        <v>2023년 53주차 (12/25~12/31)</v>
      </c>
      <c r="K732" s="6">
        <f t="shared" si="95"/>
        <v>2023</v>
      </c>
      <c r="L732" s="6">
        <f t="shared" si="96"/>
        <v>53</v>
      </c>
    </row>
    <row r="733" spans="1:12" x14ac:dyDescent="0.45">
      <c r="A733" s="6">
        <f t="shared" si="100"/>
        <v>2023</v>
      </c>
      <c r="B733" s="6">
        <f t="shared" si="94"/>
        <v>12</v>
      </c>
      <c r="C733" s="7">
        <v>45286</v>
      </c>
      <c r="D733" s="6">
        <f t="shared" si="101"/>
        <v>2</v>
      </c>
      <c r="E733" s="6">
        <f t="shared" si="102"/>
        <v>53</v>
      </c>
      <c r="F733" s="6">
        <f t="shared" si="97"/>
        <v>4</v>
      </c>
      <c r="G733" s="6">
        <f t="shared" si="98"/>
        <v>12</v>
      </c>
      <c r="H733" s="6" t="str">
        <f t="shared" si="99"/>
        <v>12월 4주차</v>
      </c>
      <c r="I733" s="6" t="str">
        <f>H733&amp;" ("&amp;TEXT(C732,"m/dd")&amp;"~"&amp;TEXT(C738,"m/dd")&amp;")"</f>
        <v>12월 4주차 (12/25~12/31)</v>
      </c>
      <c r="J733" s="6" t="str">
        <f>A732&amp;"년 "&amp;WEEKNUM(C732,2)&amp;"주차"&amp;" ("&amp;TEXT(C732,"m/dd")&amp;"~"&amp;TEXT(C738,"m/dd")&amp;")"</f>
        <v>2023년 53주차 (12/25~12/31)</v>
      </c>
      <c r="K733" s="6">
        <f t="shared" si="95"/>
        <v>2023</v>
      </c>
      <c r="L733" s="6">
        <f t="shared" si="96"/>
        <v>53</v>
      </c>
    </row>
    <row r="734" spans="1:12" x14ac:dyDescent="0.45">
      <c r="A734" s="6">
        <f t="shared" si="100"/>
        <v>2023</v>
      </c>
      <c r="B734" s="6">
        <f t="shared" si="94"/>
        <v>12</v>
      </c>
      <c r="C734" s="7">
        <v>45287</v>
      </c>
      <c r="D734" s="6">
        <f t="shared" si="101"/>
        <v>3</v>
      </c>
      <c r="E734" s="6">
        <f t="shared" si="102"/>
        <v>53</v>
      </c>
      <c r="F734" s="6">
        <f t="shared" si="97"/>
        <v>4</v>
      </c>
      <c r="G734" s="6">
        <f t="shared" si="98"/>
        <v>12</v>
      </c>
      <c r="H734" s="6" t="str">
        <f t="shared" si="99"/>
        <v>12월 4주차</v>
      </c>
      <c r="I734" s="6" t="str">
        <f>H734&amp;" ("&amp;TEXT(C732,"m/dd")&amp;"~"&amp;TEXT(C738,"m/dd")&amp;")"</f>
        <v>12월 4주차 (12/25~12/31)</v>
      </c>
      <c r="J734" s="6" t="str">
        <f>A732&amp;"년 "&amp;WEEKNUM(C732,2)&amp;"주차"&amp;" ("&amp;TEXT(C732,"m/dd")&amp;"~"&amp;TEXT(C738,"m/dd")&amp;")"</f>
        <v>2023년 53주차 (12/25~12/31)</v>
      </c>
      <c r="K734" s="6">
        <f t="shared" si="95"/>
        <v>2023</v>
      </c>
      <c r="L734" s="6">
        <f t="shared" si="96"/>
        <v>53</v>
      </c>
    </row>
    <row r="735" spans="1:12" x14ac:dyDescent="0.45">
      <c r="A735" s="6">
        <f t="shared" si="100"/>
        <v>2023</v>
      </c>
      <c r="B735" s="6">
        <f t="shared" si="94"/>
        <v>12</v>
      </c>
      <c r="C735" s="7">
        <v>45288</v>
      </c>
      <c r="D735" s="6">
        <f t="shared" si="101"/>
        <v>4</v>
      </c>
      <c r="E735" s="6">
        <f t="shared" si="102"/>
        <v>53</v>
      </c>
      <c r="F735" s="6">
        <f t="shared" si="97"/>
        <v>4</v>
      </c>
      <c r="G735" s="6">
        <f t="shared" si="98"/>
        <v>12</v>
      </c>
      <c r="H735" s="6" t="str">
        <f t="shared" si="99"/>
        <v>12월 4주차</v>
      </c>
      <c r="I735" s="6" t="str">
        <f>H735&amp;" ("&amp;TEXT(C732,"m/dd")&amp;"~"&amp;TEXT(C738,"m/dd")&amp;")"</f>
        <v>12월 4주차 (12/25~12/31)</v>
      </c>
      <c r="J735" s="6" t="str">
        <f>A732&amp;"년 "&amp;WEEKNUM(C732,2)&amp;"주차"&amp;" ("&amp;TEXT(C732,"m/dd")&amp;"~"&amp;TEXT(C738,"m/dd")&amp;")"</f>
        <v>2023년 53주차 (12/25~12/31)</v>
      </c>
      <c r="K735" s="6">
        <f t="shared" si="95"/>
        <v>2023</v>
      </c>
      <c r="L735" s="6">
        <f t="shared" si="96"/>
        <v>53</v>
      </c>
    </row>
    <row r="736" spans="1:12" x14ac:dyDescent="0.45">
      <c r="A736" s="6">
        <f t="shared" si="100"/>
        <v>2023</v>
      </c>
      <c r="B736" s="6">
        <f t="shared" si="94"/>
        <v>12</v>
      </c>
      <c r="C736" s="7">
        <v>45289</v>
      </c>
      <c r="D736" s="6">
        <f t="shared" si="101"/>
        <v>5</v>
      </c>
      <c r="E736" s="6">
        <f t="shared" si="102"/>
        <v>53</v>
      </c>
      <c r="F736" s="6">
        <f t="shared" si="97"/>
        <v>4</v>
      </c>
      <c r="G736" s="6">
        <f t="shared" si="98"/>
        <v>12</v>
      </c>
      <c r="H736" s="6" t="str">
        <f t="shared" si="99"/>
        <v>12월 4주차</v>
      </c>
      <c r="I736" s="6" t="str">
        <f>H736&amp;" ("&amp;TEXT(C732,"m/dd")&amp;"~"&amp;TEXT(C738,"m/dd")&amp;")"</f>
        <v>12월 4주차 (12/25~12/31)</v>
      </c>
      <c r="J736" s="6" t="str">
        <f>A732&amp;"년 "&amp;WEEKNUM(C732,2)&amp;"주차"&amp;" ("&amp;TEXT(C732,"m/dd")&amp;"~"&amp;TEXT(C738,"m/dd")&amp;")"</f>
        <v>2023년 53주차 (12/25~12/31)</v>
      </c>
      <c r="K736" s="6">
        <f t="shared" si="95"/>
        <v>2023</v>
      </c>
      <c r="L736" s="6">
        <f t="shared" si="96"/>
        <v>53</v>
      </c>
    </row>
    <row r="737" spans="1:12" x14ac:dyDescent="0.45">
      <c r="A737" s="6">
        <f t="shared" si="100"/>
        <v>2023</v>
      </c>
      <c r="B737" s="6">
        <f t="shared" si="94"/>
        <v>12</v>
      </c>
      <c r="C737" s="7">
        <v>45290</v>
      </c>
      <c r="D737" s="6">
        <f t="shared" si="101"/>
        <v>6</v>
      </c>
      <c r="E737" s="6">
        <f t="shared" si="102"/>
        <v>53</v>
      </c>
      <c r="F737" s="6">
        <f t="shared" si="97"/>
        <v>4</v>
      </c>
      <c r="G737" s="6">
        <f t="shared" si="98"/>
        <v>12</v>
      </c>
      <c r="H737" s="6" t="str">
        <f t="shared" si="99"/>
        <v>12월 4주차</v>
      </c>
      <c r="I737" s="6" t="str">
        <f>H737&amp;" ("&amp;TEXT(C732,"m/dd")&amp;"~"&amp;TEXT(C738,"m/dd")&amp;")"</f>
        <v>12월 4주차 (12/25~12/31)</v>
      </c>
      <c r="J737" s="6" t="str">
        <f>A732&amp;"년 "&amp;WEEKNUM(C732,2)&amp;"주차"&amp;" ("&amp;TEXT(C732,"m/dd")&amp;"~"&amp;TEXT(C738,"m/dd")&amp;")"</f>
        <v>2023년 53주차 (12/25~12/31)</v>
      </c>
      <c r="K737" s="6">
        <f t="shared" si="95"/>
        <v>2023</v>
      </c>
      <c r="L737" s="6">
        <f t="shared" si="96"/>
        <v>53</v>
      </c>
    </row>
    <row r="738" spans="1:12" x14ac:dyDescent="0.45">
      <c r="A738" s="6">
        <f t="shared" si="100"/>
        <v>2023</v>
      </c>
      <c r="B738" s="6">
        <f t="shared" si="94"/>
        <v>12</v>
      </c>
      <c r="C738" s="7">
        <v>45291</v>
      </c>
      <c r="D738" s="6">
        <f t="shared" si="101"/>
        <v>7</v>
      </c>
      <c r="E738" s="6">
        <f t="shared" si="102"/>
        <v>53</v>
      </c>
      <c r="F738" s="6">
        <f t="shared" si="97"/>
        <v>4</v>
      </c>
      <c r="G738" s="6">
        <f t="shared" si="98"/>
        <v>12</v>
      </c>
      <c r="H738" s="6" t="str">
        <f t="shared" si="99"/>
        <v>12월 4주차</v>
      </c>
      <c r="I738" s="6" t="str">
        <f>H738&amp;" ("&amp;TEXT(C732,"m/dd")&amp;"~"&amp;TEXT(C738,"m/dd")&amp;")"</f>
        <v>12월 4주차 (12/25~12/31)</v>
      </c>
      <c r="J738" s="6" t="str">
        <f>A732&amp;"년 "&amp;WEEKNUM(C732,2)&amp;"주차"&amp;" ("&amp;TEXT(C732,"m/dd")&amp;"~"&amp;TEXT(C738,"m/dd")&amp;")"</f>
        <v>2023년 53주차 (12/25~12/31)</v>
      </c>
      <c r="K738" s="6">
        <f t="shared" si="95"/>
        <v>2023</v>
      </c>
      <c r="L738" s="6">
        <f t="shared" si="96"/>
        <v>53</v>
      </c>
    </row>
    <row r="739" spans="1:12" x14ac:dyDescent="0.45">
      <c r="A739" s="6">
        <f t="shared" si="100"/>
        <v>2024</v>
      </c>
      <c r="B739" s="6">
        <f t="shared" si="94"/>
        <v>1</v>
      </c>
      <c r="C739" s="7">
        <v>45292</v>
      </c>
      <c r="D739" s="6">
        <f t="shared" si="101"/>
        <v>1</v>
      </c>
      <c r="E739" s="6">
        <f t="shared" si="102"/>
        <v>1</v>
      </c>
      <c r="F739" s="6">
        <f t="shared" si="97"/>
        <v>1</v>
      </c>
      <c r="G739" s="6" t="str">
        <f t="shared" si="98"/>
        <v>01</v>
      </c>
      <c r="H739" s="6" t="str">
        <f t="shared" si="99"/>
        <v>01월 1주차</v>
      </c>
      <c r="I739" s="6" t="str">
        <f>H739&amp;" ("&amp;TEXT(C739,"m/dd")&amp;"~"&amp;TEXT(C745,"m/dd")&amp;")"</f>
        <v>01월 1주차 (1/01~1/07)</v>
      </c>
      <c r="J739" s="6" t="str">
        <f>A739&amp;"년 "&amp;WEEKNUM(C739,2)&amp;"주차"&amp;" ("&amp;TEXT(C739,"m/dd")&amp;"~"&amp;TEXT(C745,"m/dd")&amp;")"</f>
        <v>2024년 1주차 (1/01~1/07)</v>
      </c>
      <c r="K739" s="6">
        <f t="shared" si="95"/>
        <v>2024</v>
      </c>
      <c r="L739" s="6">
        <f t="shared" si="96"/>
        <v>1</v>
      </c>
    </row>
    <row r="740" spans="1:12" x14ac:dyDescent="0.45">
      <c r="A740" s="6">
        <f t="shared" si="100"/>
        <v>2024</v>
      </c>
      <c r="B740" s="6">
        <f t="shared" si="94"/>
        <v>1</v>
      </c>
      <c r="C740" s="7">
        <v>45293</v>
      </c>
      <c r="D740" s="6">
        <f t="shared" si="101"/>
        <v>2</v>
      </c>
      <c r="E740" s="6">
        <f t="shared" si="102"/>
        <v>1</v>
      </c>
      <c r="F740" s="6">
        <f t="shared" si="97"/>
        <v>1</v>
      </c>
      <c r="G740" s="6" t="str">
        <f t="shared" si="98"/>
        <v>01</v>
      </c>
      <c r="H740" s="6" t="str">
        <f t="shared" si="99"/>
        <v>01월 1주차</v>
      </c>
      <c r="I740" s="6" t="str">
        <f>H740&amp;" ("&amp;TEXT(C739,"m/dd")&amp;"~"&amp;TEXT(C745,"m/dd")&amp;")"</f>
        <v>01월 1주차 (1/01~1/07)</v>
      </c>
      <c r="J740" s="6" t="str">
        <f>A739&amp;"년 "&amp;WEEKNUM(C739,2)&amp;"주차"&amp;" ("&amp;TEXT(C739,"m/dd")&amp;"~"&amp;TEXT(C745,"m/dd")&amp;")"</f>
        <v>2024년 1주차 (1/01~1/07)</v>
      </c>
      <c r="K740" s="6">
        <f t="shared" si="95"/>
        <v>2024</v>
      </c>
      <c r="L740" s="6">
        <f t="shared" si="96"/>
        <v>1</v>
      </c>
    </row>
    <row r="741" spans="1:12" x14ac:dyDescent="0.45">
      <c r="A741" s="6">
        <f t="shared" si="100"/>
        <v>2024</v>
      </c>
      <c r="B741" s="6">
        <f t="shared" si="94"/>
        <v>1</v>
      </c>
      <c r="C741" s="7">
        <v>45294</v>
      </c>
      <c r="D741" s="6">
        <f t="shared" si="101"/>
        <v>3</v>
      </c>
      <c r="E741" s="6">
        <f t="shared" si="102"/>
        <v>1</v>
      </c>
      <c r="F741" s="6">
        <f t="shared" si="97"/>
        <v>1</v>
      </c>
      <c r="G741" s="6" t="str">
        <f t="shared" si="98"/>
        <v>01</v>
      </c>
      <c r="H741" s="6" t="str">
        <f t="shared" si="99"/>
        <v>01월 1주차</v>
      </c>
      <c r="I741" s="6" t="str">
        <f>H741&amp;" ("&amp;TEXT(C739,"m/dd")&amp;"~"&amp;TEXT(C745,"m/dd")&amp;")"</f>
        <v>01월 1주차 (1/01~1/07)</v>
      </c>
      <c r="J741" s="6" t="str">
        <f>A739&amp;"년 "&amp;WEEKNUM(C739,2)&amp;"주차"&amp;" ("&amp;TEXT(C739,"m/dd")&amp;"~"&amp;TEXT(C745,"m/dd")&amp;")"</f>
        <v>2024년 1주차 (1/01~1/07)</v>
      </c>
      <c r="K741" s="6">
        <f t="shared" si="95"/>
        <v>2024</v>
      </c>
      <c r="L741" s="6">
        <f t="shared" si="96"/>
        <v>1</v>
      </c>
    </row>
    <row r="742" spans="1:12" x14ac:dyDescent="0.45">
      <c r="A742" s="6">
        <f t="shared" si="100"/>
        <v>2024</v>
      </c>
      <c r="B742" s="6">
        <f t="shared" ref="B742:B805" si="103">MONTH(C742)</f>
        <v>1</v>
      </c>
      <c r="C742" s="7">
        <v>45295</v>
      </c>
      <c r="D742" s="6">
        <f t="shared" si="101"/>
        <v>4</v>
      </c>
      <c r="E742" s="6">
        <f t="shared" si="102"/>
        <v>1</v>
      </c>
      <c r="F742" s="6">
        <f t="shared" si="97"/>
        <v>1</v>
      </c>
      <c r="G742" s="6" t="str">
        <f t="shared" si="98"/>
        <v>01</v>
      </c>
      <c r="H742" s="6" t="str">
        <f t="shared" si="99"/>
        <v>01월 1주차</v>
      </c>
      <c r="I742" s="6" t="str">
        <f>H742&amp;" ("&amp;TEXT(C739,"m/dd")&amp;"~"&amp;TEXT(C745,"m/dd")&amp;")"</f>
        <v>01월 1주차 (1/01~1/07)</v>
      </c>
      <c r="J742" s="6" t="str">
        <f>A739&amp;"년 "&amp;WEEKNUM(C739,2)&amp;"주차"&amp;" ("&amp;TEXT(C739,"m/dd")&amp;"~"&amp;TEXT(C745,"m/dd")&amp;")"</f>
        <v>2024년 1주차 (1/01~1/07)</v>
      </c>
      <c r="K742" s="6">
        <f t="shared" si="95"/>
        <v>2024</v>
      </c>
      <c r="L742" s="6">
        <f t="shared" si="96"/>
        <v>1</v>
      </c>
    </row>
    <row r="743" spans="1:12" x14ac:dyDescent="0.45">
      <c r="A743" s="6">
        <f t="shared" si="100"/>
        <v>2024</v>
      </c>
      <c r="B743" s="6">
        <f t="shared" si="103"/>
        <v>1</v>
      </c>
      <c r="C743" s="7">
        <v>45296</v>
      </c>
      <c r="D743" s="6">
        <f t="shared" si="101"/>
        <v>5</v>
      </c>
      <c r="E743" s="6">
        <f t="shared" si="102"/>
        <v>1</v>
      </c>
      <c r="F743" s="6">
        <f t="shared" si="97"/>
        <v>1</v>
      </c>
      <c r="G743" s="6" t="str">
        <f t="shared" si="98"/>
        <v>01</v>
      </c>
      <c r="H743" s="6" t="str">
        <f t="shared" si="99"/>
        <v>01월 1주차</v>
      </c>
      <c r="I743" s="6" t="str">
        <f>H743&amp;" ("&amp;TEXT(C739,"m/dd")&amp;"~"&amp;TEXT(C745,"m/dd")&amp;")"</f>
        <v>01월 1주차 (1/01~1/07)</v>
      </c>
      <c r="J743" s="6" t="str">
        <f>A739&amp;"년 "&amp;WEEKNUM(C739,2)&amp;"주차"&amp;" ("&amp;TEXT(C739,"m/dd")&amp;"~"&amp;TEXT(C745,"m/dd")&amp;")"</f>
        <v>2024년 1주차 (1/01~1/07)</v>
      </c>
      <c r="K743" s="6">
        <f t="shared" si="95"/>
        <v>2024</v>
      </c>
      <c r="L743" s="6">
        <f t="shared" si="96"/>
        <v>1</v>
      </c>
    </row>
    <row r="744" spans="1:12" x14ac:dyDescent="0.45">
      <c r="A744" s="6">
        <f t="shared" si="100"/>
        <v>2024</v>
      </c>
      <c r="B744" s="6">
        <f t="shared" si="103"/>
        <v>1</v>
      </c>
      <c r="C744" s="7">
        <v>45297</v>
      </c>
      <c r="D744" s="6">
        <f t="shared" si="101"/>
        <v>6</v>
      </c>
      <c r="E744" s="6">
        <f t="shared" si="102"/>
        <v>1</v>
      </c>
      <c r="F744" s="6">
        <f t="shared" si="97"/>
        <v>1</v>
      </c>
      <c r="G744" s="6" t="str">
        <f t="shared" si="98"/>
        <v>01</v>
      </c>
      <c r="H744" s="6" t="str">
        <f t="shared" si="99"/>
        <v>01월 1주차</v>
      </c>
      <c r="I744" s="6" t="str">
        <f>H744&amp;" ("&amp;TEXT(C739,"m/dd")&amp;"~"&amp;TEXT(C745,"m/dd")&amp;")"</f>
        <v>01월 1주차 (1/01~1/07)</v>
      </c>
      <c r="J744" s="6" t="str">
        <f>A739&amp;"년 "&amp;WEEKNUM(C739,2)&amp;"주차"&amp;" ("&amp;TEXT(C739,"m/dd")&amp;"~"&amp;TEXT(C745,"m/dd")&amp;")"</f>
        <v>2024년 1주차 (1/01~1/07)</v>
      </c>
      <c r="K744" s="6">
        <f t="shared" si="95"/>
        <v>2024</v>
      </c>
      <c r="L744" s="6">
        <f t="shared" si="96"/>
        <v>1</v>
      </c>
    </row>
    <row r="745" spans="1:12" x14ac:dyDescent="0.45">
      <c r="A745" s="6">
        <f t="shared" si="100"/>
        <v>2024</v>
      </c>
      <c r="B745" s="6">
        <f t="shared" si="103"/>
        <v>1</v>
      </c>
      <c r="C745" s="7">
        <v>45298</v>
      </c>
      <c r="D745" s="6">
        <f t="shared" si="101"/>
        <v>7</v>
      </c>
      <c r="E745" s="6">
        <f t="shared" si="102"/>
        <v>1</v>
      </c>
      <c r="F745" s="6">
        <f t="shared" si="97"/>
        <v>1</v>
      </c>
      <c r="G745" s="6" t="str">
        <f t="shared" si="98"/>
        <v>01</v>
      </c>
      <c r="H745" s="6" t="str">
        <f t="shared" si="99"/>
        <v>01월 1주차</v>
      </c>
      <c r="I745" s="6" t="str">
        <f>H745&amp;" ("&amp;TEXT(C739,"m/dd")&amp;"~"&amp;TEXT(C745,"m/dd")&amp;")"</f>
        <v>01월 1주차 (1/01~1/07)</v>
      </c>
      <c r="J745" s="6" t="str">
        <f>A739&amp;"년 "&amp;WEEKNUM(C739,2)&amp;"주차"&amp;" ("&amp;TEXT(C739,"m/dd")&amp;"~"&amp;TEXT(C745,"m/dd")&amp;")"</f>
        <v>2024년 1주차 (1/01~1/07)</v>
      </c>
      <c r="K745" s="6">
        <f t="shared" si="95"/>
        <v>2024</v>
      </c>
      <c r="L745" s="6">
        <f t="shared" si="96"/>
        <v>1</v>
      </c>
    </row>
    <row r="746" spans="1:12" x14ac:dyDescent="0.45">
      <c r="A746" s="6">
        <f t="shared" si="100"/>
        <v>2024</v>
      </c>
      <c r="B746" s="6">
        <f t="shared" si="103"/>
        <v>1</v>
      </c>
      <c r="C746" s="7">
        <v>45299</v>
      </c>
      <c r="D746" s="6">
        <f t="shared" si="101"/>
        <v>1</v>
      </c>
      <c r="E746" s="6">
        <f t="shared" si="102"/>
        <v>2</v>
      </c>
      <c r="F746" s="6">
        <f t="shared" si="97"/>
        <v>2</v>
      </c>
      <c r="G746" s="6" t="str">
        <f t="shared" si="98"/>
        <v>01</v>
      </c>
      <c r="H746" s="6" t="str">
        <f t="shared" si="99"/>
        <v>01월 2주차</v>
      </c>
      <c r="I746" s="6" t="str">
        <f>H746&amp;" ("&amp;TEXT(C746,"m/dd")&amp;"~"&amp;TEXT(C752,"m/dd")&amp;")"</f>
        <v>01월 2주차 (1/08~1/14)</v>
      </c>
      <c r="J746" s="6" t="str">
        <f>A746&amp;"년 "&amp;WEEKNUM(C746,2)&amp;"주차"&amp;" ("&amp;TEXT(C746,"m/dd")&amp;"~"&amp;TEXT(C752,"m/dd")&amp;")"</f>
        <v>2024년 2주차 (1/08~1/14)</v>
      </c>
      <c r="K746" s="6">
        <f t="shared" si="95"/>
        <v>2024</v>
      </c>
      <c r="L746" s="6">
        <f t="shared" si="96"/>
        <v>2</v>
      </c>
    </row>
    <row r="747" spans="1:12" x14ac:dyDescent="0.45">
      <c r="A747" s="6">
        <f t="shared" si="100"/>
        <v>2024</v>
      </c>
      <c r="B747" s="6">
        <f t="shared" si="103"/>
        <v>1</v>
      </c>
      <c r="C747" s="7">
        <v>45300</v>
      </c>
      <c r="D747" s="6">
        <f t="shared" si="101"/>
        <v>2</v>
      </c>
      <c r="E747" s="6">
        <f t="shared" si="102"/>
        <v>2</v>
      </c>
      <c r="F747" s="6">
        <f t="shared" si="97"/>
        <v>2</v>
      </c>
      <c r="G747" s="6" t="str">
        <f t="shared" si="98"/>
        <v>01</v>
      </c>
      <c r="H747" s="6" t="str">
        <f t="shared" si="99"/>
        <v>01월 2주차</v>
      </c>
      <c r="I747" s="6" t="str">
        <f>H747&amp;" ("&amp;TEXT(C746,"m/dd")&amp;"~"&amp;TEXT(C752,"m/dd")&amp;")"</f>
        <v>01월 2주차 (1/08~1/14)</v>
      </c>
      <c r="J747" s="6" t="str">
        <f>A746&amp;"년 "&amp;WEEKNUM(C746,2)&amp;"주차"&amp;" ("&amp;TEXT(C746,"m/dd")&amp;"~"&amp;TEXT(C752,"m/dd")&amp;")"</f>
        <v>2024년 2주차 (1/08~1/14)</v>
      </c>
      <c r="K747" s="6">
        <f t="shared" si="95"/>
        <v>2024</v>
      </c>
      <c r="L747" s="6">
        <f t="shared" si="96"/>
        <v>2</v>
      </c>
    </row>
    <row r="748" spans="1:12" x14ac:dyDescent="0.45">
      <c r="A748" s="6">
        <f t="shared" si="100"/>
        <v>2024</v>
      </c>
      <c r="B748" s="6">
        <f t="shared" si="103"/>
        <v>1</v>
      </c>
      <c r="C748" s="7">
        <v>45301</v>
      </c>
      <c r="D748" s="6">
        <f t="shared" si="101"/>
        <v>3</v>
      </c>
      <c r="E748" s="6">
        <f t="shared" si="102"/>
        <v>2</v>
      </c>
      <c r="F748" s="6">
        <f t="shared" si="97"/>
        <v>2</v>
      </c>
      <c r="G748" s="6" t="str">
        <f t="shared" si="98"/>
        <v>01</v>
      </c>
      <c r="H748" s="6" t="str">
        <f t="shared" si="99"/>
        <v>01월 2주차</v>
      </c>
      <c r="I748" s="6" t="str">
        <f>H748&amp;" ("&amp;TEXT(C746,"m/dd")&amp;"~"&amp;TEXT(C752,"m/dd")&amp;")"</f>
        <v>01월 2주차 (1/08~1/14)</v>
      </c>
      <c r="J748" s="6" t="str">
        <f>A746&amp;"년 "&amp;WEEKNUM(C746,2)&amp;"주차"&amp;" ("&amp;TEXT(C746,"m/dd")&amp;"~"&amp;TEXT(C752,"m/dd")&amp;")"</f>
        <v>2024년 2주차 (1/08~1/14)</v>
      </c>
      <c r="K748" s="6">
        <f t="shared" si="95"/>
        <v>2024</v>
      </c>
      <c r="L748" s="6">
        <f t="shared" si="96"/>
        <v>2</v>
      </c>
    </row>
    <row r="749" spans="1:12" x14ac:dyDescent="0.45">
      <c r="A749" s="6">
        <f t="shared" si="100"/>
        <v>2024</v>
      </c>
      <c r="B749" s="6">
        <f t="shared" si="103"/>
        <v>1</v>
      </c>
      <c r="C749" s="7">
        <v>45302</v>
      </c>
      <c r="D749" s="6">
        <f t="shared" si="101"/>
        <v>4</v>
      </c>
      <c r="E749" s="6">
        <f t="shared" si="102"/>
        <v>2</v>
      </c>
      <c r="F749" s="6">
        <f t="shared" si="97"/>
        <v>2</v>
      </c>
      <c r="G749" s="6" t="str">
        <f t="shared" si="98"/>
        <v>01</v>
      </c>
      <c r="H749" s="6" t="str">
        <f t="shared" si="99"/>
        <v>01월 2주차</v>
      </c>
      <c r="I749" s="6" t="str">
        <f>H749&amp;" ("&amp;TEXT(C746,"m/dd")&amp;"~"&amp;TEXT(C752,"m/dd")&amp;")"</f>
        <v>01월 2주차 (1/08~1/14)</v>
      </c>
      <c r="J749" s="6" t="str">
        <f>A746&amp;"년 "&amp;WEEKNUM(C746,2)&amp;"주차"&amp;" ("&amp;TEXT(C746,"m/dd")&amp;"~"&amp;TEXT(C752,"m/dd")&amp;")"</f>
        <v>2024년 2주차 (1/08~1/14)</v>
      </c>
      <c r="K749" s="6">
        <f t="shared" si="95"/>
        <v>2024</v>
      </c>
      <c r="L749" s="6">
        <f t="shared" si="96"/>
        <v>2</v>
      </c>
    </row>
    <row r="750" spans="1:12" x14ac:dyDescent="0.45">
      <c r="A750" s="6">
        <f t="shared" si="100"/>
        <v>2024</v>
      </c>
      <c r="B750" s="6">
        <f t="shared" si="103"/>
        <v>1</v>
      </c>
      <c r="C750" s="7">
        <v>45303</v>
      </c>
      <c r="D750" s="6">
        <f t="shared" si="101"/>
        <v>5</v>
      </c>
      <c r="E750" s="6">
        <f t="shared" si="102"/>
        <v>2</v>
      </c>
      <c r="F750" s="6">
        <f t="shared" si="97"/>
        <v>2</v>
      </c>
      <c r="G750" s="6" t="str">
        <f t="shared" si="98"/>
        <v>01</v>
      </c>
      <c r="H750" s="6" t="str">
        <f t="shared" si="99"/>
        <v>01월 2주차</v>
      </c>
      <c r="I750" s="6" t="str">
        <f>H750&amp;" ("&amp;TEXT(C746,"m/dd")&amp;"~"&amp;TEXT(C752,"m/dd")&amp;")"</f>
        <v>01월 2주차 (1/08~1/14)</v>
      </c>
      <c r="J750" s="6" t="str">
        <f>A746&amp;"년 "&amp;WEEKNUM(C746,2)&amp;"주차"&amp;" ("&amp;TEXT(C746,"m/dd")&amp;"~"&amp;TEXT(C752,"m/dd")&amp;")"</f>
        <v>2024년 2주차 (1/08~1/14)</v>
      </c>
      <c r="K750" s="6">
        <f t="shared" si="95"/>
        <v>2024</v>
      </c>
      <c r="L750" s="6">
        <f t="shared" si="96"/>
        <v>2</v>
      </c>
    </row>
    <row r="751" spans="1:12" x14ac:dyDescent="0.45">
      <c r="A751" s="6">
        <f t="shared" si="100"/>
        <v>2024</v>
      </c>
      <c r="B751" s="6">
        <f t="shared" si="103"/>
        <v>1</v>
      </c>
      <c r="C751" s="7">
        <v>45304</v>
      </c>
      <c r="D751" s="6">
        <f t="shared" si="101"/>
        <v>6</v>
      </c>
      <c r="E751" s="6">
        <f t="shared" si="102"/>
        <v>2</v>
      </c>
      <c r="F751" s="6">
        <f t="shared" si="97"/>
        <v>2</v>
      </c>
      <c r="G751" s="6" t="str">
        <f t="shared" si="98"/>
        <v>01</v>
      </c>
      <c r="H751" s="6" t="str">
        <f t="shared" si="99"/>
        <v>01월 2주차</v>
      </c>
      <c r="I751" s="6" t="str">
        <f>H751&amp;" ("&amp;TEXT(C746,"m/dd")&amp;"~"&amp;TEXT(C752,"m/dd")&amp;")"</f>
        <v>01월 2주차 (1/08~1/14)</v>
      </c>
      <c r="J751" s="6" t="str">
        <f>A746&amp;"년 "&amp;WEEKNUM(C746,2)&amp;"주차"&amp;" ("&amp;TEXT(C746,"m/dd")&amp;"~"&amp;TEXT(C752,"m/dd")&amp;")"</f>
        <v>2024년 2주차 (1/08~1/14)</v>
      </c>
      <c r="K751" s="6">
        <f t="shared" ref="K751:K814" si="104">YEAR(C751)</f>
        <v>2024</v>
      </c>
      <c r="L751" s="6">
        <f t="shared" ref="L751:L814" si="105">WEEKNUM(C751,2)</f>
        <v>2</v>
      </c>
    </row>
    <row r="752" spans="1:12" x14ac:dyDescent="0.45">
      <c r="A752" s="6">
        <f t="shared" si="100"/>
        <v>2024</v>
      </c>
      <c r="B752" s="6">
        <f t="shared" si="103"/>
        <v>1</v>
      </c>
      <c r="C752" s="7">
        <v>45305</v>
      </c>
      <c r="D752" s="6">
        <f t="shared" si="101"/>
        <v>7</v>
      </c>
      <c r="E752" s="6">
        <f t="shared" si="102"/>
        <v>2</v>
      </c>
      <c r="F752" s="6">
        <f t="shared" si="97"/>
        <v>2</v>
      </c>
      <c r="G752" s="6" t="str">
        <f t="shared" si="98"/>
        <v>01</v>
      </c>
      <c r="H752" s="6" t="str">
        <f t="shared" si="99"/>
        <v>01월 2주차</v>
      </c>
      <c r="I752" s="6" t="str">
        <f>H752&amp;" ("&amp;TEXT(C746,"m/dd")&amp;"~"&amp;TEXT(C752,"m/dd")&amp;")"</f>
        <v>01월 2주차 (1/08~1/14)</v>
      </c>
      <c r="J752" s="6" t="str">
        <f>A746&amp;"년 "&amp;WEEKNUM(C746,2)&amp;"주차"&amp;" ("&amp;TEXT(C746,"m/dd")&amp;"~"&amp;TEXT(C752,"m/dd")&amp;")"</f>
        <v>2024년 2주차 (1/08~1/14)</v>
      </c>
      <c r="K752" s="6">
        <f t="shared" si="104"/>
        <v>2024</v>
      </c>
      <c r="L752" s="6">
        <f t="shared" si="105"/>
        <v>2</v>
      </c>
    </row>
    <row r="753" spans="1:12" x14ac:dyDescent="0.45">
      <c r="A753" s="6">
        <f t="shared" si="100"/>
        <v>2024</v>
      </c>
      <c r="B753" s="6">
        <f t="shared" si="103"/>
        <v>1</v>
      </c>
      <c r="C753" s="7">
        <v>45306</v>
      </c>
      <c r="D753" s="6">
        <f t="shared" si="101"/>
        <v>1</v>
      </c>
      <c r="E753" s="6">
        <f t="shared" si="102"/>
        <v>3</v>
      </c>
      <c r="F753" s="6">
        <f t="shared" si="97"/>
        <v>3</v>
      </c>
      <c r="G753" s="6" t="str">
        <f t="shared" si="98"/>
        <v>01</v>
      </c>
      <c r="H753" s="6" t="str">
        <f t="shared" si="99"/>
        <v>01월 3주차</v>
      </c>
      <c r="I753" s="6" t="str">
        <f>H753&amp;" ("&amp;TEXT(C753,"m/dd")&amp;"~"&amp;TEXT(C759,"m/dd")&amp;")"</f>
        <v>01월 3주차 (1/15~1/21)</v>
      </c>
      <c r="J753" s="6" t="str">
        <f>A753&amp;"년 "&amp;WEEKNUM(C753,2)&amp;"주차"&amp;" ("&amp;TEXT(C753,"m/dd")&amp;"~"&amp;TEXT(C759,"m/dd")&amp;")"</f>
        <v>2024년 3주차 (1/15~1/21)</v>
      </c>
      <c r="K753" s="6">
        <f t="shared" si="104"/>
        <v>2024</v>
      </c>
      <c r="L753" s="6">
        <f t="shared" si="105"/>
        <v>3</v>
      </c>
    </row>
    <row r="754" spans="1:12" x14ac:dyDescent="0.45">
      <c r="A754" s="6">
        <f t="shared" si="100"/>
        <v>2024</v>
      </c>
      <c r="B754" s="6">
        <f t="shared" si="103"/>
        <v>1</v>
      </c>
      <c r="C754" s="7">
        <v>45307</v>
      </c>
      <c r="D754" s="6">
        <f t="shared" si="101"/>
        <v>2</v>
      </c>
      <c r="E754" s="6">
        <f t="shared" si="102"/>
        <v>3</v>
      </c>
      <c r="F754" s="6">
        <f t="shared" si="97"/>
        <v>3</v>
      </c>
      <c r="G754" s="6" t="str">
        <f t="shared" si="98"/>
        <v>01</v>
      </c>
      <c r="H754" s="6" t="str">
        <f t="shared" si="99"/>
        <v>01월 3주차</v>
      </c>
      <c r="I754" s="6" t="str">
        <f>H754&amp;" ("&amp;TEXT(C753,"m/dd")&amp;"~"&amp;TEXT(C759,"m/dd")&amp;")"</f>
        <v>01월 3주차 (1/15~1/21)</v>
      </c>
      <c r="J754" s="6" t="str">
        <f>A753&amp;"년 "&amp;WEEKNUM(C753,2)&amp;"주차"&amp;" ("&amp;TEXT(C753,"m/dd")&amp;"~"&amp;TEXT(C759,"m/dd")&amp;")"</f>
        <v>2024년 3주차 (1/15~1/21)</v>
      </c>
      <c r="K754" s="6">
        <f t="shared" si="104"/>
        <v>2024</v>
      </c>
      <c r="L754" s="6">
        <f t="shared" si="105"/>
        <v>3</v>
      </c>
    </row>
    <row r="755" spans="1:12" x14ac:dyDescent="0.45">
      <c r="A755" s="6">
        <f t="shared" si="100"/>
        <v>2024</v>
      </c>
      <c r="B755" s="6">
        <f t="shared" si="103"/>
        <v>1</v>
      </c>
      <c r="C755" s="7">
        <v>45308</v>
      </c>
      <c r="D755" s="6">
        <f t="shared" si="101"/>
        <v>3</v>
      </c>
      <c r="E755" s="6">
        <f t="shared" si="102"/>
        <v>3</v>
      </c>
      <c r="F755" s="6">
        <f t="shared" si="97"/>
        <v>3</v>
      </c>
      <c r="G755" s="6" t="str">
        <f t="shared" si="98"/>
        <v>01</v>
      </c>
      <c r="H755" s="6" t="str">
        <f t="shared" si="99"/>
        <v>01월 3주차</v>
      </c>
      <c r="I755" s="6" t="str">
        <f>H755&amp;" ("&amp;TEXT(C753,"m/dd")&amp;"~"&amp;TEXT(C759,"m/dd")&amp;")"</f>
        <v>01월 3주차 (1/15~1/21)</v>
      </c>
      <c r="J755" s="6" t="str">
        <f>A753&amp;"년 "&amp;WEEKNUM(C753,2)&amp;"주차"&amp;" ("&amp;TEXT(C753,"m/dd")&amp;"~"&amp;TEXT(C759,"m/dd")&amp;")"</f>
        <v>2024년 3주차 (1/15~1/21)</v>
      </c>
      <c r="K755" s="6">
        <f t="shared" si="104"/>
        <v>2024</v>
      </c>
      <c r="L755" s="6">
        <f t="shared" si="105"/>
        <v>3</v>
      </c>
    </row>
    <row r="756" spans="1:12" x14ac:dyDescent="0.45">
      <c r="A756" s="6">
        <f t="shared" si="100"/>
        <v>2024</v>
      </c>
      <c r="B756" s="6">
        <f t="shared" si="103"/>
        <v>1</v>
      </c>
      <c r="C756" s="7">
        <v>45309</v>
      </c>
      <c r="D756" s="6">
        <f t="shared" si="101"/>
        <v>4</v>
      </c>
      <c r="E756" s="6">
        <f t="shared" si="102"/>
        <v>3</v>
      </c>
      <c r="F756" s="6">
        <f t="shared" si="97"/>
        <v>3</v>
      </c>
      <c r="G756" s="6" t="str">
        <f t="shared" si="98"/>
        <v>01</v>
      </c>
      <c r="H756" s="6" t="str">
        <f t="shared" si="99"/>
        <v>01월 3주차</v>
      </c>
      <c r="I756" s="6" t="str">
        <f>H756&amp;" ("&amp;TEXT(C753,"m/dd")&amp;"~"&amp;TEXT(C759,"m/dd")&amp;")"</f>
        <v>01월 3주차 (1/15~1/21)</v>
      </c>
      <c r="J756" s="6" t="str">
        <f>A753&amp;"년 "&amp;WEEKNUM(C753,2)&amp;"주차"&amp;" ("&amp;TEXT(C753,"m/dd")&amp;"~"&amp;TEXT(C759,"m/dd")&amp;")"</f>
        <v>2024년 3주차 (1/15~1/21)</v>
      </c>
      <c r="K756" s="6">
        <f t="shared" si="104"/>
        <v>2024</v>
      </c>
      <c r="L756" s="6">
        <f t="shared" si="105"/>
        <v>3</v>
      </c>
    </row>
    <row r="757" spans="1:12" x14ac:dyDescent="0.45">
      <c r="A757" s="6">
        <f t="shared" si="100"/>
        <v>2024</v>
      </c>
      <c r="B757" s="6">
        <f t="shared" si="103"/>
        <v>1</v>
      </c>
      <c r="C757" s="7">
        <v>45310</v>
      </c>
      <c r="D757" s="6">
        <f t="shared" si="101"/>
        <v>5</v>
      </c>
      <c r="E757" s="6">
        <f t="shared" si="102"/>
        <v>3</v>
      </c>
      <c r="F757" s="6">
        <f t="shared" si="97"/>
        <v>3</v>
      </c>
      <c r="G757" s="6" t="str">
        <f t="shared" si="98"/>
        <v>01</v>
      </c>
      <c r="H757" s="6" t="str">
        <f t="shared" si="99"/>
        <v>01월 3주차</v>
      </c>
      <c r="I757" s="6" t="str">
        <f>H757&amp;" ("&amp;TEXT(C753,"m/dd")&amp;"~"&amp;TEXT(C759,"m/dd")&amp;")"</f>
        <v>01월 3주차 (1/15~1/21)</v>
      </c>
      <c r="J757" s="6" t="str">
        <f>A753&amp;"년 "&amp;WEEKNUM(C753,2)&amp;"주차"&amp;" ("&amp;TEXT(C753,"m/dd")&amp;"~"&amp;TEXT(C759,"m/dd")&amp;")"</f>
        <v>2024년 3주차 (1/15~1/21)</v>
      </c>
      <c r="K757" s="6">
        <f t="shared" si="104"/>
        <v>2024</v>
      </c>
      <c r="L757" s="6">
        <f t="shared" si="105"/>
        <v>3</v>
      </c>
    </row>
    <row r="758" spans="1:12" x14ac:dyDescent="0.45">
      <c r="A758" s="6">
        <f t="shared" si="100"/>
        <v>2024</v>
      </c>
      <c r="B758" s="6">
        <f t="shared" si="103"/>
        <v>1</v>
      </c>
      <c r="C758" s="7">
        <v>45311</v>
      </c>
      <c r="D758" s="6">
        <f t="shared" si="101"/>
        <v>6</v>
      </c>
      <c r="E758" s="6">
        <f t="shared" si="102"/>
        <v>3</v>
      </c>
      <c r="F758" s="6">
        <f t="shared" si="97"/>
        <v>3</v>
      </c>
      <c r="G758" s="6" t="str">
        <f t="shared" si="98"/>
        <v>01</v>
      </c>
      <c r="H758" s="6" t="str">
        <f t="shared" si="99"/>
        <v>01월 3주차</v>
      </c>
      <c r="I758" s="6" t="str">
        <f>H758&amp;" ("&amp;TEXT(C753,"m/dd")&amp;"~"&amp;TEXT(C759,"m/dd")&amp;")"</f>
        <v>01월 3주차 (1/15~1/21)</v>
      </c>
      <c r="J758" s="6" t="str">
        <f>A753&amp;"년 "&amp;WEEKNUM(C753,2)&amp;"주차"&amp;" ("&amp;TEXT(C753,"m/dd")&amp;"~"&amp;TEXT(C759,"m/dd")&amp;")"</f>
        <v>2024년 3주차 (1/15~1/21)</v>
      </c>
      <c r="K758" s="6">
        <f t="shared" si="104"/>
        <v>2024</v>
      </c>
      <c r="L758" s="6">
        <f t="shared" si="105"/>
        <v>3</v>
      </c>
    </row>
    <row r="759" spans="1:12" x14ac:dyDescent="0.45">
      <c r="A759" s="6">
        <f t="shared" si="100"/>
        <v>2024</v>
      </c>
      <c r="B759" s="6">
        <f t="shared" si="103"/>
        <v>1</v>
      </c>
      <c r="C759" s="7">
        <v>45312</v>
      </c>
      <c r="D759" s="6">
        <f t="shared" si="101"/>
        <v>7</v>
      </c>
      <c r="E759" s="6">
        <f t="shared" si="102"/>
        <v>3</v>
      </c>
      <c r="F759" s="6">
        <f t="shared" si="97"/>
        <v>3</v>
      </c>
      <c r="G759" s="6" t="str">
        <f t="shared" si="98"/>
        <v>01</v>
      </c>
      <c r="H759" s="6" t="str">
        <f t="shared" si="99"/>
        <v>01월 3주차</v>
      </c>
      <c r="I759" s="6" t="str">
        <f>H759&amp;" ("&amp;TEXT(C753,"m/dd")&amp;"~"&amp;TEXT(C759,"m/dd")&amp;")"</f>
        <v>01월 3주차 (1/15~1/21)</v>
      </c>
      <c r="J759" s="6" t="str">
        <f>A753&amp;"년 "&amp;WEEKNUM(C753,2)&amp;"주차"&amp;" ("&amp;TEXT(C753,"m/dd")&amp;"~"&amp;TEXT(C759,"m/dd")&amp;")"</f>
        <v>2024년 3주차 (1/15~1/21)</v>
      </c>
      <c r="K759" s="6">
        <f t="shared" si="104"/>
        <v>2024</v>
      </c>
      <c r="L759" s="6">
        <f t="shared" si="105"/>
        <v>3</v>
      </c>
    </row>
    <row r="760" spans="1:12" x14ac:dyDescent="0.45">
      <c r="A760" s="6">
        <f t="shared" si="100"/>
        <v>2024</v>
      </c>
      <c r="B760" s="6">
        <f t="shared" si="103"/>
        <v>1</v>
      </c>
      <c r="C760" s="7">
        <v>45313</v>
      </c>
      <c r="D760" s="6">
        <f t="shared" si="101"/>
        <v>1</v>
      </c>
      <c r="E760" s="6">
        <f t="shared" si="102"/>
        <v>4</v>
      </c>
      <c r="F760" s="6">
        <f t="shared" si="97"/>
        <v>4</v>
      </c>
      <c r="G760" s="6" t="str">
        <f t="shared" si="98"/>
        <v>01</v>
      </c>
      <c r="H760" s="6" t="str">
        <f t="shared" si="99"/>
        <v>01월 4주차</v>
      </c>
      <c r="I760" s="6" t="str">
        <f>H760&amp;" ("&amp;TEXT(C760,"m/dd")&amp;"~"&amp;TEXT(C766,"m/dd")&amp;")"</f>
        <v>01월 4주차 (1/22~1/28)</v>
      </c>
      <c r="J760" s="6" t="str">
        <f>A760&amp;"년 "&amp;WEEKNUM(C760,2)&amp;"주차"&amp;" ("&amp;TEXT(C760,"m/dd")&amp;"~"&amp;TEXT(C766,"m/dd")&amp;")"</f>
        <v>2024년 4주차 (1/22~1/28)</v>
      </c>
      <c r="K760" s="6">
        <f t="shared" si="104"/>
        <v>2024</v>
      </c>
      <c r="L760" s="6">
        <f t="shared" si="105"/>
        <v>4</v>
      </c>
    </row>
    <row r="761" spans="1:12" x14ac:dyDescent="0.45">
      <c r="A761" s="6">
        <f t="shared" si="100"/>
        <v>2024</v>
      </c>
      <c r="B761" s="6">
        <f t="shared" si="103"/>
        <v>1</v>
      </c>
      <c r="C761" s="7">
        <v>45314</v>
      </c>
      <c r="D761" s="6">
        <f t="shared" si="101"/>
        <v>2</v>
      </c>
      <c r="E761" s="6">
        <f t="shared" si="102"/>
        <v>4</v>
      </c>
      <c r="F761" s="6">
        <f t="shared" si="97"/>
        <v>4</v>
      </c>
      <c r="G761" s="6" t="str">
        <f t="shared" si="98"/>
        <v>01</v>
      </c>
      <c r="H761" s="6" t="str">
        <f t="shared" si="99"/>
        <v>01월 4주차</v>
      </c>
      <c r="I761" s="6" t="str">
        <f>H761&amp;" ("&amp;TEXT(C760,"m/dd")&amp;"~"&amp;TEXT(C766,"m/dd")&amp;")"</f>
        <v>01월 4주차 (1/22~1/28)</v>
      </c>
      <c r="J761" s="6" t="str">
        <f>A760&amp;"년 "&amp;WEEKNUM(C760,2)&amp;"주차"&amp;" ("&amp;TEXT(C760,"m/dd")&amp;"~"&amp;TEXT(C766,"m/dd")&amp;")"</f>
        <v>2024년 4주차 (1/22~1/28)</v>
      </c>
      <c r="K761" s="6">
        <f t="shared" si="104"/>
        <v>2024</v>
      </c>
      <c r="L761" s="6">
        <f t="shared" si="105"/>
        <v>4</v>
      </c>
    </row>
    <row r="762" spans="1:12" x14ac:dyDescent="0.45">
      <c r="A762" s="6">
        <f t="shared" si="100"/>
        <v>2024</v>
      </c>
      <c r="B762" s="6">
        <f t="shared" si="103"/>
        <v>1</v>
      </c>
      <c r="C762" s="7">
        <v>45315</v>
      </c>
      <c r="D762" s="6">
        <f t="shared" si="101"/>
        <v>3</v>
      </c>
      <c r="E762" s="6">
        <f t="shared" si="102"/>
        <v>4</v>
      </c>
      <c r="F762" s="6">
        <f t="shared" si="97"/>
        <v>4</v>
      </c>
      <c r="G762" s="6" t="str">
        <f t="shared" si="98"/>
        <v>01</v>
      </c>
      <c r="H762" s="6" t="str">
        <f t="shared" si="99"/>
        <v>01월 4주차</v>
      </c>
      <c r="I762" s="6" t="str">
        <f>H762&amp;" ("&amp;TEXT(C760,"m/dd")&amp;"~"&amp;TEXT(C766,"m/dd")&amp;")"</f>
        <v>01월 4주차 (1/22~1/28)</v>
      </c>
      <c r="J762" s="6" t="str">
        <f>A760&amp;"년 "&amp;WEEKNUM(C760,2)&amp;"주차"&amp;" ("&amp;TEXT(C760,"m/dd")&amp;"~"&amp;TEXT(C766,"m/dd")&amp;")"</f>
        <v>2024년 4주차 (1/22~1/28)</v>
      </c>
      <c r="K762" s="6">
        <f t="shared" si="104"/>
        <v>2024</v>
      </c>
      <c r="L762" s="6">
        <f t="shared" si="105"/>
        <v>4</v>
      </c>
    </row>
    <row r="763" spans="1:12" x14ac:dyDescent="0.45">
      <c r="A763" s="6">
        <f t="shared" si="100"/>
        <v>2024</v>
      </c>
      <c r="B763" s="6">
        <f t="shared" si="103"/>
        <v>1</v>
      </c>
      <c r="C763" s="7">
        <v>45316</v>
      </c>
      <c r="D763" s="6">
        <f t="shared" si="101"/>
        <v>4</v>
      </c>
      <c r="E763" s="6">
        <f t="shared" si="102"/>
        <v>4</v>
      </c>
      <c r="F763" s="6">
        <f t="shared" si="97"/>
        <v>4</v>
      </c>
      <c r="G763" s="6" t="str">
        <f t="shared" si="98"/>
        <v>01</v>
      </c>
      <c r="H763" s="6" t="str">
        <f t="shared" si="99"/>
        <v>01월 4주차</v>
      </c>
      <c r="I763" s="6" t="str">
        <f>H763&amp;" ("&amp;TEXT(C760,"m/dd")&amp;"~"&amp;TEXT(C766,"m/dd")&amp;")"</f>
        <v>01월 4주차 (1/22~1/28)</v>
      </c>
      <c r="J763" s="6" t="str">
        <f>A760&amp;"년 "&amp;WEEKNUM(C760,2)&amp;"주차"&amp;" ("&amp;TEXT(C760,"m/dd")&amp;"~"&amp;TEXT(C766,"m/dd")&amp;")"</f>
        <v>2024년 4주차 (1/22~1/28)</v>
      </c>
      <c r="K763" s="6">
        <f t="shared" si="104"/>
        <v>2024</v>
      </c>
      <c r="L763" s="6">
        <f t="shared" si="105"/>
        <v>4</v>
      </c>
    </row>
    <row r="764" spans="1:12" x14ac:dyDescent="0.45">
      <c r="A764" s="6">
        <f t="shared" si="100"/>
        <v>2024</v>
      </c>
      <c r="B764" s="6">
        <f t="shared" si="103"/>
        <v>1</v>
      </c>
      <c r="C764" s="7">
        <v>45317</v>
      </c>
      <c r="D764" s="6">
        <f t="shared" si="101"/>
        <v>5</v>
      </c>
      <c r="E764" s="6">
        <f t="shared" si="102"/>
        <v>4</v>
      </c>
      <c r="F764" s="6">
        <f t="shared" si="97"/>
        <v>4</v>
      </c>
      <c r="G764" s="6" t="str">
        <f t="shared" si="98"/>
        <v>01</v>
      </c>
      <c r="H764" s="6" t="str">
        <f t="shared" si="99"/>
        <v>01월 4주차</v>
      </c>
      <c r="I764" s="6" t="str">
        <f>H764&amp;" ("&amp;TEXT(C760,"m/dd")&amp;"~"&amp;TEXT(C766,"m/dd")&amp;")"</f>
        <v>01월 4주차 (1/22~1/28)</v>
      </c>
      <c r="J764" s="6" t="str">
        <f>A760&amp;"년 "&amp;WEEKNUM(C760,2)&amp;"주차"&amp;" ("&amp;TEXT(C760,"m/dd")&amp;"~"&amp;TEXT(C766,"m/dd")&amp;")"</f>
        <v>2024년 4주차 (1/22~1/28)</v>
      </c>
      <c r="K764" s="6">
        <f t="shared" si="104"/>
        <v>2024</v>
      </c>
      <c r="L764" s="6">
        <f t="shared" si="105"/>
        <v>4</v>
      </c>
    </row>
    <row r="765" spans="1:12" x14ac:dyDescent="0.45">
      <c r="A765" s="6">
        <f t="shared" si="100"/>
        <v>2024</v>
      </c>
      <c r="B765" s="6">
        <f t="shared" si="103"/>
        <v>1</v>
      </c>
      <c r="C765" s="7">
        <v>45318</v>
      </c>
      <c r="D765" s="6">
        <f t="shared" si="101"/>
        <v>6</v>
      </c>
      <c r="E765" s="6">
        <f t="shared" si="102"/>
        <v>4</v>
      </c>
      <c r="F765" s="6">
        <f t="shared" si="97"/>
        <v>4</v>
      </c>
      <c r="G765" s="6" t="str">
        <f t="shared" si="98"/>
        <v>01</v>
      </c>
      <c r="H765" s="6" t="str">
        <f t="shared" si="99"/>
        <v>01월 4주차</v>
      </c>
      <c r="I765" s="6" t="str">
        <f>H765&amp;" ("&amp;TEXT(C760,"m/dd")&amp;"~"&amp;TEXT(C766,"m/dd")&amp;")"</f>
        <v>01월 4주차 (1/22~1/28)</v>
      </c>
      <c r="J765" s="6" t="str">
        <f>A760&amp;"년 "&amp;WEEKNUM(C760,2)&amp;"주차"&amp;" ("&amp;TEXT(C760,"m/dd")&amp;"~"&amp;TEXT(C766,"m/dd")&amp;")"</f>
        <v>2024년 4주차 (1/22~1/28)</v>
      </c>
      <c r="K765" s="6">
        <f t="shared" si="104"/>
        <v>2024</v>
      </c>
      <c r="L765" s="6">
        <f t="shared" si="105"/>
        <v>4</v>
      </c>
    </row>
    <row r="766" spans="1:12" x14ac:dyDescent="0.45">
      <c r="A766" s="6">
        <f t="shared" si="100"/>
        <v>2024</v>
      </c>
      <c r="B766" s="6">
        <f t="shared" si="103"/>
        <v>1</v>
      </c>
      <c r="C766" s="7">
        <v>45319</v>
      </c>
      <c r="D766" s="6">
        <f t="shared" si="101"/>
        <v>7</v>
      </c>
      <c r="E766" s="6">
        <f t="shared" si="102"/>
        <v>4</v>
      </c>
      <c r="F766" s="6">
        <f t="shared" si="97"/>
        <v>4</v>
      </c>
      <c r="G766" s="6" t="str">
        <f t="shared" si="98"/>
        <v>01</v>
      </c>
      <c r="H766" s="6" t="str">
        <f t="shared" si="99"/>
        <v>01월 4주차</v>
      </c>
      <c r="I766" s="6" t="str">
        <f>H766&amp;" ("&amp;TEXT(C760,"m/dd")&amp;"~"&amp;TEXT(C766,"m/dd")&amp;")"</f>
        <v>01월 4주차 (1/22~1/28)</v>
      </c>
      <c r="J766" s="6" t="str">
        <f>A760&amp;"년 "&amp;WEEKNUM(C760,2)&amp;"주차"&amp;" ("&amp;TEXT(C760,"m/dd")&amp;"~"&amp;TEXT(C766,"m/dd")&amp;")"</f>
        <v>2024년 4주차 (1/22~1/28)</v>
      </c>
      <c r="K766" s="6">
        <f t="shared" si="104"/>
        <v>2024</v>
      </c>
      <c r="L766" s="6">
        <f t="shared" si="105"/>
        <v>4</v>
      </c>
    </row>
    <row r="767" spans="1:12" x14ac:dyDescent="0.45">
      <c r="A767" s="6">
        <f t="shared" si="100"/>
        <v>2024</v>
      </c>
      <c r="B767" s="6">
        <v>2</v>
      </c>
      <c r="C767" s="7">
        <v>45320</v>
      </c>
      <c r="D767" s="6">
        <f t="shared" si="101"/>
        <v>1</v>
      </c>
      <c r="E767" s="6">
        <f t="shared" si="102"/>
        <v>5</v>
      </c>
      <c r="F767" s="6">
        <v>1</v>
      </c>
      <c r="G767" s="6" t="str">
        <f t="shared" si="98"/>
        <v>02</v>
      </c>
      <c r="H767" s="6" t="str">
        <f t="shared" si="99"/>
        <v>02월 1주차</v>
      </c>
      <c r="I767" s="6" t="str">
        <f>H767&amp;" ("&amp;TEXT(C767,"m/dd")&amp;"~"&amp;TEXT(C773,"m/dd")&amp;")"</f>
        <v>02월 1주차 (1/29~2/04)</v>
      </c>
      <c r="J767" s="6" t="str">
        <f>A767&amp;"년 "&amp;WEEKNUM(C767,2)&amp;"주차"&amp;" ("&amp;TEXT(C767,"m/dd")&amp;"~"&amp;TEXT(C773,"m/dd")&amp;")"</f>
        <v>2024년 5주차 (1/29~2/04)</v>
      </c>
      <c r="K767" s="6">
        <f t="shared" si="104"/>
        <v>2024</v>
      </c>
      <c r="L767" s="6">
        <f t="shared" si="105"/>
        <v>5</v>
      </c>
    </row>
    <row r="768" spans="1:12" x14ac:dyDescent="0.45">
      <c r="A768" s="6">
        <f t="shared" si="100"/>
        <v>2024</v>
      </c>
      <c r="B768" s="6">
        <v>2</v>
      </c>
      <c r="C768" s="7">
        <v>45321</v>
      </c>
      <c r="D768" s="6">
        <f t="shared" si="101"/>
        <v>2</v>
      </c>
      <c r="E768" s="6">
        <f t="shared" si="102"/>
        <v>5</v>
      </c>
      <c r="F768" s="6">
        <v>1</v>
      </c>
      <c r="G768" s="6" t="str">
        <f t="shared" si="98"/>
        <v>02</v>
      </c>
      <c r="H768" s="6" t="str">
        <f t="shared" si="99"/>
        <v>02월 1주차</v>
      </c>
      <c r="I768" s="6" t="str">
        <f>H768&amp;" ("&amp;TEXT(C767,"m/dd")&amp;"~"&amp;TEXT(C773,"m/dd")&amp;")"</f>
        <v>02월 1주차 (1/29~2/04)</v>
      </c>
      <c r="J768" s="6" t="str">
        <f>A767&amp;"년 "&amp;WEEKNUM(C767,2)&amp;"주차"&amp;" ("&amp;TEXT(C767,"m/dd")&amp;"~"&amp;TEXT(C773,"m/dd")&amp;")"</f>
        <v>2024년 5주차 (1/29~2/04)</v>
      </c>
      <c r="K768" s="6">
        <f t="shared" si="104"/>
        <v>2024</v>
      </c>
      <c r="L768" s="6">
        <f t="shared" si="105"/>
        <v>5</v>
      </c>
    </row>
    <row r="769" spans="1:12" x14ac:dyDescent="0.45">
      <c r="A769" s="6">
        <f t="shared" si="100"/>
        <v>2024</v>
      </c>
      <c r="B769" s="6">
        <v>2</v>
      </c>
      <c r="C769" s="7">
        <v>45322</v>
      </c>
      <c r="D769" s="6">
        <f t="shared" si="101"/>
        <v>3</v>
      </c>
      <c r="E769" s="6">
        <f t="shared" si="102"/>
        <v>5</v>
      </c>
      <c r="F769" s="6">
        <v>1</v>
      </c>
      <c r="G769" s="6" t="str">
        <f t="shared" si="98"/>
        <v>02</v>
      </c>
      <c r="H769" s="6" t="str">
        <f t="shared" si="99"/>
        <v>02월 1주차</v>
      </c>
      <c r="I769" s="6" t="str">
        <f>H769&amp;" ("&amp;TEXT(C767,"m/dd")&amp;"~"&amp;TEXT(C773,"m/dd")&amp;")"</f>
        <v>02월 1주차 (1/29~2/04)</v>
      </c>
      <c r="J769" s="6" t="str">
        <f>A767&amp;"년 "&amp;WEEKNUM(C767,2)&amp;"주차"&amp;" ("&amp;TEXT(C767,"m/dd")&amp;"~"&amp;TEXT(C773,"m/dd")&amp;")"</f>
        <v>2024년 5주차 (1/29~2/04)</v>
      </c>
      <c r="K769" s="6">
        <f t="shared" si="104"/>
        <v>2024</v>
      </c>
      <c r="L769" s="6">
        <f t="shared" si="105"/>
        <v>5</v>
      </c>
    </row>
    <row r="770" spans="1:12" x14ac:dyDescent="0.45">
      <c r="A770" s="6">
        <f t="shared" si="100"/>
        <v>2024</v>
      </c>
      <c r="B770" s="6">
        <f t="shared" si="103"/>
        <v>2</v>
      </c>
      <c r="C770" s="7">
        <v>45323</v>
      </c>
      <c r="D770" s="6">
        <f t="shared" si="101"/>
        <v>4</v>
      </c>
      <c r="E770" s="6">
        <f t="shared" si="102"/>
        <v>5</v>
      </c>
      <c r="F770" s="6">
        <v>1</v>
      </c>
      <c r="G770" s="6" t="str">
        <f t="shared" si="98"/>
        <v>02</v>
      </c>
      <c r="H770" s="6" t="str">
        <f t="shared" si="99"/>
        <v>02월 1주차</v>
      </c>
      <c r="I770" s="6" t="str">
        <f>H770&amp;" ("&amp;TEXT(C767,"m/dd")&amp;"~"&amp;TEXT(C773,"m/dd")&amp;")"</f>
        <v>02월 1주차 (1/29~2/04)</v>
      </c>
      <c r="J770" s="6" t="str">
        <f>A767&amp;"년 "&amp;WEEKNUM(C767,2)&amp;"주차"&amp;" ("&amp;TEXT(C767,"m/dd")&amp;"~"&amp;TEXT(C773,"m/dd")&amp;")"</f>
        <v>2024년 5주차 (1/29~2/04)</v>
      </c>
      <c r="K770" s="6">
        <f t="shared" si="104"/>
        <v>2024</v>
      </c>
      <c r="L770" s="6">
        <f t="shared" si="105"/>
        <v>5</v>
      </c>
    </row>
    <row r="771" spans="1:12" x14ac:dyDescent="0.45">
      <c r="A771" s="6">
        <f t="shared" si="100"/>
        <v>2024</v>
      </c>
      <c r="B771" s="6">
        <f t="shared" si="103"/>
        <v>2</v>
      </c>
      <c r="C771" s="7">
        <v>45324</v>
      </c>
      <c r="D771" s="6">
        <f t="shared" si="101"/>
        <v>5</v>
      </c>
      <c r="E771" s="6">
        <f t="shared" si="102"/>
        <v>5</v>
      </c>
      <c r="F771" s="6">
        <v>1</v>
      </c>
      <c r="G771" s="6" t="str">
        <f t="shared" si="98"/>
        <v>02</v>
      </c>
      <c r="H771" s="6" t="str">
        <f t="shared" si="99"/>
        <v>02월 1주차</v>
      </c>
      <c r="I771" s="6" t="str">
        <f>H771&amp;" ("&amp;TEXT(C767,"m/dd")&amp;"~"&amp;TEXT(C773,"m/dd")&amp;")"</f>
        <v>02월 1주차 (1/29~2/04)</v>
      </c>
      <c r="J771" s="6" t="str">
        <f>A767&amp;"년 "&amp;WEEKNUM(C767,2)&amp;"주차"&amp;" ("&amp;TEXT(C767,"m/dd")&amp;"~"&amp;TEXT(C773,"m/dd")&amp;")"</f>
        <v>2024년 5주차 (1/29~2/04)</v>
      </c>
      <c r="K771" s="6">
        <f t="shared" si="104"/>
        <v>2024</v>
      </c>
      <c r="L771" s="6">
        <f t="shared" si="105"/>
        <v>5</v>
      </c>
    </row>
    <row r="772" spans="1:12" x14ac:dyDescent="0.45">
      <c r="A772" s="6">
        <f t="shared" si="100"/>
        <v>2024</v>
      </c>
      <c r="B772" s="6">
        <f t="shared" si="103"/>
        <v>2</v>
      </c>
      <c r="C772" s="7">
        <v>45325</v>
      </c>
      <c r="D772" s="6">
        <f t="shared" si="101"/>
        <v>6</v>
      </c>
      <c r="E772" s="6">
        <f t="shared" si="102"/>
        <v>5</v>
      </c>
      <c r="F772" s="6">
        <v>1</v>
      </c>
      <c r="G772" s="6" t="str">
        <f t="shared" si="98"/>
        <v>02</v>
      </c>
      <c r="H772" s="6" t="str">
        <f t="shared" si="99"/>
        <v>02월 1주차</v>
      </c>
      <c r="I772" s="6" t="str">
        <f>H772&amp;" ("&amp;TEXT(C767,"m/dd")&amp;"~"&amp;TEXT(C773,"m/dd")&amp;")"</f>
        <v>02월 1주차 (1/29~2/04)</v>
      </c>
      <c r="J772" s="6" t="str">
        <f>A767&amp;"년 "&amp;WEEKNUM(C767,2)&amp;"주차"&amp;" ("&amp;TEXT(C767,"m/dd")&amp;"~"&amp;TEXT(C773,"m/dd")&amp;")"</f>
        <v>2024년 5주차 (1/29~2/04)</v>
      </c>
      <c r="K772" s="6">
        <f t="shared" si="104"/>
        <v>2024</v>
      </c>
      <c r="L772" s="6">
        <f t="shared" si="105"/>
        <v>5</v>
      </c>
    </row>
    <row r="773" spans="1:12" x14ac:dyDescent="0.45">
      <c r="A773" s="6">
        <f t="shared" si="100"/>
        <v>2024</v>
      </c>
      <c r="B773" s="6">
        <f t="shared" si="103"/>
        <v>2</v>
      </c>
      <c r="C773" s="7">
        <v>45326</v>
      </c>
      <c r="D773" s="6">
        <f t="shared" si="101"/>
        <v>7</v>
      </c>
      <c r="E773" s="6">
        <f t="shared" si="102"/>
        <v>5</v>
      </c>
      <c r="F773" s="6">
        <v>1</v>
      </c>
      <c r="G773" s="6" t="str">
        <f t="shared" si="98"/>
        <v>02</v>
      </c>
      <c r="H773" s="6" t="str">
        <f t="shared" si="99"/>
        <v>02월 1주차</v>
      </c>
      <c r="I773" s="6" t="str">
        <f>H773&amp;" ("&amp;TEXT(C767,"m/dd")&amp;"~"&amp;TEXT(C773,"m/dd")&amp;")"</f>
        <v>02월 1주차 (1/29~2/04)</v>
      </c>
      <c r="J773" s="6" t="str">
        <f>A767&amp;"년 "&amp;WEEKNUM(C767,2)&amp;"주차"&amp;" ("&amp;TEXT(C767,"m/dd")&amp;"~"&amp;TEXT(C773,"m/dd")&amp;")"</f>
        <v>2024년 5주차 (1/29~2/04)</v>
      </c>
      <c r="K773" s="6">
        <f t="shared" si="104"/>
        <v>2024</v>
      </c>
      <c r="L773" s="6">
        <f t="shared" si="105"/>
        <v>5</v>
      </c>
    </row>
    <row r="774" spans="1:12" x14ac:dyDescent="0.45">
      <c r="A774" s="6">
        <f t="shared" si="100"/>
        <v>2024</v>
      </c>
      <c r="B774" s="6">
        <f t="shared" si="103"/>
        <v>2</v>
      </c>
      <c r="C774" s="7">
        <v>45327</v>
      </c>
      <c r="D774" s="6">
        <f t="shared" si="101"/>
        <v>1</v>
      </c>
      <c r="E774" s="6">
        <f t="shared" si="102"/>
        <v>6</v>
      </c>
      <c r="F774" s="6">
        <v>2</v>
      </c>
      <c r="G774" s="6" t="str">
        <f t="shared" si="98"/>
        <v>02</v>
      </c>
      <c r="H774" s="6" t="str">
        <f t="shared" si="99"/>
        <v>02월 2주차</v>
      </c>
      <c r="I774" s="6" t="str">
        <f>H774&amp;" ("&amp;TEXT(C774,"m/dd")&amp;"~"&amp;TEXT(C780,"m/dd")&amp;")"</f>
        <v>02월 2주차 (2/05~2/11)</v>
      </c>
      <c r="J774" s="6" t="str">
        <f>A774&amp;"년 "&amp;WEEKNUM(C774,2)&amp;"주차"&amp;" ("&amp;TEXT(C774,"m/dd")&amp;"~"&amp;TEXT(C780,"m/dd")&amp;")"</f>
        <v>2024년 6주차 (2/05~2/11)</v>
      </c>
      <c r="K774" s="6">
        <f t="shared" si="104"/>
        <v>2024</v>
      </c>
      <c r="L774" s="6">
        <f t="shared" si="105"/>
        <v>6</v>
      </c>
    </row>
    <row r="775" spans="1:12" x14ac:dyDescent="0.45">
      <c r="A775" s="6">
        <f t="shared" si="100"/>
        <v>2024</v>
      </c>
      <c r="B775" s="6">
        <f t="shared" si="103"/>
        <v>2</v>
      </c>
      <c r="C775" s="7">
        <v>45328</v>
      </c>
      <c r="D775" s="6">
        <f t="shared" si="101"/>
        <v>2</v>
      </c>
      <c r="E775" s="6">
        <f t="shared" si="102"/>
        <v>6</v>
      </c>
      <c r="F775" s="6">
        <v>2</v>
      </c>
      <c r="G775" s="6" t="str">
        <f t="shared" si="98"/>
        <v>02</v>
      </c>
      <c r="H775" s="6" t="str">
        <f t="shared" si="99"/>
        <v>02월 2주차</v>
      </c>
      <c r="I775" s="6" t="str">
        <f>H775&amp;" ("&amp;TEXT(C774,"m/dd")&amp;"~"&amp;TEXT(C780,"m/dd")&amp;")"</f>
        <v>02월 2주차 (2/05~2/11)</v>
      </c>
      <c r="J775" s="6" t="str">
        <f>A774&amp;"년 "&amp;WEEKNUM(C774,2)&amp;"주차"&amp;" ("&amp;TEXT(C774,"m/dd")&amp;"~"&amp;TEXT(C780,"m/dd")&amp;")"</f>
        <v>2024년 6주차 (2/05~2/11)</v>
      </c>
      <c r="K775" s="6">
        <f t="shared" si="104"/>
        <v>2024</v>
      </c>
      <c r="L775" s="6">
        <f t="shared" si="105"/>
        <v>6</v>
      </c>
    </row>
    <row r="776" spans="1:12" x14ac:dyDescent="0.45">
      <c r="A776" s="6">
        <f t="shared" si="100"/>
        <v>2024</v>
      </c>
      <c r="B776" s="6">
        <f t="shared" si="103"/>
        <v>2</v>
      </c>
      <c r="C776" s="7">
        <v>45329</v>
      </c>
      <c r="D776" s="6">
        <f t="shared" si="101"/>
        <v>3</v>
      </c>
      <c r="E776" s="6">
        <f t="shared" si="102"/>
        <v>6</v>
      </c>
      <c r="F776" s="6">
        <v>2</v>
      </c>
      <c r="G776" s="6" t="str">
        <f t="shared" si="98"/>
        <v>02</v>
      </c>
      <c r="H776" s="6" t="str">
        <f t="shared" si="99"/>
        <v>02월 2주차</v>
      </c>
      <c r="I776" s="6" t="str">
        <f>H776&amp;" ("&amp;TEXT(C774,"m/dd")&amp;"~"&amp;TEXT(C780,"m/dd")&amp;")"</f>
        <v>02월 2주차 (2/05~2/11)</v>
      </c>
      <c r="J776" s="6" t="str">
        <f>A774&amp;"년 "&amp;WEEKNUM(C774,2)&amp;"주차"&amp;" ("&amp;TEXT(C774,"m/dd")&amp;"~"&amp;TEXT(C780,"m/dd")&amp;")"</f>
        <v>2024년 6주차 (2/05~2/11)</v>
      </c>
      <c r="K776" s="6">
        <f t="shared" si="104"/>
        <v>2024</v>
      </c>
      <c r="L776" s="6">
        <f t="shared" si="105"/>
        <v>6</v>
      </c>
    </row>
    <row r="777" spans="1:12" x14ac:dyDescent="0.45">
      <c r="A777" s="6">
        <f t="shared" si="100"/>
        <v>2024</v>
      </c>
      <c r="B777" s="6">
        <f t="shared" si="103"/>
        <v>2</v>
      </c>
      <c r="C777" s="7">
        <v>45330</v>
      </c>
      <c r="D777" s="6">
        <f t="shared" si="101"/>
        <v>4</v>
      </c>
      <c r="E777" s="6">
        <f t="shared" si="102"/>
        <v>6</v>
      </c>
      <c r="F777" s="6">
        <v>2</v>
      </c>
      <c r="G777" s="6" t="str">
        <f t="shared" si="98"/>
        <v>02</v>
      </c>
      <c r="H777" s="6" t="str">
        <f t="shared" si="99"/>
        <v>02월 2주차</v>
      </c>
      <c r="I777" s="6" t="str">
        <f>H777&amp;" ("&amp;TEXT(C774,"m/dd")&amp;"~"&amp;TEXT(C780,"m/dd")&amp;")"</f>
        <v>02월 2주차 (2/05~2/11)</v>
      </c>
      <c r="J777" s="6" t="str">
        <f>A774&amp;"년 "&amp;WEEKNUM(C774,2)&amp;"주차"&amp;" ("&amp;TEXT(C774,"m/dd")&amp;"~"&amp;TEXT(C780,"m/dd")&amp;")"</f>
        <v>2024년 6주차 (2/05~2/11)</v>
      </c>
      <c r="K777" s="6">
        <f t="shared" si="104"/>
        <v>2024</v>
      </c>
      <c r="L777" s="6">
        <f t="shared" si="105"/>
        <v>6</v>
      </c>
    </row>
    <row r="778" spans="1:12" x14ac:dyDescent="0.45">
      <c r="A778" s="6">
        <f t="shared" si="100"/>
        <v>2024</v>
      </c>
      <c r="B778" s="6">
        <f t="shared" si="103"/>
        <v>2</v>
      </c>
      <c r="C778" s="7">
        <v>45331</v>
      </c>
      <c r="D778" s="6">
        <f t="shared" si="101"/>
        <v>5</v>
      </c>
      <c r="E778" s="6">
        <f t="shared" si="102"/>
        <v>6</v>
      </c>
      <c r="F778" s="6">
        <v>2</v>
      </c>
      <c r="G778" s="6" t="str">
        <f t="shared" si="98"/>
        <v>02</v>
      </c>
      <c r="H778" s="6" t="str">
        <f t="shared" si="99"/>
        <v>02월 2주차</v>
      </c>
      <c r="I778" s="6" t="str">
        <f>H778&amp;" ("&amp;TEXT(C774,"m/dd")&amp;"~"&amp;TEXT(C780,"m/dd")&amp;")"</f>
        <v>02월 2주차 (2/05~2/11)</v>
      </c>
      <c r="J778" s="6" t="str">
        <f>A774&amp;"년 "&amp;WEEKNUM(C774,2)&amp;"주차"&amp;" ("&amp;TEXT(C774,"m/dd")&amp;"~"&amp;TEXT(C780,"m/dd")&amp;")"</f>
        <v>2024년 6주차 (2/05~2/11)</v>
      </c>
      <c r="K778" s="6">
        <f t="shared" si="104"/>
        <v>2024</v>
      </c>
      <c r="L778" s="6">
        <f t="shared" si="105"/>
        <v>6</v>
      </c>
    </row>
    <row r="779" spans="1:12" x14ac:dyDescent="0.45">
      <c r="A779" s="6">
        <f t="shared" si="100"/>
        <v>2024</v>
      </c>
      <c r="B779" s="6">
        <f t="shared" si="103"/>
        <v>2</v>
      </c>
      <c r="C779" s="7">
        <v>45332</v>
      </c>
      <c r="D779" s="6">
        <f t="shared" si="101"/>
        <v>6</v>
      </c>
      <c r="E779" s="6">
        <f t="shared" si="102"/>
        <v>6</v>
      </c>
      <c r="F779" s="6">
        <v>2</v>
      </c>
      <c r="G779" s="6" t="str">
        <f t="shared" ref="G779:G842" si="106">IF(LEN(B779)=1,_xlfn.CONCAT(0,B779),B779)</f>
        <v>02</v>
      </c>
      <c r="H779" s="6" t="str">
        <f t="shared" ref="H779:H842" si="107">G779&amp;"월 "&amp;F779&amp;"주차"</f>
        <v>02월 2주차</v>
      </c>
      <c r="I779" s="6" t="str">
        <f>H779&amp;" ("&amp;TEXT(C774,"m/dd")&amp;"~"&amp;TEXT(C780,"m/dd")&amp;")"</f>
        <v>02월 2주차 (2/05~2/11)</v>
      </c>
      <c r="J779" s="6" t="str">
        <f>A774&amp;"년 "&amp;WEEKNUM(C774,2)&amp;"주차"&amp;" ("&amp;TEXT(C774,"m/dd")&amp;"~"&amp;TEXT(C780,"m/dd")&amp;")"</f>
        <v>2024년 6주차 (2/05~2/11)</v>
      </c>
      <c r="K779" s="6">
        <f t="shared" si="104"/>
        <v>2024</v>
      </c>
      <c r="L779" s="6">
        <f t="shared" si="105"/>
        <v>6</v>
      </c>
    </row>
    <row r="780" spans="1:12" x14ac:dyDescent="0.45">
      <c r="A780" s="6">
        <f t="shared" si="100"/>
        <v>2024</v>
      </c>
      <c r="B780" s="6">
        <f t="shared" si="103"/>
        <v>2</v>
      </c>
      <c r="C780" s="7">
        <v>45333</v>
      </c>
      <c r="D780" s="6">
        <f t="shared" si="101"/>
        <v>7</v>
      </c>
      <c r="E780" s="6">
        <f t="shared" si="102"/>
        <v>6</v>
      </c>
      <c r="F780" s="6">
        <v>2</v>
      </c>
      <c r="G780" s="6" t="str">
        <f t="shared" si="106"/>
        <v>02</v>
      </c>
      <c r="H780" s="6" t="str">
        <f t="shared" si="107"/>
        <v>02월 2주차</v>
      </c>
      <c r="I780" s="6" t="str">
        <f>H780&amp;" ("&amp;TEXT(C774,"m/dd")&amp;"~"&amp;TEXT(C780,"m/dd")&amp;")"</f>
        <v>02월 2주차 (2/05~2/11)</v>
      </c>
      <c r="J780" s="6" t="str">
        <f>A774&amp;"년 "&amp;WEEKNUM(C774,2)&amp;"주차"&amp;" ("&amp;TEXT(C774,"m/dd")&amp;"~"&amp;TEXT(C780,"m/dd")&amp;")"</f>
        <v>2024년 6주차 (2/05~2/11)</v>
      </c>
      <c r="K780" s="6">
        <f t="shared" si="104"/>
        <v>2024</v>
      </c>
      <c r="L780" s="6">
        <f t="shared" si="105"/>
        <v>6</v>
      </c>
    </row>
    <row r="781" spans="1:12" x14ac:dyDescent="0.45">
      <c r="A781" s="6">
        <f t="shared" si="100"/>
        <v>2024</v>
      </c>
      <c r="B781" s="6">
        <f t="shared" si="103"/>
        <v>2</v>
      </c>
      <c r="C781" s="7">
        <v>45334</v>
      </c>
      <c r="D781" s="6">
        <f t="shared" si="101"/>
        <v>1</v>
      </c>
      <c r="E781" s="6">
        <f t="shared" si="102"/>
        <v>7</v>
      </c>
      <c r="F781" s="6">
        <v>3</v>
      </c>
      <c r="G781" s="6" t="str">
        <f t="shared" si="106"/>
        <v>02</v>
      </c>
      <c r="H781" s="6" t="str">
        <f t="shared" si="107"/>
        <v>02월 3주차</v>
      </c>
      <c r="I781" s="6" t="str">
        <f>H781&amp;" ("&amp;TEXT(C781,"m/dd")&amp;"~"&amp;TEXT(C787,"m/dd")&amp;")"</f>
        <v>02월 3주차 (2/12~2/18)</v>
      </c>
      <c r="J781" s="6" t="str">
        <f>A781&amp;"년 "&amp;WEEKNUM(C781,2)&amp;"주차"&amp;" ("&amp;TEXT(C781,"m/dd")&amp;"~"&amp;TEXT(C787,"m/dd")&amp;")"</f>
        <v>2024년 7주차 (2/12~2/18)</v>
      </c>
      <c r="K781" s="6">
        <f t="shared" si="104"/>
        <v>2024</v>
      </c>
      <c r="L781" s="6">
        <f t="shared" si="105"/>
        <v>7</v>
      </c>
    </row>
    <row r="782" spans="1:12" x14ac:dyDescent="0.45">
      <c r="A782" s="6">
        <f t="shared" si="100"/>
        <v>2024</v>
      </c>
      <c r="B782" s="6">
        <f t="shared" si="103"/>
        <v>2</v>
      </c>
      <c r="C782" s="7">
        <v>45335</v>
      </c>
      <c r="D782" s="6">
        <f t="shared" si="101"/>
        <v>2</v>
      </c>
      <c r="E782" s="6">
        <f t="shared" si="102"/>
        <v>7</v>
      </c>
      <c r="F782" s="6">
        <v>3</v>
      </c>
      <c r="G782" s="6" t="str">
        <f t="shared" si="106"/>
        <v>02</v>
      </c>
      <c r="H782" s="6" t="str">
        <f t="shared" si="107"/>
        <v>02월 3주차</v>
      </c>
      <c r="I782" s="6" t="str">
        <f>H782&amp;" ("&amp;TEXT(C781,"m/dd")&amp;"~"&amp;TEXT(C787,"m/dd")&amp;")"</f>
        <v>02월 3주차 (2/12~2/18)</v>
      </c>
      <c r="J782" s="6" t="str">
        <f>A781&amp;"년 "&amp;WEEKNUM(C781,2)&amp;"주차"&amp;" ("&amp;TEXT(C781,"m/dd")&amp;"~"&amp;TEXT(C787,"m/dd")&amp;")"</f>
        <v>2024년 7주차 (2/12~2/18)</v>
      </c>
      <c r="K782" s="6">
        <f t="shared" si="104"/>
        <v>2024</v>
      </c>
      <c r="L782" s="6">
        <f t="shared" si="105"/>
        <v>7</v>
      </c>
    </row>
    <row r="783" spans="1:12" x14ac:dyDescent="0.45">
      <c r="A783" s="6">
        <f t="shared" ref="A783:A846" si="108">YEAR(C783)</f>
        <v>2024</v>
      </c>
      <c r="B783" s="6">
        <f t="shared" si="103"/>
        <v>2</v>
      </c>
      <c r="C783" s="7">
        <v>45336</v>
      </c>
      <c r="D783" s="6">
        <f t="shared" si="101"/>
        <v>3</v>
      </c>
      <c r="E783" s="6">
        <f t="shared" si="102"/>
        <v>7</v>
      </c>
      <c r="F783" s="6">
        <v>3</v>
      </c>
      <c r="G783" s="6" t="str">
        <f t="shared" si="106"/>
        <v>02</v>
      </c>
      <c r="H783" s="6" t="str">
        <f t="shared" si="107"/>
        <v>02월 3주차</v>
      </c>
      <c r="I783" s="6" t="str">
        <f>H783&amp;" ("&amp;TEXT(C781,"m/dd")&amp;"~"&amp;TEXT(C787,"m/dd")&amp;")"</f>
        <v>02월 3주차 (2/12~2/18)</v>
      </c>
      <c r="J783" s="6" t="str">
        <f>A781&amp;"년 "&amp;WEEKNUM(C781,2)&amp;"주차"&amp;" ("&amp;TEXT(C781,"m/dd")&amp;"~"&amp;TEXT(C787,"m/dd")&amp;")"</f>
        <v>2024년 7주차 (2/12~2/18)</v>
      </c>
      <c r="K783" s="6">
        <f t="shared" si="104"/>
        <v>2024</v>
      </c>
      <c r="L783" s="6">
        <f t="shared" si="105"/>
        <v>7</v>
      </c>
    </row>
    <row r="784" spans="1:12" x14ac:dyDescent="0.45">
      <c r="A784" s="6">
        <f t="shared" si="108"/>
        <v>2024</v>
      </c>
      <c r="B784" s="6">
        <f t="shared" si="103"/>
        <v>2</v>
      </c>
      <c r="C784" s="7">
        <v>45337</v>
      </c>
      <c r="D784" s="6">
        <f t="shared" si="101"/>
        <v>4</v>
      </c>
      <c r="E784" s="6">
        <f t="shared" si="102"/>
        <v>7</v>
      </c>
      <c r="F784" s="6">
        <v>3</v>
      </c>
      <c r="G784" s="6" t="str">
        <f t="shared" si="106"/>
        <v>02</v>
      </c>
      <c r="H784" s="6" t="str">
        <f t="shared" si="107"/>
        <v>02월 3주차</v>
      </c>
      <c r="I784" s="6" t="str">
        <f>H784&amp;" ("&amp;TEXT(C781,"m/dd")&amp;"~"&amp;TEXT(C787,"m/dd")&amp;")"</f>
        <v>02월 3주차 (2/12~2/18)</v>
      </c>
      <c r="J784" s="6" t="str">
        <f>A781&amp;"년 "&amp;WEEKNUM(C781,2)&amp;"주차"&amp;" ("&amp;TEXT(C781,"m/dd")&amp;"~"&amp;TEXT(C787,"m/dd")&amp;")"</f>
        <v>2024년 7주차 (2/12~2/18)</v>
      </c>
      <c r="K784" s="6">
        <f t="shared" si="104"/>
        <v>2024</v>
      </c>
      <c r="L784" s="6">
        <f t="shared" si="105"/>
        <v>7</v>
      </c>
    </row>
    <row r="785" spans="1:12" x14ac:dyDescent="0.45">
      <c r="A785" s="6">
        <f t="shared" si="108"/>
        <v>2024</v>
      </c>
      <c r="B785" s="6">
        <f t="shared" si="103"/>
        <v>2</v>
      </c>
      <c r="C785" s="7">
        <v>45338</v>
      </c>
      <c r="D785" s="6">
        <f t="shared" si="101"/>
        <v>5</v>
      </c>
      <c r="E785" s="6">
        <f t="shared" si="102"/>
        <v>7</v>
      </c>
      <c r="F785" s="6">
        <v>3</v>
      </c>
      <c r="G785" s="6" t="str">
        <f t="shared" si="106"/>
        <v>02</v>
      </c>
      <c r="H785" s="6" t="str">
        <f t="shared" si="107"/>
        <v>02월 3주차</v>
      </c>
      <c r="I785" s="6" t="str">
        <f>H785&amp;" ("&amp;TEXT(C781,"m/dd")&amp;"~"&amp;TEXT(C787,"m/dd")&amp;")"</f>
        <v>02월 3주차 (2/12~2/18)</v>
      </c>
      <c r="J785" s="6" t="str">
        <f>A781&amp;"년 "&amp;WEEKNUM(C781,2)&amp;"주차"&amp;" ("&amp;TEXT(C781,"m/dd")&amp;"~"&amp;TEXT(C787,"m/dd")&amp;")"</f>
        <v>2024년 7주차 (2/12~2/18)</v>
      </c>
      <c r="K785" s="6">
        <f t="shared" si="104"/>
        <v>2024</v>
      </c>
      <c r="L785" s="6">
        <f t="shared" si="105"/>
        <v>7</v>
      </c>
    </row>
    <row r="786" spans="1:12" x14ac:dyDescent="0.45">
      <c r="A786" s="6">
        <f t="shared" si="108"/>
        <v>2024</v>
      </c>
      <c r="B786" s="6">
        <f t="shared" si="103"/>
        <v>2</v>
      </c>
      <c r="C786" s="7">
        <v>45339</v>
      </c>
      <c r="D786" s="6">
        <f t="shared" si="101"/>
        <v>6</v>
      </c>
      <c r="E786" s="6">
        <f t="shared" si="102"/>
        <v>7</v>
      </c>
      <c r="F786" s="6">
        <v>3</v>
      </c>
      <c r="G786" s="6" t="str">
        <f t="shared" si="106"/>
        <v>02</v>
      </c>
      <c r="H786" s="6" t="str">
        <f t="shared" si="107"/>
        <v>02월 3주차</v>
      </c>
      <c r="I786" s="6" t="str">
        <f>H786&amp;" ("&amp;TEXT(C781,"m/dd")&amp;"~"&amp;TEXT(C787,"m/dd")&amp;")"</f>
        <v>02월 3주차 (2/12~2/18)</v>
      </c>
      <c r="J786" s="6" t="str">
        <f>A781&amp;"년 "&amp;WEEKNUM(C781,2)&amp;"주차"&amp;" ("&amp;TEXT(C781,"m/dd")&amp;"~"&amp;TEXT(C787,"m/dd")&amp;")"</f>
        <v>2024년 7주차 (2/12~2/18)</v>
      </c>
      <c r="K786" s="6">
        <f t="shared" si="104"/>
        <v>2024</v>
      </c>
      <c r="L786" s="6">
        <f t="shared" si="105"/>
        <v>7</v>
      </c>
    </row>
    <row r="787" spans="1:12" x14ac:dyDescent="0.45">
      <c r="A787" s="6">
        <f t="shared" si="108"/>
        <v>2024</v>
      </c>
      <c r="B787" s="6">
        <f t="shared" si="103"/>
        <v>2</v>
      </c>
      <c r="C787" s="7">
        <v>45340</v>
      </c>
      <c r="D787" s="6">
        <f t="shared" si="101"/>
        <v>7</v>
      </c>
      <c r="E787" s="6">
        <f t="shared" si="102"/>
        <v>7</v>
      </c>
      <c r="F787" s="6">
        <v>3</v>
      </c>
      <c r="G787" s="6" t="str">
        <f t="shared" si="106"/>
        <v>02</v>
      </c>
      <c r="H787" s="6" t="str">
        <f t="shared" si="107"/>
        <v>02월 3주차</v>
      </c>
      <c r="I787" s="6" t="str">
        <f>H787&amp;" ("&amp;TEXT(C781,"m/dd")&amp;"~"&amp;TEXT(C787,"m/dd")&amp;")"</f>
        <v>02월 3주차 (2/12~2/18)</v>
      </c>
      <c r="J787" s="6" t="str">
        <f>A781&amp;"년 "&amp;WEEKNUM(C781,2)&amp;"주차"&amp;" ("&amp;TEXT(C781,"m/dd")&amp;"~"&amp;TEXT(C787,"m/dd")&amp;")"</f>
        <v>2024년 7주차 (2/12~2/18)</v>
      </c>
      <c r="K787" s="6">
        <f t="shared" si="104"/>
        <v>2024</v>
      </c>
      <c r="L787" s="6">
        <f t="shared" si="105"/>
        <v>7</v>
      </c>
    </row>
    <row r="788" spans="1:12" x14ac:dyDescent="0.45">
      <c r="A788" s="6">
        <f t="shared" si="108"/>
        <v>2024</v>
      </c>
      <c r="B788" s="6">
        <f t="shared" si="103"/>
        <v>2</v>
      </c>
      <c r="C788" s="7">
        <v>45341</v>
      </c>
      <c r="D788" s="6">
        <f t="shared" si="101"/>
        <v>1</v>
      </c>
      <c r="E788" s="6">
        <f t="shared" si="102"/>
        <v>8</v>
      </c>
      <c r="F788" s="6">
        <v>4</v>
      </c>
      <c r="G788" s="6" t="str">
        <f t="shared" si="106"/>
        <v>02</v>
      </c>
      <c r="H788" s="6" t="str">
        <f t="shared" si="107"/>
        <v>02월 4주차</v>
      </c>
      <c r="I788" s="6" t="str">
        <f>H788&amp;" ("&amp;TEXT(C788,"m/dd")&amp;"~"&amp;TEXT(C794,"m/dd")&amp;")"</f>
        <v>02월 4주차 (2/19~2/25)</v>
      </c>
      <c r="J788" s="6" t="str">
        <f>A788&amp;"년 "&amp;WEEKNUM(C788,2)&amp;"주차"&amp;" ("&amp;TEXT(C788,"m/dd")&amp;"~"&amp;TEXT(C794,"m/dd")&amp;")"</f>
        <v>2024년 8주차 (2/19~2/25)</v>
      </c>
      <c r="K788" s="6">
        <f t="shared" si="104"/>
        <v>2024</v>
      </c>
      <c r="L788" s="6">
        <f t="shared" si="105"/>
        <v>8</v>
      </c>
    </row>
    <row r="789" spans="1:12" x14ac:dyDescent="0.45">
      <c r="A789" s="6">
        <f t="shared" si="108"/>
        <v>2024</v>
      </c>
      <c r="B789" s="6">
        <f t="shared" si="103"/>
        <v>2</v>
      </c>
      <c r="C789" s="7">
        <v>45342</v>
      </c>
      <c r="D789" s="6">
        <f t="shared" si="101"/>
        <v>2</v>
      </c>
      <c r="E789" s="6">
        <f t="shared" si="102"/>
        <v>8</v>
      </c>
      <c r="F789" s="6">
        <v>4</v>
      </c>
      <c r="G789" s="6" t="str">
        <f t="shared" si="106"/>
        <v>02</v>
      </c>
      <c r="H789" s="6" t="str">
        <f t="shared" si="107"/>
        <v>02월 4주차</v>
      </c>
      <c r="I789" s="6" t="str">
        <f>H789&amp;" ("&amp;TEXT(C788,"m/dd")&amp;"~"&amp;TEXT(C794,"m/dd")&amp;")"</f>
        <v>02월 4주차 (2/19~2/25)</v>
      </c>
      <c r="J789" s="6" t="str">
        <f>A788&amp;"년 "&amp;WEEKNUM(C788,2)&amp;"주차"&amp;" ("&amp;TEXT(C788,"m/dd")&amp;"~"&amp;TEXT(C794,"m/dd")&amp;")"</f>
        <v>2024년 8주차 (2/19~2/25)</v>
      </c>
      <c r="K789" s="6">
        <f t="shared" si="104"/>
        <v>2024</v>
      </c>
      <c r="L789" s="6">
        <f t="shared" si="105"/>
        <v>8</v>
      </c>
    </row>
    <row r="790" spans="1:12" x14ac:dyDescent="0.45">
      <c r="A790" s="6">
        <f t="shared" si="108"/>
        <v>2024</v>
      </c>
      <c r="B790" s="6">
        <f t="shared" si="103"/>
        <v>2</v>
      </c>
      <c r="C790" s="7">
        <v>45343</v>
      </c>
      <c r="D790" s="6">
        <f t="shared" si="101"/>
        <v>3</v>
      </c>
      <c r="E790" s="6">
        <f t="shared" si="102"/>
        <v>8</v>
      </c>
      <c r="F790" s="6">
        <v>4</v>
      </c>
      <c r="G790" s="6" t="str">
        <f t="shared" si="106"/>
        <v>02</v>
      </c>
      <c r="H790" s="6" t="str">
        <f t="shared" si="107"/>
        <v>02월 4주차</v>
      </c>
      <c r="I790" s="6" t="str">
        <f>H790&amp;" ("&amp;TEXT(C788,"m/dd")&amp;"~"&amp;TEXT(C794,"m/dd")&amp;")"</f>
        <v>02월 4주차 (2/19~2/25)</v>
      </c>
      <c r="J790" s="6" t="str">
        <f>A788&amp;"년 "&amp;WEEKNUM(C788,2)&amp;"주차"&amp;" ("&amp;TEXT(C788,"m/dd")&amp;"~"&amp;TEXT(C794,"m/dd")&amp;")"</f>
        <v>2024년 8주차 (2/19~2/25)</v>
      </c>
      <c r="K790" s="6">
        <f t="shared" si="104"/>
        <v>2024</v>
      </c>
      <c r="L790" s="6">
        <f t="shared" si="105"/>
        <v>8</v>
      </c>
    </row>
    <row r="791" spans="1:12" x14ac:dyDescent="0.45">
      <c r="A791" s="6">
        <f t="shared" si="108"/>
        <v>2024</v>
      </c>
      <c r="B791" s="6">
        <f t="shared" si="103"/>
        <v>2</v>
      </c>
      <c r="C791" s="7">
        <v>45344</v>
      </c>
      <c r="D791" s="6">
        <f t="shared" ref="D791:D854" si="109">WEEKDAY(C791,2)</f>
        <v>4</v>
      </c>
      <c r="E791" s="6">
        <f t="shared" ref="E791:E854" si="110">WEEKNUM(C791,2)</f>
        <v>8</v>
      </c>
      <c r="F791" s="6">
        <v>4</v>
      </c>
      <c r="G791" s="6" t="str">
        <f t="shared" si="106"/>
        <v>02</v>
      </c>
      <c r="H791" s="6" t="str">
        <f t="shared" si="107"/>
        <v>02월 4주차</v>
      </c>
      <c r="I791" s="6" t="str">
        <f>H791&amp;" ("&amp;TEXT(C788,"m/dd")&amp;"~"&amp;TEXT(C794,"m/dd")&amp;")"</f>
        <v>02월 4주차 (2/19~2/25)</v>
      </c>
      <c r="J791" s="6" t="str">
        <f>A788&amp;"년 "&amp;WEEKNUM(C788,2)&amp;"주차"&amp;" ("&amp;TEXT(C788,"m/dd")&amp;"~"&amp;TEXT(C794,"m/dd")&amp;")"</f>
        <v>2024년 8주차 (2/19~2/25)</v>
      </c>
      <c r="K791" s="6">
        <f t="shared" si="104"/>
        <v>2024</v>
      </c>
      <c r="L791" s="6">
        <f t="shared" si="105"/>
        <v>8</v>
      </c>
    </row>
    <row r="792" spans="1:12" x14ac:dyDescent="0.45">
      <c r="A792" s="6">
        <f t="shared" si="108"/>
        <v>2024</v>
      </c>
      <c r="B792" s="6">
        <f t="shared" si="103"/>
        <v>2</v>
      </c>
      <c r="C792" s="7">
        <v>45345</v>
      </c>
      <c r="D792" s="6">
        <f t="shared" si="109"/>
        <v>5</v>
      </c>
      <c r="E792" s="6">
        <f t="shared" si="110"/>
        <v>8</v>
      </c>
      <c r="F792" s="6">
        <v>4</v>
      </c>
      <c r="G792" s="6" t="str">
        <f t="shared" si="106"/>
        <v>02</v>
      </c>
      <c r="H792" s="6" t="str">
        <f t="shared" si="107"/>
        <v>02월 4주차</v>
      </c>
      <c r="I792" s="6" t="str">
        <f>H792&amp;" ("&amp;TEXT(C788,"m/dd")&amp;"~"&amp;TEXT(C794,"m/dd")&amp;")"</f>
        <v>02월 4주차 (2/19~2/25)</v>
      </c>
      <c r="J792" s="6" t="str">
        <f>A788&amp;"년 "&amp;WEEKNUM(C788,2)&amp;"주차"&amp;" ("&amp;TEXT(C788,"m/dd")&amp;"~"&amp;TEXT(C794,"m/dd")&amp;")"</f>
        <v>2024년 8주차 (2/19~2/25)</v>
      </c>
      <c r="K792" s="6">
        <f t="shared" si="104"/>
        <v>2024</v>
      </c>
      <c r="L792" s="6">
        <f t="shared" si="105"/>
        <v>8</v>
      </c>
    </row>
    <row r="793" spans="1:12" x14ac:dyDescent="0.45">
      <c r="A793" s="6">
        <f t="shared" si="108"/>
        <v>2024</v>
      </c>
      <c r="B793" s="6">
        <f t="shared" si="103"/>
        <v>2</v>
      </c>
      <c r="C793" s="7">
        <v>45346</v>
      </c>
      <c r="D793" s="6">
        <f t="shared" si="109"/>
        <v>6</v>
      </c>
      <c r="E793" s="6">
        <f t="shared" si="110"/>
        <v>8</v>
      </c>
      <c r="F793" s="6">
        <v>4</v>
      </c>
      <c r="G793" s="6" t="str">
        <f t="shared" si="106"/>
        <v>02</v>
      </c>
      <c r="H793" s="6" t="str">
        <f t="shared" si="107"/>
        <v>02월 4주차</v>
      </c>
      <c r="I793" s="6" t="str">
        <f>H793&amp;" ("&amp;TEXT(C788,"m/dd")&amp;"~"&amp;TEXT(C794,"m/dd")&amp;")"</f>
        <v>02월 4주차 (2/19~2/25)</v>
      </c>
      <c r="J793" s="6" t="str">
        <f>A788&amp;"년 "&amp;WEEKNUM(C788,2)&amp;"주차"&amp;" ("&amp;TEXT(C788,"m/dd")&amp;"~"&amp;TEXT(C794,"m/dd")&amp;")"</f>
        <v>2024년 8주차 (2/19~2/25)</v>
      </c>
      <c r="K793" s="6">
        <f t="shared" si="104"/>
        <v>2024</v>
      </c>
      <c r="L793" s="6">
        <f t="shared" si="105"/>
        <v>8</v>
      </c>
    </row>
    <row r="794" spans="1:12" x14ac:dyDescent="0.45">
      <c r="A794" s="6">
        <f t="shared" si="108"/>
        <v>2024</v>
      </c>
      <c r="B794" s="6">
        <f t="shared" si="103"/>
        <v>2</v>
      </c>
      <c r="C794" s="7">
        <v>45347</v>
      </c>
      <c r="D794" s="6">
        <f t="shared" si="109"/>
        <v>7</v>
      </c>
      <c r="E794" s="6">
        <f t="shared" si="110"/>
        <v>8</v>
      </c>
      <c r="F794" s="6">
        <v>4</v>
      </c>
      <c r="G794" s="6" t="str">
        <f t="shared" si="106"/>
        <v>02</v>
      </c>
      <c r="H794" s="6" t="str">
        <f t="shared" si="107"/>
        <v>02월 4주차</v>
      </c>
      <c r="I794" s="6" t="str">
        <f>H794&amp;" ("&amp;TEXT(C788,"m/dd")&amp;"~"&amp;TEXT(C794,"m/dd")&amp;")"</f>
        <v>02월 4주차 (2/19~2/25)</v>
      </c>
      <c r="J794" s="6" t="str">
        <f>A788&amp;"년 "&amp;WEEKNUM(C788,2)&amp;"주차"&amp;" ("&amp;TEXT(C788,"m/dd")&amp;"~"&amp;TEXT(C794,"m/dd")&amp;")"</f>
        <v>2024년 8주차 (2/19~2/25)</v>
      </c>
      <c r="K794" s="6">
        <f t="shared" si="104"/>
        <v>2024</v>
      </c>
      <c r="L794" s="6">
        <f t="shared" si="105"/>
        <v>8</v>
      </c>
    </row>
    <row r="795" spans="1:12" x14ac:dyDescent="0.45">
      <c r="A795" s="6">
        <f t="shared" si="108"/>
        <v>2024</v>
      </c>
      <c r="B795" s="6">
        <f t="shared" si="103"/>
        <v>2</v>
      </c>
      <c r="C795" s="7">
        <v>45348</v>
      </c>
      <c r="D795" s="6">
        <f t="shared" si="109"/>
        <v>1</v>
      </c>
      <c r="E795" s="6">
        <f t="shared" si="110"/>
        <v>9</v>
      </c>
      <c r="F795" s="6">
        <v>5</v>
      </c>
      <c r="G795" s="6" t="str">
        <f t="shared" si="106"/>
        <v>02</v>
      </c>
      <c r="H795" s="6" t="str">
        <f t="shared" si="107"/>
        <v>02월 5주차</v>
      </c>
      <c r="I795" s="6" t="str">
        <f>H795&amp;" ("&amp;TEXT(C795,"m/dd")&amp;"~"&amp;TEXT(C801,"m/dd")&amp;")"</f>
        <v>02월 5주차 (2/26~3/03)</v>
      </c>
      <c r="J795" s="6" t="str">
        <f>A795&amp;"년 "&amp;WEEKNUM(C795,2)&amp;"주차"&amp;" ("&amp;TEXT(C795,"m/dd")&amp;"~"&amp;TEXT(C801,"m/dd")&amp;")"</f>
        <v>2024년 9주차 (2/26~3/03)</v>
      </c>
      <c r="K795" s="6">
        <f t="shared" si="104"/>
        <v>2024</v>
      </c>
      <c r="L795" s="6">
        <f t="shared" si="105"/>
        <v>9</v>
      </c>
    </row>
    <row r="796" spans="1:12" x14ac:dyDescent="0.45">
      <c r="A796" s="6">
        <f t="shared" si="108"/>
        <v>2024</v>
      </c>
      <c r="B796" s="6">
        <f t="shared" si="103"/>
        <v>2</v>
      </c>
      <c r="C796" s="7">
        <v>45349</v>
      </c>
      <c r="D796" s="6">
        <f t="shared" si="109"/>
        <v>2</v>
      </c>
      <c r="E796" s="6">
        <f t="shared" si="110"/>
        <v>9</v>
      </c>
      <c r="F796" s="6">
        <v>5</v>
      </c>
      <c r="G796" s="6" t="str">
        <f t="shared" si="106"/>
        <v>02</v>
      </c>
      <c r="H796" s="6" t="str">
        <f t="shared" si="107"/>
        <v>02월 5주차</v>
      </c>
      <c r="I796" s="6" t="str">
        <f>H796&amp;" ("&amp;TEXT(C795,"m/dd")&amp;"~"&amp;TEXT(C801,"m/dd")&amp;")"</f>
        <v>02월 5주차 (2/26~3/03)</v>
      </c>
      <c r="J796" s="6" t="str">
        <f>A795&amp;"년 "&amp;WEEKNUM(C795,2)&amp;"주차"&amp;" ("&amp;TEXT(C795,"m/dd")&amp;"~"&amp;TEXT(C801,"m/dd")&amp;")"</f>
        <v>2024년 9주차 (2/26~3/03)</v>
      </c>
      <c r="K796" s="6">
        <f t="shared" si="104"/>
        <v>2024</v>
      </c>
      <c r="L796" s="6">
        <f t="shared" si="105"/>
        <v>9</v>
      </c>
    </row>
    <row r="797" spans="1:12" x14ac:dyDescent="0.45">
      <c r="A797" s="6">
        <f t="shared" si="108"/>
        <v>2024</v>
      </c>
      <c r="B797" s="6">
        <f t="shared" si="103"/>
        <v>2</v>
      </c>
      <c r="C797" s="7">
        <v>45350</v>
      </c>
      <c r="D797" s="6">
        <f t="shared" si="109"/>
        <v>3</v>
      </c>
      <c r="E797" s="6">
        <f t="shared" si="110"/>
        <v>9</v>
      </c>
      <c r="F797" s="6">
        <v>5</v>
      </c>
      <c r="G797" s="6" t="str">
        <f t="shared" si="106"/>
        <v>02</v>
      </c>
      <c r="H797" s="6" t="str">
        <f t="shared" si="107"/>
        <v>02월 5주차</v>
      </c>
      <c r="I797" s="6" t="str">
        <f>H797&amp;" ("&amp;TEXT(C795,"m/dd")&amp;"~"&amp;TEXT(C801,"m/dd")&amp;")"</f>
        <v>02월 5주차 (2/26~3/03)</v>
      </c>
      <c r="J797" s="6" t="str">
        <f>A795&amp;"년 "&amp;WEEKNUM(C795,2)&amp;"주차"&amp;" ("&amp;TEXT(C795,"m/dd")&amp;"~"&amp;TEXT(C801,"m/dd")&amp;")"</f>
        <v>2024년 9주차 (2/26~3/03)</v>
      </c>
      <c r="K797" s="6">
        <f t="shared" si="104"/>
        <v>2024</v>
      </c>
      <c r="L797" s="6">
        <f t="shared" si="105"/>
        <v>9</v>
      </c>
    </row>
    <row r="798" spans="1:12" x14ac:dyDescent="0.45">
      <c r="A798" s="6">
        <f t="shared" si="108"/>
        <v>2024</v>
      </c>
      <c r="B798" s="6">
        <f t="shared" si="103"/>
        <v>2</v>
      </c>
      <c r="C798" s="7">
        <v>45351</v>
      </c>
      <c r="D798" s="6">
        <f t="shared" si="109"/>
        <v>4</v>
      </c>
      <c r="E798" s="6">
        <f t="shared" si="110"/>
        <v>9</v>
      </c>
      <c r="F798" s="6">
        <v>5</v>
      </c>
      <c r="G798" s="6" t="str">
        <f t="shared" si="106"/>
        <v>02</v>
      </c>
      <c r="H798" s="6" t="str">
        <f t="shared" si="107"/>
        <v>02월 5주차</v>
      </c>
      <c r="I798" s="6" t="str">
        <f>H798&amp;" ("&amp;TEXT(C795,"m/dd")&amp;"~"&amp;TEXT(C801,"m/dd")&amp;")"</f>
        <v>02월 5주차 (2/26~3/03)</v>
      </c>
      <c r="J798" s="6" t="str">
        <f>A795&amp;"년 "&amp;WEEKNUM(C795,2)&amp;"주차"&amp;" ("&amp;TEXT(C795,"m/dd")&amp;"~"&amp;TEXT(C801,"m/dd")&amp;")"</f>
        <v>2024년 9주차 (2/26~3/03)</v>
      </c>
      <c r="K798" s="6">
        <f t="shared" si="104"/>
        <v>2024</v>
      </c>
      <c r="L798" s="6">
        <f t="shared" si="105"/>
        <v>9</v>
      </c>
    </row>
    <row r="799" spans="1:12" x14ac:dyDescent="0.45">
      <c r="A799" s="6">
        <f t="shared" si="108"/>
        <v>2024</v>
      </c>
      <c r="B799" s="6">
        <v>2</v>
      </c>
      <c r="C799" s="7">
        <v>45352</v>
      </c>
      <c r="D799" s="6">
        <f t="shared" si="109"/>
        <v>5</v>
      </c>
      <c r="E799" s="6">
        <f t="shared" si="110"/>
        <v>9</v>
      </c>
      <c r="F799" s="6">
        <v>5</v>
      </c>
      <c r="G799" s="6" t="str">
        <f t="shared" si="106"/>
        <v>02</v>
      </c>
      <c r="H799" s="6" t="str">
        <f t="shared" si="107"/>
        <v>02월 5주차</v>
      </c>
      <c r="I799" s="6" t="str">
        <f>H799&amp;" ("&amp;TEXT(C795,"m/dd")&amp;"~"&amp;TEXT(C801,"m/dd")&amp;")"</f>
        <v>02월 5주차 (2/26~3/03)</v>
      </c>
      <c r="J799" s="6" t="str">
        <f>A795&amp;"년 "&amp;WEEKNUM(C795,2)&amp;"주차"&amp;" ("&amp;TEXT(C795,"m/dd")&amp;"~"&amp;TEXT(C801,"m/dd")&amp;")"</f>
        <v>2024년 9주차 (2/26~3/03)</v>
      </c>
      <c r="K799" s="6">
        <f t="shared" si="104"/>
        <v>2024</v>
      </c>
      <c r="L799" s="6">
        <f t="shared" si="105"/>
        <v>9</v>
      </c>
    </row>
    <row r="800" spans="1:12" x14ac:dyDescent="0.45">
      <c r="A800" s="6">
        <f t="shared" si="108"/>
        <v>2024</v>
      </c>
      <c r="B800" s="6">
        <v>2</v>
      </c>
      <c r="C800" s="7">
        <v>45353</v>
      </c>
      <c r="D800" s="6">
        <f t="shared" si="109"/>
        <v>6</v>
      </c>
      <c r="E800" s="6">
        <f t="shared" si="110"/>
        <v>9</v>
      </c>
      <c r="F800" s="6">
        <v>5</v>
      </c>
      <c r="G800" s="6" t="str">
        <f t="shared" si="106"/>
        <v>02</v>
      </c>
      <c r="H800" s="6" t="str">
        <f t="shared" si="107"/>
        <v>02월 5주차</v>
      </c>
      <c r="I800" s="6" t="str">
        <f>H800&amp;" ("&amp;TEXT(C795,"m/dd")&amp;"~"&amp;TEXT(C801,"m/dd")&amp;")"</f>
        <v>02월 5주차 (2/26~3/03)</v>
      </c>
      <c r="J800" s="6" t="str">
        <f>A795&amp;"년 "&amp;WEEKNUM(C795,2)&amp;"주차"&amp;" ("&amp;TEXT(C795,"m/dd")&amp;"~"&amp;TEXT(C801,"m/dd")&amp;")"</f>
        <v>2024년 9주차 (2/26~3/03)</v>
      </c>
      <c r="K800" s="6">
        <f t="shared" si="104"/>
        <v>2024</v>
      </c>
      <c r="L800" s="6">
        <f t="shared" si="105"/>
        <v>9</v>
      </c>
    </row>
    <row r="801" spans="1:12" x14ac:dyDescent="0.45">
      <c r="A801" s="6">
        <f t="shared" si="108"/>
        <v>2024</v>
      </c>
      <c r="B801" s="6">
        <v>2</v>
      </c>
      <c r="C801" s="7">
        <v>45354</v>
      </c>
      <c r="D801" s="6">
        <f t="shared" si="109"/>
        <v>7</v>
      </c>
      <c r="E801" s="6">
        <f t="shared" si="110"/>
        <v>9</v>
      </c>
      <c r="F801" s="6">
        <v>5</v>
      </c>
      <c r="G801" s="6" t="str">
        <f t="shared" si="106"/>
        <v>02</v>
      </c>
      <c r="H801" s="6" t="str">
        <f t="shared" si="107"/>
        <v>02월 5주차</v>
      </c>
      <c r="I801" s="6" t="str">
        <f>H801&amp;" ("&amp;TEXT(C795,"m/dd")&amp;"~"&amp;TEXT(C801,"m/dd")&amp;")"</f>
        <v>02월 5주차 (2/26~3/03)</v>
      </c>
      <c r="J801" s="6" t="str">
        <f>A795&amp;"년 "&amp;WEEKNUM(C795,2)&amp;"주차"&amp;" ("&amp;TEXT(C795,"m/dd")&amp;"~"&amp;TEXT(C801,"m/dd")&amp;")"</f>
        <v>2024년 9주차 (2/26~3/03)</v>
      </c>
      <c r="K801" s="6">
        <f t="shared" si="104"/>
        <v>2024</v>
      </c>
      <c r="L801" s="6">
        <f t="shared" si="105"/>
        <v>9</v>
      </c>
    </row>
    <row r="802" spans="1:12" x14ac:dyDescent="0.45">
      <c r="A802" s="6">
        <f t="shared" si="108"/>
        <v>2024</v>
      </c>
      <c r="B802" s="6">
        <f t="shared" si="103"/>
        <v>3</v>
      </c>
      <c r="C802" s="7">
        <v>45355</v>
      </c>
      <c r="D802" s="6">
        <f t="shared" si="109"/>
        <v>1</v>
      </c>
      <c r="E802" s="6">
        <f t="shared" si="110"/>
        <v>10</v>
      </c>
      <c r="F802" s="6">
        <f t="shared" ref="F802:F857" si="111">WEEKNUM(DATE(YEAR(C802),1,DAY(C802-WEEKDAY(C802,2)+1)),WEEKDAY(DATE(YEAR(C802),1,1),11)+10)</f>
        <v>1</v>
      </c>
      <c r="G802" s="6" t="str">
        <f t="shared" si="106"/>
        <v>03</v>
      </c>
      <c r="H802" s="6" t="str">
        <f t="shared" si="107"/>
        <v>03월 1주차</v>
      </c>
      <c r="I802" s="6" t="str">
        <f>H802&amp;" ("&amp;TEXT(C802,"m/dd")&amp;"~"&amp;TEXT(C808,"m/dd")&amp;")"</f>
        <v>03월 1주차 (3/04~3/10)</v>
      </c>
      <c r="J802" s="6" t="str">
        <f>A802&amp;"년 "&amp;WEEKNUM(C802,2)&amp;"주차"&amp;" ("&amp;TEXT(C802,"m/dd")&amp;"~"&amp;TEXT(C808,"m/dd")&amp;")"</f>
        <v>2024년 10주차 (3/04~3/10)</v>
      </c>
      <c r="K802" s="6">
        <f t="shared" si="104"/>
        <v>2024</v>
      </c>
      <c r="L802" s="6">
        <f t="shared" si="105"/>
        <v>10</v>
      </c>
    </row>
    <row r="803" spans="1:12" x14ac:dyDescent="0.45">
      <c r="A803" s="6">
        <f t="shared" si="108"/>
        <v>2024</v>
      </c>
      <c r="B803" s="6">
        <f t="shared" si="103"/>
        <v>3</v>
      </c>
      <c r="C803" s="7">
        <v>45356</v>
      </c>
      <c r="D803" s="6">
        <f t="shared" si="109"/>
        <v>2</v>
      </c>
      <c r="E803" s="6">
        <f t="shared" si="110"/>
        <v>10</v>
      </c>
      <c r="F803" s="6">
        <f t="shared" si="111"/>
        <v>1</v>
      </c>
      <c r="G803" s="6" t="str">
        <f t="shared" si="106"/>
        <v>03</v>
      </c>
      <c r="H803" s="6" t="str">
        <f t="shared" si="107"/>
        <v>03월 1주차</v>
      </c>
      <c r="I803" s="6" t="str">
        <f>H803&amp;" ("&amp;TEXT(C802,"m/dd")&amp;"~"&amp;TEXT(C808,"m/dd")&amp;")"</f>
        <v>03월 1주차 (3/04~3/10)</v>
      </c>
      <c r="J803" s="6" t="str">
        <f>A802&amp;"년 "&amp;WEEKNUM(C802,2)&amp;"주차"&amp;" ("&amp;TEXT(C802,"m/dd")&amp;"~"&amp;TEXT(C808,"m/dd")&amp;")"</f>
        <v>2024년 10주차 (3/04~3/10)</v>
      </c>
      <c r="K803" s="6">
        <f t="shared" si="104"/>
        <v>2024</v>
      </c>
      <c r="L803" s="6">
        <f t="shared" si="105"/>
        <v>10</v>
      </c>
    </row>
    <row r="804" spans="1:12" x14ac:dyDescent="0.45">
      <c r="A804" s="6">
        <f t="shared" si="108"/>
        <v>2024</v>
      </c>
      <c r="B804" s="6">
        <f t="shared" si="103"/>
        <v>3</v>
      </c>
      <c r="C804" s="7">
        <v>45357</v>
      </c>
      <c r="D804" s="6">
        <f t="shared" si="109"/>
        <v>3</v>
      </c>
      <c r="E804" s="6">
        <f t="shared" si="110"/>
        <v>10</v>
      </c>
      <c r="F804" s="6">
        <f t="shared" si="111"/>
        <v>1</v>
      </c>
      <c r="G804" s="6" t="str">
        <f t="shared" si="106"/>
        <v>03</v>
      </c>
      <c r="H804" s="6" t="str">
        <f t="shared" si="107"/>
        <v>03월 1주차</v>
      </c>
      <c r="I804" s="6" t="str">
        <f>H804&amp;" ("&amp;TEXT(C802,"m/dd")&amp;"~"&amp;TEXT(C808,"m/dd")&amp;")"</f>
        <v>03월 1주차 (3/04~3/10)</v>
      </c>
      <c r="J804" s="6" t="str">
        <f>A802&amp;"년 "&amp;WEEKNUM(C802,2)&amp;"주차"&amp;" ("&amp;TEXT(C802,"m/dd")&amp;"~"&amp;TEXT(C808,"m/dd")&amp;")"</f>
        <v>2024년 10주차 (3/04~3/10)</v>
      </c>
      <c r="K804" s="6">
        <f t="shared" si="104"/>
        <v>2024</v>
      </c>
      <c r="L804" s="6">
        <f t="shared" si="105"/>
        <v>10</v>
      </c>
    </row>
    <row r="805" spans="1:12" x14ac:dyDescent="0.45">
      <c r="A805" s="6">
        <f t="shared" si="108"/>
        <v>2024</v>
      </c>
      <c r="B805" s="6">
        <f t="shared" si="103"/>
        <v>3</v>
      </c>
      <c r="C805" s="7">
        <v>45358</v>
      </c>
      <c r="D805" s="6">
        <f t="shared" si="109"/>
        <v>4</v>
      </c>
      <c r="E805" s="6">
        <f t="shared" si="110"/>
        <v>10</v>
      </c>
      <c r="F805" s="6">
        <f t="shared" si="111"/>
        <v>1</v>
      </c>
      <c r="G805" s="6" t="str">
        <f t="shared" si="106"/>
        <v>03</v>
      </c>
      <c r="H805" s="6" t="str">
        <f t="shared" si="107"/>
        <v>03월 1주차</v>
      </c>
      <c r="I805" s="6" t="str">
        <f>H805&amp;" ("&amp;TEXT(C802,"m/dd")&amp;"~"&amp;TEXT(C808,"m/dd")&amp;")"</f>
        <v>03월 1주차 (3/04~3/10)</v>
      </c>
      <c r="J805" s="6" t="str">
        <f>A802&amp;"년 "&amp;WEEKNUM(C802,2)&amp;"주차"&amp;" ("&amp;TEXT(C802,"m/dd")&amp;"~"&amp;TEXT(C808,"m/dd")&amp;")"</f>
        <v>2024년 10주차 (3/04~3/10)</v>
      </c>
      <c r="K805" s="6">
        <f t="shared" si="104"/>
        <v>2024</v>
      </c>
      <c r="L805" s="6">
        <f t="shared" si="105"/>
        <v>10</v>
      </c>
    </row>
    <row r="806" spans="1:12" x14ac:dyDescent="0.45">
      <c r="A806" s="6">
        <f t="shared" si="108"/>
        <v>2024</v>
      </c>
      <c r="B806" s="6">
        <f t="shared" ref="B806:B869" si="112">MONTH(C806)</f>
        <v>3</v>
      </c>
      <c r="C806" s="7">
        <v>45359</v>
      </c>
      <c r="D806" s="6">
        <f t="shared" si="109"/>
        <v>5</v>
      </c>
      <c r="E806" s="6">
        <f t="shared" si="110"/>
        <v>10</v>
      </c>
      <c r="F806" s="6">
        <f t="shared" si="111"/>
        <v>1</v>
      </c>
      <c r="G806" s="6" t="str">
        <f t="shared" si="106"/>
        <v>03</v>
      </c>
      <c r="H806" s="6" t="str">
        <f t="shared" si="107"/>
        <v>03월 1주차</v>
      </c>
      <c r="I806" s="6" t="str">
        <f>H806&amp;" ("&amp;TEXT(C802,"m/dd")&amp;"~"&amp;TEXT(C808,"m/dd")&amp;")"</f>
        <v>03월 1주차 (3/04~3/10)</v>
      </c>
      <c r="J806" s="6" t="str">
        <f>A802&amp;"년 "&amp;WEEKNUM(C802,2)&amp;"주차"&amp;" ("&amp;TEXT(C802,"m/dd")&amp;"~"&amp;TEXT(C808,"m/dd")&amp;")"</f>
        <v>2024년 10주차 (3/04~3/10)</v>
      </c>
      <c r="K806" s="6">
        <f t="shared" si="104"/>
        <v>2024</v>
      </c>
      <c r="L806" s="6">
        <f t="shared" si="105"/>
        <v>10</v>
      </c>
    </row>
    <row r="807" spans="1:12" x14ac:dyDescent="0.45">
      <c r="A807" s="6">
        <f t="shared" si="108"/>
        <v>2024</v>
      </c>
      <c r="B807" s="6">
        <f t="shared" si="112"/>
        <v>3</v>
      </c>
      <c r="C807" s="7">
        <v>45360</v>
      </c>
      <c r="D807" s="6">
        <f t="shared" si="109"/>
        <v>6</v>
      </c>
      <c r="E807" s="6">
        <f t="shared" si="110"/>
        <v>10</v>
      </c>
      <c r="F807" s="6">
        <f t="shared" si="111"/>
        <v>1</v>
      </c>
      <c r="G807" s="6" t="str">
        <f t="shared" si="106"/>
        <v>03</v>
      </c>
      <c r="H807" s="6" t="str">
        <f t="shared" si="107"/>
        <v>03월 1주차</v>
      </c>
      <c r="I807" s="6" t="str">
        <f>H807&amp;" ("&amp;TEXT(C802,"m/dd")&amp;"~"&amp;TEXT(C808,"m/dd")&amp;")"</f>
        <v>03월 1주차 (3/04~3/10)</v>
      </c>
      <c r="J807" s="6" t="str">
        <f>A802&amp;"년 "&amp;WEEKNUM(C802,2)&amp;"주차"&amp;" ("&amp;TEXT(C802,"m/dd")&amp;"~"&amp;TEXT(C808,"m/dd")&amp;")"</f>
        <v>2024년 10주차 (3/04~3/10)</v>
      </c>
      <c r="K807" s="6">
        <f t="shared" si="104"/>
        <v>2024</v>
      </c>
      <c r="L807" s="6">
        <f t="shared" si="105"/>
        <v>10</v>
      </c>
    </row>
    <row r="808" spans="1:12" x14ac:dyDescent="0.45">
      <c r="A808" s="6">
        <f t="shared" si="108"/>
        <v>2024</v>
      </c>
      <c r="B808" s="6">
        <f t="shared" si="112"/>
        <v>3</v>
      </c>
      <c r="C808" s="7">
        <v>45361</v>
      </c>
      <c r="D808" s="6">
        <f t="shared" si="109"/>
        <v>7</v>
      </c>
      <c r="E808" s="6">
        <f t="shared" si="110"/>
        <v>10</v>
      </c>
      <c r="F808" s="6">
        <f t="shared" si="111"/>
        <v>1</v>
      </c>
      <c r="G808" s="6" t="str">
        <f t="shared" si="106"/>
        <v>03</v>
      </c>
      <c r="H808" s="6" t="str">
        <f t="shared" si="107"/>
        <v>03월 1주차</v>
      </c>
      <c r="I808" s="6" t="str">
        <f>H808&amp;" ("&amp;TEXT(C802,"m/dd")&amp;"~"&amp;TEXT(C808,"m/dd")&amp;")"</f>
        <v>03월 1주차 (3/04~3/10)</v>
      </c>
      <c r="J808" s="6" t="str">
        <f>A802&amp;"년 "&amp;WEEKNUM(C802,2)&amp;"주차"&amp;" ("&amp;TEXT(C802,"m/dd")&amp;"~"&amp;TEXT(C808,"m/dd")&amp;")"</f>
        <v>2024년 10주차 (3/04~3/10)</v>
      </c>
      <c r="K808" s="6">
        <f t="shared" si="104"/>
        <v>2024</v>
      </c>
      <c r="L808" s="6">
        <f t="shared" si="105"/>
        <v>10</v>
      </c>
    </row>
    <row r="809" spans="1:12" x14ac:dyDescent="0.45">
      <c r="A809" s="6">
        <f t="shared" si="108"/>
        <v>2024</v>
      </c>
      <c r="B809" s="6">
        <f t="shared" si="112"/>
        <v>3</v>
      </c>
      <c r="C809" s="7">
        <v>45362</v>
      </c>
      <c r="D809" s="6">
        <f t="shared" si="109"/>
        <v>1</v>
      </c>
      <c r="E809" s="6">
        <f t="shared" si="110"/>
        <v>11</v>
      </c>
      <c r="F809" s="6">
        <f t="shared" si="111"/>
        <v>2</v>
      </c>
      <c r="G809" s="6" t="str">
        <f t="shared" si="106"/>
        <v>03</v>
      </c>
      <c r="H809" s="6" t="str">
        <f t="shared" si="107"/>
        <v>03월 2주차</v>
      </c>
      <c r="I809" s="6" t="str">
        <f>H809&amp;" ("&amp;TEXT(C809,"m/dd")&amp;"~"&amp;TEXT(C815,"m/dd")&amp;")"</f>
        <v>03월 2주차 (3/11~3/17)</v>
      </c>
      <c r="J809" s="6" t="str">
        <f>A809&amp;"년 "&amp;WEEKNUM(C809,2)&amp;"주차"&amp;" ("&amp;TEXT(C809,"m/dd")&amp;"~"&amp;TEXT(C815,"m/dd")&amp;")"</f>
        <v>2024년 11주차 (3/11~3/17)</v>
      </c>
      <c r="K809" s="6">
        <f t="shared" si="104"/>
        <v>2024</v>
      </c>
      <c r="L809" s="6">
        <f t="shared" si="105"/>
        <v>11</v>
      </c>
    </row>
    <row r="810" spans="1:12" x14ac:dyDescent="0.45">
      <c r="A810" s="6">
        <f t="shared" si="108"/>
        <v>2024</v>
      </c>
      <c r="B810" s="6">
        <f t="shared" si="112"/>
        <v>3</v>
      </c>
      <c r="C810" s="7">
        <v>45363</v>
      </c>
      <c r="D810" s="6">
        <f t="shared" si="109"/>
        <v>2</v>
      </c>
      <c r="E810" s="6">
        <f t="shared" si="110"/>
        <v>11</v>
      </c>
      <c r="F810" s="6">
        <f t="shared" si="111"/>
        <v>2</v>
      </c>
      <c r="G810" s="6" t="str">
        <f t="shared" si="106"/>
        <v>03</v>
      </c>
      <c r="H810" s="6" t="str">
        <f t="shared" si="107"/>
        <v>03월 2주차</v>
      </c>
      <c r="I810" s="6" t="str">
        <f>H810&amp;" ("&amp;TEXT(C809,"m/dd")&amp;"~"&amp;TEXT(C815,"m/dd")&amp;")"</f>
        <v>03월 2주차 (3/11~3/17)</v>
      </c>
      <c r="J810" s="6" t="str">
        <f>A809&amp;"년 "&amp;WEEKNUM(C809,2)&amp;"주차"&amp;" ("&amp;TEXT(C809,"m/dd")&amp;"~"&amp;TEXT(C815,"m/dd")&amp;")"</f>
        <v>2024년 11주차 (3/11~3/17)</v>
      </c>
      <c r="K810" s="6">
        <f t="shared" si="104"/>
        <v>2024</v>
      </c>
      <c r="L810" s="6">
        <f t="shared" si="105"/>
        <v>11</v>
      </c>
    </row>
    <row r="811" spans="1:12" x14ac:dyDescent="0.45">
      <c r="A811" s="6">
        <f t="shared" si="108"/>
        <v>2024</v>
      </c>
      <c r="B811" s="6">
        <f t="shared" si="112"/>
        <v>3</v>
      </c>
      <c r="C811" s="7">
        <v>45364</v>
      </c>
      <c r="D811" s="6">
        <f t="shared" si="109"/>
        <v>3</v>
      </c>
      <c r="E811" s="6">
        <f t="shared" si="110"/>
        <v>11</v>
      </c>
      <c r="F811" s="6">
        <f t="shared" si="111"/>
        <v>2</v>
      </c>
      <c r="G811" s="6" t="str">
        <f t="shared" si="106"/>
        <v>03</v>
      </c>
      <c r="H811" s="6" t="str">
        <f t="shared" si="107"/>
        <v>03월 2주차</v>
      </c>
      <c r="I811" s="6" t="str">
        <f>H811&amp;" ("&amp;TEXT(C809,"m/dd")&amp;"~"&amp;TEXT(C815,"m/dd")&amp;")"</f>
        <v>03월 2주차 (3/11~3/17)</v>
      </c>
      <c r="J811" s="6" t="str">
        <f>A809&amp;"년 "&amp;WEEKNUM(C809,2)&amp;"주차"&amp;" ("&amp;TEXT(C809,"m/dd")&amp;"~"&amp;TEXT(C815,"m/dd")&amp;")"</f>
        <v>2024년 11주차 (3/11~3/17)</v>
      </c>
      <c r="K811" s="6">
        <f t="shared" si="104"/>
        <v>2024</v>
      </c>
      <c r="L811" s="6">
        <f t="shared" si="105"/>
        <v>11</v>
      </c>
    </row>
    <row r="812" spans="1:12" x14ac:dyDescent="0.45">
      <c r="A812" s="6">
        <f t="shared" si="108"/>
        <v>2024</v>
      </c>
      <c r="B812" s="6">
        <f t="shared" si="112"/>
        <v>3</v>
      </c>
      <c r="C812" s="7">
        <v>45365</v>
      </c>
      <c r="D812" s="6">
        <f t="shared" si="109"/>
        <v>4</v>
      </c>
      <c r="E812" s="6">
        <f t="shared" si="110"/>
        <v>11</v>
      </c>
      <c r="F812" s="6">
        <f t="shared" si="111"/>
        <v>2</v>
      </c>
      <c r="G812" s="6" t="str">
        <f t="shared" si="106"/>
        <v>03</v>
      </c>
      <c r="H812" s="6" t="str">
        <f t="shared" si="107"/>
        <v>03월 2주차</v>
      </c>
      <c r="I812" s="6" t="str">
        <f>H812&amp;" ("&amp;TEXT(C809,"m/dd")&amp;"~"&amp;TEXT(C815,"m/dd")&amp;")"</f>
        <v>03월 2주차 (3/11~3/17)</v>
      </c>
      <c r="J812" s="6" t="str">
        <f>A809&amp;"년 "&amp;WEEKNUM(C809,2)&amp;"주차"&amp;" ("&amp;TEXT(C809,"m/dd")&amp;"~"&amp;TEXT(C815,"m/dd")&amp;")"</f>
        <v>2024년 11주차 (3/11~3/17)</v>
      </c>
      <c r="K812" s="6">
        <f t="shared" si="104"/>
        <v>2024</v>
      </c>
      <c r="L812" s="6">
        <f t="shared" si="105"/>
        <v>11</v>
      </c>
    </row>
    <row r="813" spans="1:12" x14ac:dyDescent="0.45">
      <c r="A813" s="6">
        <f t="shared" si="108"/>
        <v>2024</v>
      </c>
      <c r="B813" s="6">
        <f t="shared" si="112"/>
        <v>3</v>
      </c>
      <c r="C813" s="7">
        <v>45366</v>
      </c>
      <c r="D813" s="6">
        <f t="shared" si="109"/>
        <v>5</v>
      </c>
      <c r="E813" s="6">
        <f t="shared" si="110"/>
        <v>11</v>
      </c>
      <c r="F813" s="6">
        <f t="shared" si="111"/>
        <v>2</v>
      </c>
      <c r="G813" s="6" t="str">
        <f t="shared" si="106"/>
        <v>03</v>
      </c>
      <c r="H813" s="6" t="str">
        <f t="shared" si="107"/>
        <v>03월 2주차</v>
      </c>
      <c r="I813" s="6" t="str">
        <f>H813&amp;" ("&amp;TEXT(C809,"m/dd")&amp;"~"&amp;TEXT(C815,"m/dd")&amp;")"</f>
        <v>03월 2주차 (3/11~3/17)</v>
      </c>
      <c r="J813" s="6" t="str">
        <f>A809&amp;"년 "&amp;WEEKNUM(C809,2)&amp;"주차"&amp;" ("&amp;TEXT(C809,"m/dd")&amp;"~"&amp;TEXT(C815,"m/dd")&amp;")"</f>
        <v>2024년 11주차 (3/11~3/17)</v>
      </c>
      <c r="K813" s="6">
        <f t="shared" si="104"/>
        <v>2024</v>
      </c>
      <c r="L813" s="6">
        <f t="shared" si="105"/>
        <v>11</v>
      </c>
    </row>
    <row r="814" spans="1:12" x14ac:dyDescent="0.45">
      <c r="A814" s="6">
        <f t="shared" si="108"/>
        <v>2024</v>
      </c>
      <c r="B814" s="6">
        <f t="shared" si="112"/>
        <v>3</v>
      </c>
      <c r="C814" s="7">
        <v>45367</v>
      </c>
      <c r="D814" s="6">
        <f t="shared" si="109"/>
        <v>6</v>
      </c>
      <c r="E814" s="6">
        <f t="shared" si="110"/>
        <v>11</v>
      </c>
      <c r="F814" s="6">
        <f t="shared" si="111"/>
        <v>2</v>
      </c>
      <c r="G814" s="6" t="str">
        <f t="shared" si="106"/>
        <v>03</v>
      </c>
      <c r="H814" s="6" t="str">
        <f t="shared" si="107"/>
        <v>03월 2주차</v>
      </c>
      <c r="I814" s="6" t="str">
        <f>H814&amp;" ("&amp;TEXT(C809,"m/dd")&amp;"~"&amp;TEXT(C815,"m/dd")&amp;")"</f>
        <v>03월 2주차 (3/11~3/17)</v>
      </c>
      <c r="J814" s="6" t="str">
        <f>A809&amp;"년 "&amp;WEEKNUM(C809,2)&amp;"주차"&amp;" ("&amp;TEXT(C809,"m/dd")&amp;"~"&amp;TEXT(C815,"m/dd")&amp;")"</f>
        <v>2024년 11주차 (3/11~3/17)</v>
      </c>
      <c r="K814" s="6">
        <f t="shared" si="104"/>
        <v>2024</v>
      </c>
      <c r="L814" s="6">
        <f t="shared" si="105"/>
        <v>11</v>
      </c>
    </row>
    <row r="815" spans="1:12" x14ac:dyDescent="0.45">
      <c r="A815" s="6">
        <f t="shared" si="108"/>
        <v>2024</v>
      </c>
      <c r="B815" s="6">
        <f t="shared" si="112"/>
        <v>3</v>
      </c>
      <c r="C815" s="7">
        <v>45368</v>
      </c>
      <c r="D815" s="6">
        <f t="shared" si="109"/>
        <v>7</v>
      </c>
      <c r="E815" s="6">
        <f t="shared" si="110"/>
        <v>11</v>
      </c>
      <c r="F815" s="6">
        <f t="shared" si="111"/>
        <v>2</v>
      </c>
      <c r="G815" s="6" t="str">
        <f t="shared" si="106"/>
        <v>03</v>
      </c>
      <c r="H815" s="6" t="str">
        <f t="shared" si="107"/>
        <v>03월 2주차</v>
      </c>
      <c r="I815" s="6" t="str">
        <f>H815&amp;" ("&amp;TEXT(C809,"m/dd")&amp;"~"&amp;TEXT(C815,"m/dd")&amp;")"</f>
        <v>03월 2주차 (3/11~3/17)</v>
      </c>
      <c r="J815" s="6" t="str">
        <f>A809&amp;"년 "&amp;WEEKNUM(C809,2)&amp;"주차"&amp;" ("&amp;TEXT(C809,"m/dd")&amp;"~"&amp;TEXT(C815,"m/dd")&amp;")"</f>
        <v>2024년 11주차 (3/11~3/17)</v>
      </c>
      <c r="K815" s="6">
        <f t="shared" ref="K815:K878" si="113">YEAR(C815)</f>
        <v>2024</v>
      </c>
      <c r="L815" s="6">
        <f t="shared" ref="L815:L878" si="114">WEEKNUM(C815,2)</f>
        <v>11</v>
      </c>
    </row>
    <row r="816" spans="1:12" x14ac:dyDescent="0.45">
      <c r="A816" s="6">
        <f t="shared" si="108"/>
        <v>2024</v>
      </c>
      <c r="B816" s="6">
        <f t="shared" si="112"/>
        <v>3</v>
      </c>
      <c r="C816" s="7">
        <v>45369</v>
      </c>
      <c r="D816" s="6">
        <f t="shared" si="109"/>
        <v>1</v>
      </c>
      <c r="E816" s="6">
        <f t="shared" si="110"/>
        <v>12</v>
      </c>
      <c r="F816" s="6">
        <f t="shared" si="111"/>
        <v>3</v>
      </c>
      <c r="G816" s="6" t="str">
        <f t="shared" si="106"/>
        <v>03</v>
      </c>
      <c r="H816" s="6" t="str">
        <f t="shared" si="107"/>
        <v>03월 3주차</v>
      </c>
      <c r="I816" s="6" t="str">
        <f>H816&amp;" ("&amp;TEXT(C816,"m/dd")&amp;"~"&amp;TEXT(C822,"m/dd")&amp;")"</f>
        <v>03월 3주차 (3/18~3/24)</v>
      </c>
      <c r="J816" s="6" t="str">
        <f>A816&amp;"년 "&amp;WEEKNUM(C816,2)&amp;"주차"&amp;" ("&amp;TEXT(C816,"m/dd")&amp;"~"&amp;TEXT(C822,"m/dd")&amp;")"</f>
        <v>2024년 12주차 (3/18~3/24)</v>
      </c>
      <c r="K816" s="6">
        <f t="shared" si="113"/>
        <v>2024</v>
      </c>
      <c r="L816" s="6">
        <f t="shared" si="114"/>
        <v>12</v>
      </c>
    </row>
    <row r="817" spans="1:12" x14ac:dyDescent="0.45">
      <c r="A817" s="6">
        <f t="shared" si="108"/>
        <v>2024</v>
      </c>
      <c r="B817" s="6">
        <f t="shared" si="112"/>
        <v>3</v>
      </c>
      <c r="C817" s="7">
        <v>45370</v>
      </c>
      <c r="D817" s="6">
        <f t="shared" si="109"/>
        <v>2</v>
      </c>
      <c r="E817" s="6">
        <f t="shared" si="110"/>
        <v>12</v>
      </c>
      <c r="F817" s="6">
        <f t="shared" si="111"/>
        <v>3</v>
      </c>
      <c r="G817" s="6" t="str">
        <f t="shared" si="106"/>
        <v>03</v>
      </c>
      <c r="H817" s="6" t="str">
        <f t="shared" si="107"/>
        <v>03월 3주차</v>
      </c>
      <c r="I817" s="6" t="str">
        <f>H817&amp;" ("&amp;TEXT(C816,"m/dd")&amp;"~"&amp;TEXT(C822,"m/dd")&amp;")"</f>
        <v>03월 3주차 (3/18~3/24)</v>
      </c>
      <c r="J817" s="6" t="str">
        <f>A816&amp;"년 "&amp;WEEKNUM(C816,2)&amp;"주차"&amp;" ("&amp;TEXT(C816,"m/dd")&amp;"~"&amp;TEXT(C822,"m/dd")&amp;")"</f>
        <v>2024년 12주차 (3/18~3/24)</v>
      </c>
      <c r="K817" s="6">
        <f t="shared" si="113"/>
        <v>2024</v>
      </c>
      <c r="L817" s="6">
        <f t="shared" si="114"/>
        <v>12</v>
      </c>
    </row>
    <row r="818" spans="1:12" x14ac:dyDescent="0.45">
      <c r="A818" s="6">
        <f t="shared" si="108"/>
        <v>2024</v>
      </c>
      <c r="B818" s="6">
        <f t="shared" si="112"/>
        <v>3</v>
      </c>
      <c r="C818" s="7">
        <v>45371</v>
      </c>
      <c r="D818" s="6">
        <f t="shared" si="109"/>
        <v>3</v>
      </c>
      <c r="E818" s="6">
        <f t="shared" si="110"/>
        <v>12</v>
      </c>
      <c r="F818" s="6">
        <f t="shared" si="111"/>
        <v>3</v>
      </c>
      <c r="G818" s="6" t="str">
        <f t="shared" si="106"/>
        <v>03</v>
      </c>
      <c r="H818" s="6" t="str">
        <f t="shared" si="107"/>
        <v>03월 3주차</v>
      </c>
      <c r="I818" s="6" t="str">
        <f>H818&amp;" ("&amp;TEXT(C816,"m/dd")&amp;"~"&amp;TEXT(C822,"m/dd")&amp;")"</f>
        <v>03월 3주차 (3/18~3/24)</v>
      </c>
      <c r="J818" s="6" t="str">
        <f>A816&amp;"년 "&amp;WEEKNUM(C816,2)&amp;"주차"&amp;" ("&amp;TEXT(C816,"m/dd")&amp;"~"&amp;TEXT(C822,"m/dd")&amp;")"</f>
        <v>2024년 12주차 (3/18~3/24)</v>
      </c>
      <c r="K818" s="6">
        <f t="shared" si="113"/>
        <v>2024</v>
      </c>
      <c r="L818" s="6">
        <f t="shared" si="114"/>
        <v>12</v>
      </c>
    </row>
    <row r="819" spans="1:12" x14ac:dyDescent="0.45">
      <c r="A819" s="6">
        <f t="shared" si="108"/>
        <v>2024</v>
      </c>
      <c r="B819" s="6">
        <f t="shared" si="112"/>
        <v>3</v>
      </c>
      <c r="C819" s="7">
        <v>45372</v>
      </c>
      <c r="D819" s="6">
        <f t="shared" si="109"/>
        <v>4</v>
      </c>
      <c r="E819" s="6">
        <f t="shared" si="110"/>
        <v>12</v>
      </c>
      <c r="F819" s="6">
        <f t="shared" si="111"/>
        <v>3</v>
      </c>
      <c r="G819" s="6" t="str">
        <f t="shared" si="106"/>
        <v>03</v>
      </c>
      <c r="H819" s="6" t="str">
        <f t="shared" si="107"/>
        <v>03월 3주차</v>
      </c>
      <c r="I819" s="6" t="str">
        <f>H819&amp;" ("&amp;TEXT(C816,"m/dd")&amp;"~"&amp;TEXT(C822,"m/dd")&amp;")"</f>
        <v>03월 3주차 (3/18~3/24)</v>
      </c>
      <c r="J819" s="6" t="str">
        <f>A816&amp;"년 "&amp;WEEKNUM(C816,2)&amp;"주차"&amp;" ("&amp;TEXT(C816,"m/dd")&amp;"~"&amp;TEXT(C822,"m/dd")&amp;")"</f>
        <v>2024년 12주차 (3/18~3/24)</v>
      </c>
      <c r="K819" s="6">
        <f t="shared" si="113"/>
        <v>2024</v>
      </c>
      <c r="L819" s="6">
        <f t="shared" si="114"/>
        <v>12</v>
      </c>
    </row>
    <row r="820" spans="1:12" x14ac:dyDescent="0.45">
      <c r="A820" s="6">
        <f t="shared" si="108"/>
        <v>2024</v>
      </c>
      <c r="B820" s="6">
        <f t="shared" si="112"/>
        <v>3</v>
      </c>
      <c r="C820" s="7">
        <v>45373</v>
      </c>
      <c r="D820" s="6">
        <f t="shared" si="109"/>
        <v>5</v>
      </c>
      <c r="E820" s="6">
        <f t="shared" si="110"/>
        <v>12</v>
      </c>
      <c r="F820" s="6">
        <f t="shared" si="111"/>
        <v>3</v>
      </c>
      <c r="G820" s="6" t="str">
        <f t="shared" si="106"/>
        <v>03</v>
      </c>
      <c r="H820" s="6" t="str">
        <f t="shared" si="107"/>
        <v>03월 3주차</v>
      </c>
      <c r="I820" s="6" t="str">
        <f>H820&amp;" ("&amp;TEXT(C816,"m/dd")&amp;"~"&amp;TEXT(C822,"m/dd")&amp;")"</f>
        <v>03월 3주차 (3/18~3/24)</v>
      </c>
      <c r="J820" s="6" t="str">
        <f>A816&amp;"년 "&amp;WEEKNUM(C816,2)&amp;"주차"&amp;" ("&amp;TEXT(C816,"m/dd")&amp;"~"&amp;TEXT(C822,"m/dd")&amp;")"</f>
        <v>2024년 12주차 (3/18~3/24)</v>
      </c>
      <c r="K820" s="6">
        <f t="shared" si="113"/>
        <v>2024</v>
      </c>
      <c r="L820" s="6">
        <f t="shared" si="114"/>
        <v>12</v>
      </c>
    </row>
    <row r="821" spans="1:12" x14ac:dyDescent="0.45">
      <c r="A821" s="6">
        <f t="shared" si="108"/>
        <v>2024</v>
      </c>
      <c r="B821" s="6">
        <f t="shared" si="112"/>
        <v>3</v>
      </c>
      <c r="C821" s="7">
        <v>45374</v>
      </c>
      <c r="D821" s="6">
        <f t="shared" si="109"/>
        <v>6</v>
      </c>
      <c r="E821" s="6">
        <f t="shared" si="110"/>
        <v>12</v>
      </c>
      <c r="F821" s="6">
        <f t="shared" si="111"/>
        <v>3</v>
      </c>
      <c r="G821" s="6" t="str">
        <f t="shared" si="106"/>
        <v>03</v>
      </c>
      <c r="H821" s="6" t="str">
        <f t="shared" si="107"/>
        <v>03월 3주차</v>
      </c>
      <c r="I821" s="6" t="str">
        <f>H821&amp;" ("&amp;TEXT(C816,"m/dd")&amp;"~"&amp;TEXT(C822,"m/dd")&amp;")"</f>
        <v>03월 3주차 (3/18~3/24)</v>
      </c>
      <c r="J821" s="6" t="str">
        <f>A816&amp;"년 "&amp;WEEKNUM(C816,2)&amp;"주차"&amp;" ("&amp;TEXT(C816,"m/dd")&amp;"~"&amp;TEXT(C822,"m/dd")&amp;")"</f>
        <v>2024년 12주차 (3/18~3/24)</v>
      </c>
      <c r="K821" s="6">
        <f t="shared" si="113"/>
        <v>2024</v>
      </c>
      <c r="L821" s="6">
        <f t="shared" si="114"/>
        <v>12</v>
      </c>
    </row>
    <row r="822" spans="1:12" x14ac:dyDescent="0.45">
      <c r="A822" s="6">
        <f t="shared" si="108"/>
        <v>2024</v>
      </c>
      <c r="B822" s="6">
        <f t="shared" si="112"/>
        <v>3</v>
      </c>
      <c r="C822" s="7">
        <v>45375</v>
      </c>
      <c r="D822" s="6">
        <f t="shared" si="109"/>
        <v>7</v>
      </c>
      <c r="E822" s="6">
        <f t="shared" si="110"/>
        <v>12</v>
      </c>
      <c r="F822" s="6">
        <f t="shared" si="111"/>
        <v>3</v>
      </c>
      <c r="G822" s="6" t="str">
        <f t="shared" si="106"/>
        <v>03</v>
      </c>
      <c r="H822" s="6" t="str">
        <f t="shared" si="107"/>
        <v>03월 3주차</v>
      </c>
      <c r="I822" s="6" t="str">
        <f>H822&amp;" ("&amp;TEXT(C816,"m/dd")&amp;"~"&amp;TEXT(C822,"m/dd")&amp;")"</f>
        <v>03월 3주차 (3/18~3/24)</v>
      </c>
      <c r="J822" s="6" t="str">
        <f>A816&amp;"년 "&amp;WEEKNUM(C816,2)&amp;"주차"&amp;" ("&amp;TEXT(C816,"m/dd")&amp;"~"&amp;TEXT(C822,"m/dd")&amp;")"</f>
        <v>2024년 12주차 (3/18~3/24)</v>
      </c>
      <c r="K822" s="6">
        <f t="shared" si="113"/>
        <v>2024</v>
      </c>
      <c r="L822" s="6">
        <f t="shared" si="114"/>
        <v>12</v>
      </c>
    </row>
    <row r="823" spans="1:12" x14ac:dyDescent="0.45">
      <c r="A823" s="6">
        <f t="shared" si="108"/>
        <v>2024</v>
      </c>
      <c r="B823" s="6">
        <f t="shared" si="112"/>
        <v>3</v>
      </c>
      <c r="C823" s="7">
        <v>45376</v>
      </c>
      <c r="D823" s="6">
        <f t="shared" si="109"/>
        <v>1</v>
      </c>
      <c r="E823" s="6">
        <f t="shared" si="110"/>
        <v>13</v>
      </c>
      <c r="F823" s="6">
        <f t="shared" si="111"/>
        <v>4</v>
      </c>
      <c r="G823" s="6" t="str">
        <f t="shared" si="106"/>
        <v>03</v>
      </c>
      <c r="H823" s="6" t="str">
        <f t="shared" si="107"/>
        <v>03월 4주차</v>
      </c>
      <c r="I823" s="6" t="str">
        <f>H823&amp;" ("&amp;TEXT(C823,"m/dd")&amp;"~"&amp;TEXT(C829,"m/dd")&amp;")"</f>
        <v>03월 4주차 (3/25~3/31)</v>
      </c>
      <c r="J823" s="6" t="str">
        <f>A823&amp;"년 "&amp;WEEKNUM(C823,2)&amp;"주차"&amp;" ("&amp;TEXT(C823,"m/dd")&amp;"~"&amp;TEXT(C829,"m/dd")&amp;")"</f>
        <v>2024년 13주차 (3/25~3/31)</v>
      </c>
      <c r="K823" s="6">
        <f t="shared" si="113"/>
        <v>2024</v>
      </c>
      <c r="L823" s="6">
        <f t="shared" si="114"/>
        <v>13</v>
      </c>
    </row>
    <row r="824" spans="1:12" x14ac:dyDescent="0.45">
      <c r="A824" s="6">
        <f t="shared" si="108"/>
        <v>2024</v>
      </c>
      <c r="B824" s="6">
        <f t="shared" si="112"/>
        <v>3</v>
      </c>
      <c r="C824" s="7">
        <v>45377</v>
      </c>
      <c r="D824" s="6">
        <f t="shared" si="109"/>
        <v>2</v>
      </c>
      <c r="E824" s="6">
        <f t="shared" si="110"/>
        <v>13</v>
      </c>
      <c r="F824" s="6">
        <f t="shared" si="111"/>
        <v>4</v>
      </c>
      <c r="G824" s="6" t="str">
        <f t="shared" si="106"/>
        <v>03</v>
      </c>
      <c r="H824" s="6" t="str">
        <f t="shared" si="107"/>
        <v>03월 4주차</v>
      </c>
      <c r="I824" s="6" t="str">
        <f>H824&amp;" ("&amp;TEXT(C823,"m/dd")&amp;"~"&amp;TEXT(C829,"m/dd")&amp;")"</f>
        <v>03월 4주차 (3/25~3/31)</v>
      </c>
      <c r="J824" s="6" t="str">
        <f>A823&amp;"년 "&amp;WEEKNUM(C823,2)&amp;"주차"&amp;" ("&amp;TEXT(C823,"m/dd")&amp;"~"&amp;TEXT(C829,"m/dd")&amp;")"</f>
        <v>2024년 13주차 (3/25~3/31)</v>
      </c>
      <c r="K824" s="6">
        <f t="shared" si="113"/>
        <v>2024</v>
      </c>
      <c r="L824" s="6">
        <f t="shared" si="114"/>
        <v>13</v>
      </c>
    </row>
    <row r="825" spans="1:12" x14ac:dyDescent="0.45">
      <c r="A825" s="6">
        <f t="shared" si="108"/>
        <v>2024</v>
      </c>
      <c r="B825" s="6">
        <f t="shared" si="112"/>
        <v>3</v>
      </c>
      <c r="C825" s="7">
        <v>45378</v>
      </c>
      <c r="D825" s="6">
        <f t="shared" si="109"/>
        <v>3</v>
      </c>
      <c r="E825" s="6">
        <f t="shared" si="110"/>
        <v>13</v>
      </c>
      <c r="F825" s="6">
        <f t="shared" si="111"/>
        <v>4</v>
      </c>
      <c r="G825" s="6" t="str">
        <f t="shared" si="106"/>
        <v>03</v>
      </c>
      <c r="H825" s="6" t="str">
        <f t="shared" si="107"/>
        <v>03월 4주차</v>
      </c>
      <c r="I825" s="6" t="str">
        <f>H825&amp;" ("&amp;TEXT(C823,"m/dd")&amp;"~"&amp;TEXT(C829,"m/dd")&amp;")"</f>
        <v>03월 4주차 (3/25~3/31)</v>
      </c>
      <c r="J825" s="6" t="str">
        <f>A823&amp;"년 "&amp;WEEKNUM(C823,2)&amp;"주차"&amp;" ("&amp;TEXT(C823,"m/dd")&amp;"~"&amp;TEXT(C829,"m/dd")&amp;")"</f>
        <v>2024년 13주차 (3/25~3/31)</v>
      </c>
      <c r="K825" s="6">
        <f t="shared" si="113"/>
        <v>2024</v>
      </c>
      <c r="L825" s="6">
        <f t="shared" si="114"/>
        <v>13</v>
      </c>
    </row>
    <row r="826" spans="1:12" x14ac:dyDescent="0.45">
      <c r="A826" s="6">
        <f t="shared" si="108"/>
        <v>2024</v>
      </c>
      <c r="B826" s="6">
        <f t="shared" si="112"/>
        <v>3</v>
      </c>
      <c r="C826" s="7">
        <v>45379</v>
      </c>
      <c r="D826" s="6">
        <f t="shared" si="109"/>
        <v>4</v>
      </c>
      <c r="E826" s="6">
        <f t="shared" si="110"/>
        <v>13</v>
      </c>
      <c r="F826" s="6">
        <f t="shared" si="111"/>
        <v>4</v>
      </c>
      <c r="G826" s="6" t="str">
        <f t="shared" si="106"/>
        <v>03</v>
      </c>
      <c r="H826" s="6" t="str">
        <f t="shared" si="107"/>
        <v>03월 4주차</v>
      </c>
      <c r="I826" s="6" t="str">
        <f>H826&amp;" ("&amp;TEXT(C823,"m/dd")&amp;"~"&amp;TEXT(C829,"m/dd")&amp;")"</f>
        <v>03월 4주차 (3/25~3/31)</v>
      </c>
      <c r="J826" s="6" t="str">
        <f>A823&amp;"년 "&amp;WEEKNUM(C823,2)&amp;"주차"&amp;" ("&amp;TEXT(C823,"m/dd")&amp;"~"&amp;TEXT(C829,"m/dd")&amp;")"</f>
        <v>2024년 13주차 (3/25~3/31)</v>
      </c>
      <c r="K826" s="6">
        <f t="shared" si="113"/>
        <v>2024</v>
      </c>
      <c r="L826" s="6">
        <f t="shared" si="114"/>
        <v>13</v>
      </c>
    </row>
    <row r="827" spans="1:12" x14ac:dyDescent="0.45">
      <c r="A827" s="6">
        <f t="shared" si="108"/>
        <v>2024</v>
      </c>
      <c r="B827" s="6">
        <f t="shared" si="112"/>
        <v>3</v>
      </c>
      <c r="C827" s="7">
        <v>45380</v>
      </c>
      <c r="D827" s="6">
        <f t="shared" si="109"/>
        <v>5</v>
      </c>
      <c r="E827" s="6">
        <f t="shared" si="110"/>
        <v>13</v>
      </c>
      <c r="F827" s="6">
        <f t="shared" si="111"/>
        <v>4</v>
      </c>
      <c r="G827" s="6" t="str">
        <f t="shared" si="106"/>
        <v>03</v>
      </c>
      <c r="H827" s="6" t="str">
        <f t="shared" si="107"/>
        <v>03월 4주차</v>
      </c>
      <c r="I827" s="6" t="str">
        <f>H827&amp;" ("&amp;TEXT(C823,"m/dd")&amp;"~"&amp;TEXT(C829,"m/dd")&amp;")"</f>
        <v>03월 4주차 (3/25~3/31)</v>
      </c>
      <c r="J827" s="6" t="str">
        <f>A823&amp;"년 "&amp;WEEKNUM(C823,2)&amp;"주차"&amp;" ("&amp;TEXT(C823,"m/dd")&amp;"~"&amp;TEXT(C829,"m/dd")&amp;")"</f>
        <v>2024년 13주차 (3/25~3/31)</v>
      </c>
      <c r="K827" s="6">
        <f t="shared" si="113"/>
        <v>2024</v>
      </c>
      <c r="L827" s="6">
        <f t="shared" si="114"/>
        <v>13</v>
      </c>
    </row>
    <row r="828" spans="1:12" x14ac:dyDescent="0.45">
      <c r="A828" s="6">
        <f t="shared" si="108"/>
        <v>2024</v>
      </c>
      <c r="B828" s="6">
        <f t="shared" si="112"/>
        <v>3</v>
      </c>
      <c r="C828" s="7">
        <v>45381</v>
      </c>
      <c r="D828" s="6">
        <f t="shared" si="109"/>
        <v>6</v>
      </c>
      <c r="E828" s="6">
        <f t="shared" si="110"/>
        <v>13</v>
      </c>
      <c r="F828" s="6">
        <f t="shared" si="111"/>
        <v>4</v>
      </c>
      <c r="G828" s="6" t="str">
        <f t="shared" si="106"/>
        <v>03</v>
      </c>
      <c r="H828" s="6" t="str">
        <f t="shared" si="107"/>
        <v>03월 4주차</v>
      </c>
      <c r="I828" s="6" t="str">
        <f>H828&amp;" ("&amp;TEXT(C823,"m/dd")&amp;"~"&amp;TEXT(C829,"m/dd")&amp;")"</f>
        <v>03월 4주차 (3/25~3/31)</v>
      </c>
      <c r="J828" s="6" t="str">
        <f>A823&amp;"년 "&amp;WEEKNUM(C823,2)&amp;"주차"&amp;" ("&amp;TEXT(C823,"m/dd")&amp;"~"&amp;TEXT(C829,"m/dd")&amp;")"</f>
        <v>2024년 13주차 (3/25~3/31)</v>
      </c>
      <c r="K828" s="6">
        <f t="shared" si="113"/>
        <v>2024</v>
      </c>
      <c r="L828" s="6">
        <f t="shared" si="114"/>
        <v>13</v>
      </c>
    </row>
    <row r="829" spans="1:12" x14ac:dyDescent="0.45">
      <c r="A829" s="6">
        <f t="shared" si="108"/>
        <v>2024</v>
      </c>
      <c r="B829" s="6">
        <f t="shared" si="112"/>
        <v>3</v>
      </c>
      <c r="C829" s="7">
        <v>45382</v>
      </c>
      <c r="D829" s="6">
        <f t="shared" si="109"/>
        <v>7</v>
      </c>
      <c r="E829" s="6">
        <f t="shared" si="110"/>
        <v>13</v>
      </c>
      <c r="F829" s="6">
        <f t="shared" si="111"/>
        <v>4</v>
      </c>
      <c r="G829" s="6" t="str">
        <f t="shared" si="106"/>
        <v>03</v>
      </c>
      <c r="H829" s="6" t="str">
        <f t="shared" si="107"/>
        <v>03월 4주차</v>
      </c>
      <c r="I829" s="6" t="str">
        <f>H829&amp;" ("&amp;TEXT(C823,"m/dd")&amp;"~"&amp;TEXT(C829,"m/dd")&amp;")"</f>
        <v>03월 4주차 (3/25~3/31)</v>
      </c>
      <c r="J829" s="6" t="str">
        <f>A823&amp;"년 "&amp;WEEKNUM(C823,2)&amp;"주차"&amp;" ("&amp;TEXT(C823,"m/dd")&amp;"~"&amp;TEXT(C829,"m/dd")&amp;")"</f>
        <v>2024년 13주차 (3/25~3/31)</v>
      </c>
      <c r="K829" s="6">
        <f t="shared" si="113"/>
        <v>2024</v>
      </c>
      <c r="L829" s="6">
        <f t="shared" si="114"/>
        <v>13</v>
      </c>
    </row>
    <row r="830" spans="1:12" x14ac:dyDescent="0.45">
      <c r="A830" s="6">
        <f t="shared" si="108"/>
        <v>2024</v>
      </c>
      <c r="B830" s="6">
        <f t="shared" si="112"/>
        <v>4</v>
      </c>
      <c r="C830" s="7">
        <v>45383</v>
      </c>
      <c r="D830" s="6">
        <f t="shared" si="109"/>
        <v>1</v>
      </c>
      <c r="E830" s="6">
        <f t="shared" si="110"/>
        <v>14</v>
      </c>
      <c r="F830" s="6">
        <f t="shared" si="111"/>
        <v>1</v>
      </c>
      <c r="G830" s="6" t="str">
        <f t="shared" si="106"/>
        <v>04</v>
      </c>
      <c r="H830" s="6" t="str">
        <f t="shared" si="107"/>
        <v>04월 1주차</v>
      </c>
      <c r="I830" s="6" t="str">
        <f>H830&amp;" ("&amp;TEXT(C830,"m/dd")&amp;"~"&amp;TEXT(C836,"m/dd")&amp;")"</f>
        <v>04월 1주차 (4/01~4/07)</v>
      </c>
      <c r="J830" s="6" t="str">
        <f>A830&amp;"년 "&amp;WEEKNUM(C830,2)&amp;"주차"&amp;" ("&amp;TEXT(C830,"m/dd")&amp;"~"&amp;TEXT(C836,"m/dd")&amp;")"</f>
        <v>2024년 14주차 (4/01~4/07)</v>
      </c>
      <c r="K830" s="6">
        <f t="shared" si="113"/>
        <v>2024</v>
      </c>
      <c r="L830" s="6">
        <f t="shared" si="114"/>
        <v>14</v>
      </c>
    </row>
    <row r="831" spans="1:12" x14ac:dyDescent="0.45">
      <c r="A831" s="6">
        <f t="shared" si="108"/>
        <v>2024</v>
      </c>
      <c r="B831" s="6">
        <f t="shared" si="112"/>
        <v>4</v>
      </c>
      <c r="C831" s="7">
        <v>45384</v>
      </c>
      <c r="D831" s="6">
        <f t="shared" si="109"/>
        <v>2</v>
      </c>
      <c r="E831" s="6">
        <f t="shared" si="110"/>
        <v>14</v>
      </c>
      <c r="F831" s="6">
        <f t="shared" si="111"/>
        <v>1</v>
      </c>
      <c r="G831" s="6" t="str">
        <f t="shared" si="106"/>
        <v>04</v>
      </c>
      <c r="H831" s="6" t="str">
        <f t="shared" si="107"/>
        <v>04월 1주차</v>
      </c>
      <c r="I831" s="6" t="str">
        <f>H831&amp;" ("&amp;TEXT(C830,"m/dd")&amp;"~"&amp;TEXT(C836,"m/dd")&amp;")"</f>
        <v>04월 1주차 (4/01~4/07)</v>
      </c>
      <c r="J831" s="6" t="str">
        <f>A830&amp;"년 "&amp;WEEKNUM(C830,2)&amp;"주차"&amp;" ("&amp;TEXT(C830,"m/dd")&amp;"~"&amp;TEXT(C836,"m/dd")&amp;")"</f>
        <v>2024년 14주차 (4/01~4/07)</v>
      </c>
      <c r="K831" s="6">
        <f t="shared" si="113"/>
        <v>2024</v>
      </c>
      <c r="L831" s="6">
        <f t="shared" si="114"/>
        <v>14</v>
      </c>
    </row>
    <row r="832" spans="1:12" x14ac:dyDescent="0.45">
      <c r="A832" s="6">
        <f t="shared" si="108"/>
        <v>2024</v>
      </c>
      <c r="B832" s="6">
        <f t="shared" si="112"/>
        <v>4</v>
      </c>
      <c r="C832" s="7">
        <v>45385</v>
      </c>
      <c r="D832" s="6">
        <f t="shared" si="109"/>
        <v>3</v>
      </c>
      <c r="E832" s="6">
        <f t="shared" si="110"/>
        <v>14</v>
      </c>
      <c r="F832" s="6">
        <f t="shared" si="111"/>
        <v>1</v>
      </c>
      <c r="G832" s="6" t="str">
        <f t="shared" si="106"/>
        <v>04</v>
      </c>
      <c r="H832" s="6" t="str">
        <f t="shared" si="107"/>
        <v>04월 1주차</v>
      </c>
      <c r="I832" s="6" t="str">
        <f>H832&amp;" ("&amp;TEXT(C830,"m/dd")&amp;"~"&amp;TEXT(C836,"m/dd")&amp;")"</f>
        <v>04월 1주차 (4/01~4/07)</v>
      </c>
      <c r="J832" s="6" t="str">
        <f>A830&amp;"년 "&amp;WEEKNUM(C830,2)&amp;"주차"&amp;" ("&amp;TEXT(C830,"m/dd")&amp;"~"&amp;TEXT(C836,"m/dd")&amp;")"</f>
        <v>2024년 14주차 (4/01~4/07)</v>
      </c>
      <c r="K832" s="6">
        <f t="shared" si="113"/>
        <v>2024</v>
      </c>
      <c r="L832" s="6">
        <f t="shared" si="114"/>
        <v>14</v>
      </c>
    </row>
    <row r="833" spans="1:12" x14ac:dyDescent="0.45">
      <c r="A833" s="6">
        <f t="shared" si="108"/>
        <v>2024</v>
      </c>
      <c r="B833" s="6">
        <f t="shared" si="112"/>
        <v>4</v>
      </c>
      <c r="C833" s="7">
        <v>45386</v>
      </c>
      <c r="D833" s="6">
        <f t="shared" si="109"/>
        <v>4</v>
      </c>
      <c r="E833" s="6">
        <f t="shared" si="110"/>
        <v>14</v>
      </c>
      <c r="F833" s="6">
        <f t="shared" si="111"/>
        <v>1</v>
      </c>
      <c r="G833" s="6" t="str">
        <f t="shared" si="106"/>
        <v>04</v>
      </c>
      <c r="H833" s="6" t="str">
        <f t="shared" si="107"/>
        <v>04월 1주차</v>
      </c>
      <c r="I833" s="6" t="str">
        <f>H833&amp;" ("&amp;TEXT(C830,"m/dd")&amp;"~"&amp;TEXT(C836,"m/dd")&amp;")"</f>
        <v>04월 1주차 (4/01~4/07)</v>
      </c>
      <c r="J833" s="6" t="str">
        <f>A830&amp;"년 "&amp;WEEKNUM(C830,2)&amp;"주차"&amp;" ("&amp;TEXT(C830,"m/dd")&amp;"~"&amp;TEXT(C836,"m/dd")&amp;")"</f>
        <v>2024년 14주차 (4/01~4/07)</v>
      </c>
      <c r="K833" s="6">
        <f t="shared" si="113"/>
        <v>2024</v>
      </c>
      <c r="L833" s="6">
        <f t="shared" si="114"/>
        <v>14</v>
      </c>
    </row>
    <row r="834" spans="1:12" x14ac:dyDescent="0.45">
      <c r="A834" s="6">
        <f t="shared" si="108"/>
        <v>2024</v>
      </c>
      <c r="B834" s="6">
        <f t="shared" si="112"/>
        <v>4</v>
      </c>
      <c r="C834" s="7">
        <v>45387</v>
      </c>
      <c r="D834" s="6">
        <f t="shared" si="109"/>
        <v>5</v>
      </c>
      <c r="E834" s="6">
        <f t="shared" si="110"/>
        <v>14</v>
      </c>
      <c r="F834" s="6">
        <f t="shared" si="111"/>
        <v>1</v>
      </c>
      <c r="G834" s="6" t="str">
        <f t="shared" si="106"/>
        <v>04</v>
      </c>
      <c r="H834" s="6" t="str">
        <f t="shared" si="107"/>
        <v>04월 1주차</v>
      </c>
      <c r="I834" s="6" t="str">
        <f>H834&amp;" ("&amp;TEXT(C830,"m/dd")&amp;"~"&amp;TEXT(C836,"m/dd")&amp;")"</f>
        <v>04월 1주차 (4/01~4/07)</v>
      </c>
      <c r="J834" s="6" t="str">
        <f>A830&amp;"년 "&amp;WEEKNUM(C830,2)&amp;"주차"&amp;" ("&amp;TEXT(C830,"m/dd")&amp;"~"&amp;TEXT(C836,"m/dd")&amp;")"</f>
        <v>2024년 14주차 (4/01~4/07)</v>
      </c>
      <c r="K834" s="6">
        <f t="shared" si="113"/>
        <v>2024</v>
      </c>
      <c r="L834" s="6">
        <f t="shared" si="114"/>
        <v>14</v>
      </c>
    </row>
    <row r="835" spans="1:12" x14ac:dyDescent="0.45">
      <c r="A835" s="6">
        <f t="shared" si="108"/>
        <v>2024</v>
      </c>
      <c r="B835" s="6">
        <f t="shared" si="112"/>
        <v>4</v>
      </c>
      <c r="C835" s="7">
        <v>45388</v>
      </c>
      <c r="D835" s="6">
        <f t="shared" si="109"/>
        <v>6</v>
      </c>
      <c r="E835" s="6">
        <f t="shared" si="110"/>
        <v>14</v>
      </c>
      <c r="F835" s="6">
        <f t="shared" si="111"/>
        <v>1</v>
      </c>
      <c r="G835" s="6" t="str">
        <f t="shared" si="106"/>
        <v>04</v>
      </c>
      <c r="H835" s="6" t="str">
        <f t="shared" si="107"/>
        <v>04월 1주차</v>
      </c>
      <c r="I835" s="6" t="str">
        <f>H835&amp;" ("&amp;TEXT(C830,"m/dd")&amp;"~"&amp;TEXT(C836,"m/dd")&amp;")"</f>
        <v>04월 1주차 (4/01~4/07)</v>
      </c>
      <c r="J835" s="6" t="str">
        <f>A830&amp;"년 "&amp;WEEKNUM(C830,2)&amp;"주차"&amp;" ("&amp;TEXT(C830,"m/dd")&amp;"~"&amp;TEXT(C836,"m/dd")&amp;")"</f>
        <v>2024년 14주차 (4/01~4/07)</v>
      </c>
      <c r="K835" s="6">
        <f t="shared" si="113"/>
        <v>2024</v>
      </c>
      <c r="L835" s="6">
        <f t="shared" si="114"/>
        <v>14</v>
      </c>
    </row>
    <row r="836" spans="1:12" x14ac:dyDescent="0.45">
      <c r="A836" s="6">
        <f t="shared" si="108"/>
        <v>2024</v>
      </c>
      <c r="B836" s="6">
        <f t="shared" si="112"/>
        <v>4</v>
      </c>
      <c r="C836" s="7">
        <v>45389</v>
      </c>
      <c r="D836" s="6">
        <f t="shared" si="109"/>
        <v>7</v>
      </c>
      <c r="E836" s="6">
        <f t="shared" si="110"/>
        <v>14</v>
      </c>
      <c r="F836" s="6">
        <f t="shared" si="111"/>
        <v>1</v>
      </c>
      <c r="G836" s="6" t="str">
        <f t="shared" si="106"/>
        <v>04</v>
      </c>
      <c r="H836" s="6" t="str">
        <f t="shared" si="107"/>
        <v>04월 1주차</v>
      </c>
      <c r="I836" s="6" t="str">
        <f>H836&amp;" ("&amp;TEXT(C830,"m/dd")&amp;"~"&amp;TEXT(C836,"m/dd")&amp;")"</f>
        <v>04월 1주차 (4/01~4/07)</v>
      </c>
      <c r="J836" s="6" t="str">
        <f>A830&amp;"년 "&amp;WEEKNUM(C830,2)&amp;"주차"&amp;" ("&amp;TEXT(C830,"m/dd")&amp;"~"&amp;TEXT(C836,"m/dd")&amp;")"</f>
        <v>2024년 14주차 (4/01~4/07)</v>
      </c>
      <c r="K836" s="6">
        <f t="shared" si="113"/>
        <v>2024</v>
      </c>
      <c r="L836" s="6">
        <f t="shared" si="114"/>
        <v>14</v>
      </c>
    </row>
    <row r="837" spans="1:12" x14ac:dyDescent="0.45">
      <c r="A837" s="6">
        <f t="shared" si="108"/>
        <v>2024</v>
      </c>
      <c r="B837" s="6">
        <f t="shared" si="112"/>
        <v>4</v>
      </c>
      <c r="C837" s="7">
        <v>45390</v>
      </c>
      <c r="D837" s="6">
        <f t="shared" si="109"/>
        <v>1</v>
      </c>
      <c r="E837" s="6">
        <f t="shared" si="110"/>
        <v>15</v>
      </c>
      <c r="F837" s="6">
        <f t="shared" si="111"/>
        <v>2</v>
      </c>
      <c r="G837" s="6" t="str">
        <f t="shared" si="106"/>
        <v>04</v>
      </c>
      <c r="H837" s="6" t="str">
        <f t="shared" si="107"/>
        <v>04월 2주차</v>
      </c>
      <c r="I837" s="6" t="str">
        <f>H837&amp;" ("&amp;TEXT(C837,"m/dd")&amp;"~"&amp;TEXT(C843,"m/dd")&amp;")"</f>
        <v>04월 2주차 (4/08~4/14)</v>
      </c>
      <c r="J837" s="6" t="str">
        <f>A837&amp;"년 "&amp;WEEKNUM(C837,2)&amp;"주차"&amp;" ("&amp;TEXT(C837,"m/dd")&amp;"~"&amp;TEXT(C843,"m/dd")&amp;")"</f>
        <v>2024년 15주차 (4/08~4/14)</v>
      </c>
      <c r="K837" s="6">
        <f t="shared" si="113"/>
        <v>2024</v>
      </c>
      <c r="L837" s="6">
        <f t="shared" si="114"/>
        <v>15</v>
      </c>
    </row>
    <row r="838" spans="1:12" x14ac:dyDescent="0.45">
      <c r="A838" s="6">
        <f t="shared" si="108"/>
        <v>2024</v>
      </c>
      <c r="B838" s="6">
        <f t="shared" si="112"/>
        <v>4</v>
      </c>
      <c r="C838" s="7">
        <v>45391</v>
      </c>
      <c r="D838" s="6">
        <f t="shared" si="109"/>
        <v>2</v>
      </c>
      <c r="E838" s="6">
        <f t="shared" si="110"/>
        <v>15</v>
      </c>
      <c r="F838" s="6">
        <f t="shared" si="111"/>
        <v>2</v>
      </c>
      <c r="G838" s="6" t="str">
        <f t="shared" si="106"/>
        <v>04</v>
      </c>
      <c r="H838" s="6" t="str">
        <f t="shared" si="107"/>
        <v>04월 2주차</v>
      </c>
      <c r="I838" s="6" t="str">
        <f>H838&amp;" ("&amp;TEXT(C837,"m/dd")&amp;"~"&amp;TEXT(C843,"m/dd")&amp;")"</f>
        <v>04월 2주차 (4/08~4/14)</v>
      </c>
      <c r="J838" s="6" t="str">
        <f>A837&amp;"년 "&amp;WEEKNUM(C837,2)&amp;"주차"&amp;" ("&amp;TEXT(C837,"m/dd")&amp;"~"&amp;TEXT(C843,"m/dd")&amp;")"</f>
        <v>2024년 15주차 (4/08~4/14)</v>
      </c>
      <c r="K838" s="6">
        <f t="shared" si="113"/>
        <v>2024</v>
      </c>
      <c r="L838" s="6">
        <f t="shared" si="114"/>
        <v>15</v>
      </c>
    </row>
    <row r="839" spans="1:12" x14ac:dyDescent="0.45">
      <c r="A839" s="6">
        <f t="shared" si="108"/>
        <v>2024</v>
      </c>
      <c r="B839" s="6">
        <f t="shared" si="112"/>
        <v>4</v>
      </c>
      <c r="C839" s="7">
        <v>45392</v>
      </c>
      <c r="D839" s="6">
        <f t="shared" si="109"/>
        <v>3</v>
      </c>
      <c r="E839" s="6">
        <f t="shared" si="110"/>
        <v>15</v>
      </c>
      <c r="F839" s="6">
        <f t="shared" si="111"/>
        <v>2</v>
      </c>
      <c r="G839" s="6" t="str">
        <f t="shared" si="106"/>
        <v>04</v>
      </c>
      <c r="H839" s="6" t="str">
        <f t="shared" si="107"/>
        <v>04월 2주차</v>
      </c>
      <c r="I839" s="6" t="str">
        <f>H839&amp;" ("&amp;TEXT(C837,"m/dd")&amp;"~"&amp;TEXT(C843,"m/dd")&amp;")"</f>
        <v>04월 2주차 (4/08~4/14)</v>
      </c>
      <c r="J839" s="6" t="str">
        <f>A837&amp;"년 "&amp;WEEKNUM(C837,2)&amp;"주차"&amp;" ("&amp;TEXT(C837,"m/dd")&amp;"~"&amp;TEXT(C843,"m/dd")&amp;")"</f>
        <v>2024년 15주차 (4/08~4/14)</v>
      </c>
      <c r="K839" s="6">
        <f t="shared" si="113"/>
        <v>2024</v>
      </c>
      <c r="L839" s="6">
        <f t="shared" si="114"/>
        <v>15</v>
      </c>
    </row>
    <row r="840" spans="1:12" x14ac:dyDescent="0.45">
      <c r="A840" s="6">
        <f t="shared" si="108"/>
        <v>2024</v>
      </c>
      <c r="B840" s="6">
        <f t="shared" si="112"/>
        <v>4</v>
      </c>
      <c r="C840" s="7">
        <v>45393</v>
      </c>
      <c r="D840" s="6">
        <f t="shared" si="109"/>
        <v>4</v>
      </c>
      <c r="E840" s="6">
        <f t="shared" si="110"/>
        <v>15</v>
      </c>
      <c r="F840" s="6">
        <f t="shared" si="111"/>
        <v>2</v>
      </c>
      <c r="G840" s="6" t="str">
        <f t="shared" si="106"/>
        <v>04</v>
      </c>
      <c r="H840" s="6" t="str">
        <f t="shared" si="107"/>
        <v>04월 2주차</v>
      </c>
      <c r="I840" s="6" t="str">
        <f>H840&amp;" ("&amp;TEXT(C837,"m/dd")&amp;"~"&amp;TEXT(C843,"m/dd")&amp;")"</f>
        <v>04월 2주차 (4/08~4/14)</v>
      </c>
      <c r="J840" s="6" t="str">
        <f>A837&amp;"년 "&amp;WEEKNUM(C837,2)&amp;"주차"&amp;" ("&amp;TEXT(C837,"m/dd")&amp;"~"&amp;TEXT(C843,"m/dd")&amp;")"</f>
        <v>2024년 15주차 (4/08~4/14)</v>
      </c>
      <c r="K840" s="6">
        <f t="shared" si="113"/>
        <v>2024</v>
      </c>
      <c r="L840" s="6">
        <f t="shared" si="114"/>
        <v>15</v>
      </c>
    </row>
    <row r="841" spans="1:12" x14ac:dyDescent="0.45">
      <c r="A841" s="6">
        <f t="shared" si="108"/>
        <v>2024</v>
      </c>
      <c r="B841" s="6">
        <f t="shared" si="112"/>
        <v>4</v>
      </c>
      <c r="C841" s="7">
        <v>45394</v>
      </c>
      <c r="D841" s="6">
        <f t="shared" si="109"/>
        <v>5</v>
      </c>
      <c r="E841" s="6">
        <f t="shared" si="110"/>
        <v>15</v>
      </c>
      <c r="F841" s="6">
        <f t="shared" si="111"/>
        <v>2</v>
      </c>
      <c r="G841" s="6" t="str">
        <f t="shared" si="106"/>
        <v>04</v>
      </c>
      <c r="H841" s="6" t="str">
        <f t="shared" si="107"/>
        <v>04월 2주차</v>
      </c>
      <c r="I841" s="6" t="str">
        <f>H841&amp;" ("&amp;TEXT(C837,"m/dd")&amp;"~"&amp;TEXT(C843,"m/dd")&amp;")"</f>
        <v>04월 2주차 (4/08~4/14)</v>
      </c>
      <c r="J841" s="6" t="str">
        <f>A837&amp;"년 "&amp;WEEKNUM(C837,2)&amp;"주차"&amp;" ("&amp;TEXT(C837,"m/dd")&amp;"~"&amp;TEXT(C843,"m/dd")&amp;")"</f>
        <v>2024년 15주차 (4/08~4/14)</v>
      </c>
      <c r="K841" s="6">
        <f t="shared" si="113"/>
        <v>2024</v>
      </c>
      <c r="L841" s="6">
        <f t="shared" si="114"/>
        <v>15</v>
      </c>
    </row>
    <row r="842" spans="1:12" x14ac:dyDescent="0.45">
      <c r="A842" s="6">
        <f t="shared" si="108"/>
        <v>2024</v>
      </c>
      <c r="B842" s="6">
        <f t="shared" si="112"/>
        <v>4</v>
      </c>
      <c r="C842" s="7">
        <v>45395</v>
      </c>
      <c r="D842" s="6">
        <f t="shared" si="109"/>
        <v>6</v>
      </c>
      <c r="E842" s="6">
        <f t="shared" si="110"/>
        <v>15</v>
      </c>
      <c r="F842" s="6">
        <f t="shared" si="111"/>
        <v>2</v>
      </c>
      <c r="G842" s="6" t="str">
        <f t="shared" si="106"/>
        <v>04</v>
      </c>
      <c r="H842" s="6" t="str">
        <f t="shared" si="107"/>
        <v>04월 2주차</v>
      </c>
      <c r="I842" s="6" t="str">
        <f>H842&amp;" ("&amp;TEXT(C837,"m/dd")&amp;"~"&amp;TEXT(C843,"m/dd")&amp;")"</f>
        <v>04월 2주차 (4/08~4/14)</v>
      </c>
      <c r="J842" s="6" t="str">
        <f>A837&amp;"년 "&amp;WEEKNUM(C837,2)&amp;"주차"&amp;" ("&amp;TEXT(C837,"m/dd")&amp;"~"&amp;TEXT(C843,"m/dd")&amp;")"</f>
        <v>2024년 15주차 (4/08~4/14)</v>
      </c>
      <c r="K842" s="6">
        <f t="shared" si="113"/>
        <v>2024</v>
      </c>
      <c r="L842" s="6">
        <f t="shared" si="114"/>
        <v>15</v>
      </c>
    </row>
    <row r="843" spans="1:12" x14ac:dyDescent="0.45">
      <c r="A843" s="6">
        <f t="shared" si="108"/>
        <v>2024</v>
      </c>
      <c r="B843" s="6">
        <f t="shared" si="112"/>
        <v>4</v>
      </c>
      <c r="C843" s="7">
        <v>45396</v>
      </c>
      <c r="D843" s="6">
        <f t="shared" si="109"/>
        <v>7</v>
      </c>
      <c r="E843" s="6">
        <f t="shared" si="110"/>
        <v>15</v>
      </c>
      <c r="F843" s="6">
        <f t="shared" si="111"/>
        <v>2</v>
      </c>
      <c r="G843" s="6" t="str">
        <f t="shared" ref="G843:G906" si="115">IF(LEN(B843)=1,_xlfn.CONCAT(0,B843),B843)</f>
        <v>04</v>
      </c>
      <c r="H843" s="6" t="str">
        <f t="shared" ref="H843:H906" si="116">G843&amp;"월 "&amp;F843&amp;"주차"</f>
        <v>04월 2주차</v>
      </c>
      <c r="I843" s="6" t="str">
        <f>H843&amp;" ("&amp;TEXT(C837,"m/dd")&amp;"~"&amp;TEXT(C843,"m/dd")&amp;")"</f>
        <v>04월 2주차 (4/08~4/14)</v>
      </c>
      <c r="J843" s="6" t="str">
        <f>A837&amp;"년 "&amp;WEEKNUM(C837,2)&amp;"주차"&amp;" ("&amp;TEXT(C837,"m/dd")&amp;"~"&amp;TEXT(C843,"m/dd")&amp;")"</f>
        <v>2024년 15주차 (4/08~4/14)</v>
      </c>
      <c r="K843" s="6">
        <f t="shared" si="113"/>
        <v>2024</v>
      </c>
      <c r="L843" s="6">
        <f t="shared" si="114"/>
        <v>15</v>
      </c>
    </row>
    <row r="844" spans="1:12" x14ac:dyDescent="0.45">
      <c r="A844" s="6">
        <f t="shared" si="108"/>
        <v>2024</v>
      </c>
      <c r="B844" s="6">
        <f t="shared" si="112"/>
        <v>4</v>
      </c>
      <c r="C844" s="7">
        <v>45397</v>
      </c>
      <c r="D844" s="6">
        <f t="shared" si="109"/>
        <v>1</v>
      </c>
      <c r="E844" s="6">
        <f t="shared" si="110"/>
        <v>16</v>
      </c>
      <c r="F844" s="6">
        <f t="shared" si="111"/>
        <v>3</v>
      </c>
      <c r="G844" s="6" t="str">
        <f t="shared" si="115"/>
        <v>04</v>
      </c>
      <c r="H844" s="6" t="str">
        <f t="shared" si="116"/>
        <v>04월 3주차</v>
      </c>
      <c r="I844" s="6" t="str">
        <f>H844&amp;" ("&amp;TEXT(C844,"m/dd")&amp;"~"&amp;TEXT(C850,"m/dd")&amp;")"</f>
        <v>04월 3주차 (4/15~4/21)</v>
      </c>
      <c r="J844" s="6" t="str">
        <f>A844&amp;"년 "&amp;WEEKNUM(C844,2)&amp;"주차"&amp;" ("&amp;TEXT(C844,"m/dd")&amp;"~"&amp;TEXT(C850,"m/dd")&amp;")"</f>
        <v>2024년 16주차 (4/15~4/21)</v>
      </c>
      <c r="K844" s="6">
        <f t="shared" si="113"/>
        <v>2024</v>
      </c>
      <c r="L844" s="6">
        <f t="shared" si="114"/>
        <v>16</v>
      </c>
    </row>
    <row r="845" spans="1:12" x14ac:dyDescent="0.45">
      <c r="A845" s="6">
        <f t="shared" si="108"/>
        <v>2024</v>
      </c>
      <c r="B845" s="6">
        <f t="shared" si="112"/>
        <v>4</v>
      </c>
      <c r="C845" s="7">
        <v>45398</v>
      </c>
      <c r="D845" s="6">
        <f t="shared" si="109"/>
        <v>2</v>
      </c>
      <c r="E845" s="6">
        <f t="shared" si="110"/>
        <v>16</v>
      </c>
      <c r="F845" s="6">
        <f t="shared" si="111"/>
        <v>3</v>
      </c>
      <c r="G845" s="6" t="str">
        <f t="shared" si="115"/>
        <v>04</v>
      </c>
      <c r="H845" s="6" t="str">
        <f t="shared" si="116"/>
        <v>04월 3주차</v>
      </c>
      <c r="I845" s="6" t="str">
        <f>H845&amp;" ("&amp;TEXT(C844,"m/dd")&amp;"~"&amp;TEXT(C850,"m/dd")&amp;")"</f>
        <v>04월 3주차 (4/15~4/21)</v>
      </c>
      <c r="J845" s="6" t="str">
        <f>A844&amp;"년 "&amp;WEEKNUM(C844,2)&amp;"주차"&amp;" ("&amp;TEXT(C844,"m/dd")&amp;"~"&amp;TEXT(C850,"m/dd")&amp;")"</f>
        <v>2024년 16주차 (4/15~4/21)</v>
      </c>
      <c r="K845" s="6">
        <f t="shared" si="113"/>
        <v>2024</v>
      </c>
      <c r="L845" s="6">
        <f t="shared" si="114"/>
        <v>16</v>
      </c>
    </row>
    <row r="846" spans="1:12" x14ac:dyDescent="0.45">
      <c r="A846" s="6">
        <f t="shared" si="108"/>
        <v>2024</v>
      </c>
      <c r="B846" s="6">
        <f t="shared" si="112"/>
        <v>4</v>
      </c>
      <c r="C846" s="7">
        <v>45399</v>
      </c>
      <c r="D846" s="6">
        <f t="shared" si="109"/>
        <v>3</v>
      </c>
      <c r="E846" s="6">
        <f t="shared" si="110"/>
        <v>16</v>
      </c>
      <c r="F846" s="6">
        <f t="shared" si="111"/>
        <v>3</v>
      </c>
      <c r="G846" s="6" t="str">
        <f t="shared" si="115"/>
        <v>04</v>
      </c>
      <c r="H846" s="6" t="str">
        <f t="shared" si="116"/>
        <v>04월 3주차</v>
      </c>
      <c r="I846" s="6" t="str">
        <f>H846&amp;" ("&amp;TEXT(C844,"m/dd")&amp;"~"&amp;TEXT(C850,"m/dd")&amp;")"</f>
        <v>04월 3주차 (4/15~4/21)</v>
      </c>
      <c r="J846" s="6" t="str">
        <f>A844&amp;"년 "&amp;WEEKNUM(C844,2)&amp;"주차"&amp;" ("&amp;TEXT(C844,"m/dd")&amp;"~"&amp;TEXT(C850,"m/dd")&amp;")"</f>
        <v>2024년 16주차 (4/15~4/21)</v>
      </c>
      <c r="K846" s="6">
        <f t="shared" si="113"/>
        <v>2024</v>
      </c>
      <c r="L846" s="6">
        <f t="shared" si="114"/>
        <v>16</v>
      </c>
    </row>
    <row r="847" spans="1:12" x14ac:dyDescent="0.45">
      <c r="A847" s="6">
        <f t="shared" ref="A847:A910" si="117">YEAR(C847)</f>
        <v>2024</v>
      </c>
      <c r="B847" s="6">
        <f t="shared" si="112"/>
        <v>4</v>
      </c>
      <c r="C847" s="7">
        <v>45400</v>
      </c>
      <c r="D847" s="6">
        <f t="shared" si="109"/>
        <v>4</v>
      </c>
      <c r="E847" s="6">
        <f t="shared" si="110"/>
        <v>16</v>
      </c>
      <c r="F847" s="6">
        <f t="shared" si="111"/>
        <v>3</v>
      </c>
      <c r="G847" s="6" t="str">
        <f t="shared" si="115"/>
        <v>04</v>
      </c>
      <c r="H847" s="6" t="str">
        <f t="shared" si="116"/>
        <v>04월 3주차</v>
      </c>
      <c r="I847" s="6" t="str">
        <f>H847&amp;" ("&amp;TEXT(C844,"m/dd")&amp;"~"&amp;TEXT(C850,"m/dd")&amp;")"</f>
        <v>04월 3주차 (4/15~4/21)</v>
      </c>
      <c r="J847" s="6" t="str">
        <f>A844&amp;"년 "&amp;WEEKNUM(C844,2)&amp;"주차"&amp;" ("&amp;TEXT(C844,"m/dd")&amp;"~"&amp;TEXT(C850,"m/dd")&amp;")"</f>
        <v>2024년 16주차 (4/15~4/21)</v>
      </c>
      <c r="K847" s="6">
        <f t="shared" si="113"/>
        <v>2024</v>
      </c>
      <c r="L847" s="6">
        <f t="shared" si="114"/>
        <v>16</v>
      </c>
    </row>
    <row r="848" spans="1:12" x14ac:dyDescent="0.45">
      <c r="A848" s="6">
        <f t="shared" si="117"/>
        <v>2024</v>
      </c>
      <c r="B848" s="6">
        <f t="shared" si="112"/>
        <v>4</v>
      </c>
      <c r="C848" s="7">
        <v>45401</v>
      </c>
      <c r="D848" s="6">
        <f t="shared" si="109"/>
        <v>5</v>
      </c>
      <c r="E848" s="6">
        <f t="shared" si="110"/>
        <v>16</v>
      </c>
      <c r="F848" s="6">
        <f t="shared" si="111"/>
        <v>3</v>
      </c>
      <c r="G848" s="6" t="str">
        <f t="shared" si="115"/>
        <v>04</v>
      </c>
      <c r="H848" s="6" t="str">
        <f t="shared" si="116"/>
        <v>04월 3주차</v>
      </c>
      <c r="I848" s="6" t="str">
        <f>H848&amp;" ("&amp;TEXT(C844,"m/dd")&amp;"~"&amp;TEXT(C850,"m/dd")&amp;")"</f>
        <v>04월 3주차 (4/15~4/21)</v>
      </c>
      <c r="J848" s="6" t="str">
        <f>A844&amp;"년 "&amp;WEEKNUM(C844,2)&amp;"주차"&amp;" ("&amp;TEXT(C844,"m/dd")&amp;"~"&amp;TEXT(C850,"m/dd")&amp;")"</f>
        <v>2024년 16주차 (4/15~4/21)</v>
      </c>
      <c r="K848" s="6">
        <f t="shared" si="113"/>
        <v>2024</v>
      </c>
      <c r="L848" s="6">
        <f t="shared" si="114"/>
        <v>16</v>
      </c>
    </row>
    <row r="849" spans="1:12" x14ac:dyDescent="0.45">
      <c r="A849" s="6">
        <f t="shared" si="117"/>
        <v>2024</v>
      </c>
      <c r="B849" s="6">
        <f t="shared" si="112"/>
        <v>4</v>
      </c>
      <c r="C849" s="7">
        <v>45402</v>
      </c>
      <c r="D849" s="6">
        <f t="shared" si="109"/>
        <v>6</v>
      </c>
      <c r="E849" s="6">
        <f t="shared" si="110"/>
        <v>16</v>
      </c>
      <c r="F849" s="6">
        <f t="shared" si="111"/>
        <v>3</v>
      </c>
      <c r="G849" s="6" t="str">
        <f t="shared" si="115"/>
        <v>04</v>
      </c>
      <c r="H849" s="6" t="str">
        <f t="shared" si="116"/>
        <v>04월 3주차</v>
      </c>
      <c r="I849" s="6" t="str">
        <f>H849&amp;" ("&amp;TEXT(C844,"m/dd")&amp;"~"&amp;TEXT(C850,"m/dd")&amp;")"</f>
        <v>04월 3주차 (4/15~4/21)</v>
      </c>
      <c r="J849" s="6" t="str">
        <f>A844&amp;"년 "&amp;WEEKNUM(C844,2)&amp;"주차"&amp;" ("&amp;TEXT(C844,"m/dd")&amp;"~"&amp;TEXT(C850,"m/dd")&amp;")"</f>
        <v>2024년 16주차 (4/15~4/21)</v>
      </c>
      <c r="K849" s="6">
        <f t="shared" si="113"/>
        <v>2024</v>
      </c>
      <c r="L849" s="6">
        <f t="shared" si="114"/>
        <v>16</v>
      </c>
    </row>
    <row r="850" spans="1:12" x14ac:dyDescent="0.45">
      <c r="A850" s="6">
        <f t="shared" si="117"/>
        <v>2024</v>
      </c>
      <c r="B850" s="6">
        <f t="shared" si="112"/>
        <v>4</v>
      </c>
      <c r="C850" s="7">
        <v>45403</v>
      </c>
      <c r="D850" s="6">
        <f t="shared" si="109"/>
        <v>7</v>
      </c>
      <c r="E850" s="6">
        <f t="shared" si="110"/>
        <v>16</v>
      </c>
      <c r="F850" s="6">
        <f t="shared" si="111"/>
        <v>3</v>
      </c>
      <c r="G850" s="6" t="str">
        <f t="shared" si="115"/>
        <v>04</v>
      </c>
      <c r="H850" s="6" t="str">
        <f t="shared" si="116"/>
        <v>04월 3주차</v>
      </c>
      <c r="I850" s="6" t="str">
        <f>H850&amp;" ("&amp;TEXT(C844,"m/dd")&amp;"~"&amp;TEXT(C850,"m/dd")&amp;")"</f>
        <v>04월 3주차 (4/15~4/21)</v>
      </c>
      <c r="J850" s="6" t="str">
        <f>A844&amp;"년 "&amp;WEEKNUM(C844,2)&amp;"주차"&amp;" ("&amp;TEXT(C844,"m/dd")&amp;"~"&amp;TEXT(C850,"m/dd")&amp;")"</f>
        <v>2024년 16주차 (4/15~4/21)</v>
      </c>
      <c r="K850" s="6">
        <f t="shared" si="113"/>
        <v>2024</v>
      </c>
      <c r="L850" s="6">
        <f t="shared" si="114"/>
        <v>16</v>
      </c>
    </row>
    <row r="851" spans="1:12" x14ac:dyDescent="0.45">
      <c r="A851" s="6">
        <f t="shared" si="117"/>
        <v>2024</v>
      </c>
      <c r="B851" s="6">
        <f t="shared" si="112"/>
        <v>4</v>
      </c>
      <c r="C851" s="7">
        <v>45404</v>
      </c>
      <c r="D851" s="6">
        <f t="shared" si="109"/>
        <v>1</v>
      </c>
      <c r="E851" s="6">
        <f t="shared" si="110"/>
        <v>17</v>
      </c>
      <c r="F851" s="6">
        <f t="shared" si="111"/>
        <v>4</v>
      </c>
      <c r="G851" s="6" t="str">
        <f t="shared" si="115"/>
        <v>04</v>
      </c>
      <c r="H851" s="6" t="str">
        <f t="shared" si="116"/>
        <v>04월 4주차</v>
      </c>
      <c r="I851" s="6" t="str">
        <f>H851&amp;" ("&amp;TEXT(C851,"m/dd")&amp;"~"&amp;TEXT(C857,"m/dd")&amp;")"</f>
        <v>04월 4주차 (4/22~4/28)</v>
      </c>
      <c r="J851" s="6" t="str">
        <f>A851&amp;"년 "&amp;WEEKNUM(C851,2)&amp;"주차"&amp;" ("&amp;TEXT(C851,"m/dd")&amp;"~"&amp;TEXT(C857,"m/dd")&amp;")"</f>
        <v>2024년 17주차 (4/22~4/28)</v>
      </c>
      <c r="K851" s="6">
        <f t="shared" si="113"/>
        <v>2024</v>
      </c>
      <c r="L851" s="6">
        <f t="shared" si="114"/>
        <v>17</v>
      </c>
    </row>
    <row r="852" spans="1:12" x14ac:dyDescent="0.45">
      <c r="A852" s="6">
        <f t="shared" si="117"/>
        <v>2024</v>
      </c>
      <c r="B852" s="6">
        <f t="shared" si="112"/>
        <v>4</v>
      </c>
      <c r="C852" s="7">
        <v>45405</v>
      </c>
      <c r="D852" s="6">
        <f t="shared" si="109"/>
        <v>2</v>
      </c>
      <c r="E852" s="6">
        <f t="shared" si="110"/>
        <v>17</v>
      </c>
      <c r="F852" s="6">
        <f t="shared" si="111"/>
        <v>4</v>
      </c>
      <c r="G852" s="6" t="str">
        <f t="shared" si="115"/>
        <v>04</v>
      </c>
      <c r="H852" s="6" t="str">
        <f t="shared" si="116"/>
        <v>04월 4주차</v>
      </c>
      <c r="I852" s="6" t="str">
        <f>H852&amp;" ("&amp;TEXT(C851,"m/dd")&amp;"~"&amp;TEXT(C857,"m/dd")&amp;")"</f>
        <v>04월 4주차 (4/22~4/28)</v>
      </c>
      <c r="J852" s="6" t="str">
        <f>A851&amp;"년 "&amp;WEEKNUM(C851,2)&amp;"주차"&amp;" ("&amp;TEXT(C851,"m/dd")&amp;"~"&amp;TEXT(C857,"m/dd")&amp;")"</f>
        <v>2024년 17주차 (4/22~4/28)</v>
      </c>
      <c r="K852" s="6">
        <f t="shared" si="113"/>
        <v>2024</v>
      </c>
      <c r="L852" s="6">
        <f t="shared" si="114"/>
        <v>17</v>
      </c>
    </row>
    <row r="853" spans="1:12" x14ac:dyDescent="0.45">
      <c r="A853" s="6">
        <f t="shared" si="117"/>
        <v>2024</v>
      </c>
      <c r="B853" s="6">
        <f t="shared" si="112"/>
        <v>4</v>
      </c>
      <c r="C853" s="7">
        <v>45406</v>
      </c>
      <c r="D853" s="6">
        <f t="shared" si="109"/>
        <v>3</v>
      </c>
      <c r="E853" s="6">
        <f t="shared" si="110"/>
        <v>17</v>
      </c>
      <c r="F853" s="6">
        <f t="shared" si="111"/>
        <v>4</v>
      </c>
      <c r="G853" s="6" t="str">
        <f t="shared" si="115"/>
        <v>04</v>
      </c>
      <c r="H853" s="6" t="str">
        <f t="shared" si="116"/>
        <v>04월 4주차</v>
      </c>
      <c r="I853" s="6" t="str">
        <f>H853&amp;" ("&amp;TEXT(C851,"m/dd")&amp;"~"&amp;TEXT(C857,"m/dd")&amp;")"</f>
        <v>04월 4주차 (4/22~4/28)</v>
      </c>
      <c r="J853" s="6" t="str">
        <f>A851&amp;"년 "&amp;WEEKNUM(C851,2)&amp;"주차"&amp;" ("&amp;TEXT(C851,"m/dd")&amp;"~"&amp;TEXT(C857,"m/dd")&amp;")"</f>
        <v>2024년 17주차 (4/22~4/28)</v>
      </c>
      <c r="K853" s="6">
        <f t="shared" si="113"/>
        <v>2024</v>
      </c>
      <c r="L853" s="6">
        <f t="shared" si="114"/>
        <v>17</v>
      </c>
    </row>
    <row r="854" spans="1:12" x14ac:dyDescent="0.45">
      <c r="A854" s="6">
        <f t="shared" si="117"/>
        <v>2024</v>
      </c>
      <c r="B854" s="6">
        <f t="shared" si="112"/>
        <v>4</v>
      </c>
      <c r="C854" s="7">
        <v>45407</v>
      </c>
      <c r="D854" s="6">
        <f t="shared" si="109"/>
        <v>4</v>
      </c>
      <c r="E854" s="6">
        <f t="shared" si="110"/>
        <v>17</v>
      </c>
      <c r="F854" s="6">
        <f t="shared" si="111"/>
        <v>4</v>
      </c>
      <c r="G854" s="6" t="str">
        <f t="shared" si="115"/>
        <v>04</v>
      </c>
      <c r="H854" s="6" t="str">
        <f t="shared" si="116"/>
        <v>04월 4주차</v>
      </c>
      <c r="I854" s="6" t="str">
        <f>H854&amp;" ("&amp;TEXT(C851,"m/dd")&amp;"~"&amp;TEXT(C857,"m/dd")&amp;")"</f>
        <v>04월 4주차 (4/22~4/28)</v>
      </c>
      <c r="J854" s="6" t="str">
        <f>A851&amp;"년 "&amp;WEEKNUM(C851,2)&amp;"주차"&amp;" ("&amp;TEXT(C851,"m/dd")&amp;"~"&amp;TEXT(C857,"m/dd")&amp;")"</f>
        <v>2024년 17주차 (4/22~4/28)</v>
      </c>
      <c r="K854" s="6">
        <f t="shared" si="113"/>
        <v>2024</v>
      </c>
      <c r="L854" s="6">
        <f t="shared" si="114"/>
        <v>17</v>
      </c>
    </row>
    <row r="855" spans="1:12" x14ac:dyDescent="0.45">
      <c r="A855" s="6">
        <f t="shared" si="117"/>
        <v>2024</v>
      </c>
      <c r="B855" s="6">
        <f t="shared" si="112"/>
        <v>4</v>
      </c>
      <c r="C855" s="7">
        <v>45408</v>
      </c>
      <c r="D855" s="6">
        <f t="shared" ref="D855:D918" si="118">WEEKDAY(C855,2)</f>
        <v>5</v>
      </c>
      <c r="E855" s="6">
        <f t="shared" ref="E855:E918" si="119">WEEKNUM(C855,2)</f>
        <v>17</v>
      </c>
      <c r="F855" s="6">
        <f t="shared" si="111"/>
        <v>4</v>
      </c>
      <c r="G855" s="6" t="str">
        <f t="shared" si="115"/>
        <v>04</v>
      </c>
      <c r="H855" s="6" t="str">
        <f t="shared" si="116"/>
        <v>04월 4주차</v>
      </c>
      <c r="I855" s="6" t="str">
        <f>H855&amp;" ("&amp;TEXT(C851,"m/dd")&amp;"~"&amp;TEXT(C857,"m/dd")&amp;")"</f>
        <v>04월 4주차 (4/22~4/28)</v>
      </c>
      <c r="J855" s="6" t="str">
        <f>A851&amp;"년 "&amp;WEEKNUM(C851,2)&amp;"주차"&amp;" ("&amp;TEXT(C851,"m/dd")&amp;"~"&amp;TEXT(C857,"m/dd")&amp;")"</f>
        <v>2024년 17주차 (4/22~4/28)</v>
      </c>
      <c r="K855" s="6">
        <f t="shared" si="113"/>
        <v>2024</v>
      </c>
      <c r="L855" s="6">
        <f t="shared" si="114"/>
        <v>17</v>
      </c>
    </row>
    <row r="856" spans="1:12" x14ac:dyDescent="0.45">
      <c r="A856" s="6">
        <f t="shared" si="117"/>
        <v>2024</v>
      </c>
      <c r="B856" s="6">
        <f t="shared" si="112"/>
        <v>4</v>
      </c>
      <c r="C856" s="7">
        <v>45409</v>
      </c>
      <c r="D856" s="6">
        <f t="shared" si="118"/>
        <v>6</v>
      </c>
      <c r="E856" s="6">
        <f t="shared" si="119"/>
        <v>17</v>
      </c>
      <c r="F856" s="6">
        <f t="shared" si="111"/>
        <v>4</v>
      </c>
      <c r="G856" s="6" t="str">
        <f t="shared" si="115"/>
        <v>04</v>
      </c>
      <c r="H856" s="6" t="str">
        <f t="shared" si="116"/>
        <v>04월 4주차</v>
      </c>
      <c r="I856" s="6" t="str">
        <f>H856&amp;" ("&amp;TEXT(C851,"m/dd")&amp;"~"&amp;TEXT(C857,"m/dd")&amp;")"</f>
        <v>04월 4주차 (4/22~4/28)</v>
      </c>
      <c r="J856" s="6" t="str">
        <f>A851&amp;"년 "&amp;WEEKNUM(C851,2)&amp;"주차"&amp;" ("&amp;TEXT(C851,"m/dd")&amp;"~"&amp;TEXT(C857,"m/dd")&amp;")"</f>
        <v>2024년 17주차 (4/22~4/28)</v>
      </c>
      <c r="K856" s="6">
        <f t="shared" si="113"/>
        <v>2024</v>
      </c>
      <c r="L856" s="6">
        <f t="shared" si="114"/>
        <v>17</v>
      </c>
    </row>
    <row r="857" spans="1:12" x14ac:dyDescent="0.45">
      <c r="A857" s="6">
        <f t="shared" si="117"/>
        <v>2024</v>
      </c>
      <c r="B857" s="6">
        <f t="shared" si="112"/>
        <v>4</v>
      </c>
      <c r="C857" s="7">
        <v>45410</v>
      </c>
      <c r="D857" s="6">
        <f t="shared" si="118"/>
        <v>7</v>
      </c>
      <c r="E857" s="6">
        <f t="shared" si="119"/>
        <v>17</v>
      </c>
      <c r="F857" s="6">
        <f t="shared" si="111"/>
        <v>4</v>
      </c>
      <c r="G857" s="6" t="str">
        <f t="shared" si="115"/>
        <v>04</v>
      </c>
      <c r="H857" s="6" t="str">
        <f t="shared" si="116"/>
        <v>04월 4주차</v>
      </c>
      <c r="I857" s="6" t="str">
        <f>H857&amp;" ("&amp;TEXT(C851,"m/dd")&amp;"~"&amp;TEXT(C857,"m/dd")&amp;")"</f>
        <v>04월 4주차 (4/22~4/28)</v>
      </c>
      <c r="J857" s="6" t="str">
        <f>A851&amp;"년 "&amp;WEEKNUM(C851,2)&amp;"주차"&amp;" ("&amp;TEXT(C851,"m/dd")&amp;"~"&amp;TEXT(C857,"m/dd")&amp;")"</f>
        <v>2024년 17주차 (4/22~4/28)</v>
      </c>
      <c r="K857" s="6">
        <f t="shared" si="113"/>
        <v>2024</v>
      </c>
      <c r="L857" s="6">
        <f t="shared" si="114"/>
        <v>17</v>
      </c>
    </row>
    <row r="858" spans="1:12" x14ac:dyDescent="0.45">
      <c r="A858" s="6">
        <f t="shared" si="117"/>
        <v>2024</v>
      </c>
      <c r="B858" s="6">
        <v>5</v>
      </c>
      <c r="C858" s="7">
        <v>45411</v>
      </c>
      <c r="D858" s="6">
        <f t="shared" si="118"/>
        <v>1</v>
      </c>
      <c r="E858" s="6">
        <f t="shared" si="119"/>
        <v>18</v>
      </c>
      <c r="F858" s="6">
        <v>1</v>
      </c>
      <c r="G858" s="6" t="str">
        <f t="shared" si="115"/>
        <v>05</v>
      </c>
      <c r="H858" s="6" t="str">
        <f t="shared" si="116"/>
        <v>05월 1주차</v>
      </c>
      <c r="I858" s="6" t="str">
        <f>H858&amp;" ("&amp;TEXT(C858,"m/dd")&amp;"~"&amp;TEXT(C864,"m/dd")&amp;")"</f>
        <v>05월 1주차 (4/29~5/05)</v>
      </c>
      <c r="J858" s="6" t="str">
        <f>A858&amp;"년 "&amp;WEEKNUM(C858,2)&amp;"주차"&amp;" ("&amp;TEXT(C858,"m/dd")&amp;"~"&amp;TEXT(C864,"m/dd")&amp;")"</f>
        <v>2024년 18주차 (4/29~5/05)</v>
      </c>
      <c r="K858" s="6">
        <f t="shared" si="113"/>
        <v>2024</v>
      </c>
      <c r="L858" s="6">
        <f t="shared" si="114"/>
        <v>18</v>
      </c>
    </row>
    <row r="859" spans="1:12" x14ac:dyDescent="0.45">
      <c r="A859" s="6">
        <f t="shared" si="117"/>
        <v>2024</v>
      </c>
      <c r="B859" s="6">
        <v>5</v>
      </c>
      <c r="C859" s="7">
        <v>45412</v>
      </c>
      <c r="D859" s="6">
        <f t="shared" si="118"/>
        <v>2</v>
      </c>
      <c r="E859" s="6">
        <f t="shared" si="119"/>
        <v>18</v>
      </c>
      <c r="F859" s="6">
        <v>1</v>
      </c>
      <c r="G859" s="6" t="str">
        <f t="shared" si="115"/>
        <v>05</v>
      </c>
      <c r="H859" s="6" t="str">
        <f t="shared" si="116"/>
        <v>05월 1주차</v>
      </c>
      <c r="I859" s="6" t="str">
        <f>H859&amp;" ("&amp;TEXT(C858,"m/dd")&amp;"~"&amp;TEXT(C864,"m/dd")&amp;")"</f>
        <v>05월 1주차 (4/29~5/05)</v>
      </c>
      <c r="J859" s="6" t="str">
        <f>A858&amp;"년 "&amp;WEEKNUM(C858,2)&amp;"주차"&amp;" ("&amp;TEXT(C858,"m/dd")&amp;"~"&amp;TEXT(C864,"m/dd")&amp;")"</f>
        <v>2024년 18주차 (4/29~5/05)</v>
      </c>
      <c r="K859" s="6">
        <f t="shared" si="113"/>
        <v>2024</v>
      </c>
      <c r="L859" s="6">
        <f t="shared" si="114"/>
        <v>18</v>
      </c>
    </row>
    <row r="860" spans="1:12" x14ac:dyDescent="0.45">
      <c r="A860" s="6">
        <f t="shared" si="117"/>
        <v>2024</v>
      </c>
      <c r="B860" s="6">
        <f t="shared" si="112"/>
        <v>5</v>
      </c>
      <c r="C860" s="7">
        <v>45413</v>
      </c>
      <c r="D860" s="6">
        <f t="shared" si="118"/>
        <v>3</v>
      </c>
      <c r="E860" s="6">
        <f t="shared" si="119"/>
        <v>18</v>
      </c>
      <c r="F860" s="6">
        <v>1</v>
      </c>
      <c r="G860" s="6" t="str">
        <f t="shared" si="115"/>
        <v>05</v>
      </c>
      <c r="H860" s="6" t="str">
        <f t="shared" si="116"/>
        <v>05월 1주차</v>
      </c>
      <c r="I860" s="6" t="str">
        <f>H860&amp;" ("&amp;TEXT(C858,"m/dd")&amp;"~"&amp;TEXT(C864,"m/dd")&amp;")"</f>
        <v>05월 1주차 (4/29~5/05)</v>
      </c>
      <c r="J860" s="6" t="str">
        <f>A858&amp;"년 "&amp;WEEKNUM(C858,2)&amp;"주차"&amp;" ("&amp;TEXT(C858,"m/dd")&amp;"~"&amp;TEXT(C864,"m/dd")&amp;")"</f>
        <v>2024년 18주차 (4/29~5/05)</v>
      </c>
      <c r="K860" s="6">
        <f t="shared" si="113"/>
        <v>2024</v>
      </c>
      <c r="L860" s="6">
        <f t="shared" si="114"/>
        <v>18</v>
      </c>
    </row>
    <row r="861" spans="1:12" x14ac:dyDescent="0.45">
      <c r="A861" s="6">
        <f t="shared" si="117"/>
        <v>2024</v>
      </c>
      <c r="B861" s="6">
        <f t="shared" si="112"/>
        <v>5</v>
      </c>
      <c r="C861" s="7">
        <v>45414</v>
      </c>
      <c r="D861" s="6">
        <f t="shared" si="118"/>
        <v>4</v>
      </c>
      <c r="E861" s="6">
        <f t="shared" si="119"/>
        <v>18</v>
      </c>
      <c r="F861" s="6">
        <v>1</v>
      </c>
      <c r="G861" s="6" t="str">
        <f t="shared" si="115"/>
        <v>05</v>
      </c>
      <c r="H861" s="6" t="str">
        <f t="shared" si="116"/>
        <v>05월 1주차</v>
      </c>
      <c r="I861" s="6" t="str">
        <f>H861&amp;" ("&amp;TEXT(C858,"m/dd")&amp;"~"&amp;TEXT(C864,"m/dd")&amp;")"</f>
        <v>05월 1주차 (4/29~5/05)</v>
      </c>
      <c r="J861" s="6" t="str">
        <f>A858&amp;"년 "&amp;WEEKNUM(C858,2)&amp;"주차"&amp;" ("&amp;TEXT(C858,"m/dd")&amp;"~"&amp;TEXT(C864,"m/dd")&amp;")"</f>
        <v>2024년 18주차 (4/29~5/05)</v>
      </c>
      <c r="K861" s="6">
        <f t="shared" si="113"/>
        <v>2024</v>
      </c>
      <c r="L861" s="6">
        <f t="shared" si="114"/>
        <v>18</v>
      </c>
    </row>
    <row r="862" spans="1:12" x14ac:dyDescent="0.45">
      <c r="A862" s="6">
        <f t="shared" si="117"/>
        <v>2024</v>
      </c>
      <c r="B862" s="6">
        <f t="shared" si="112"/>
        <v>5</v>
      </c>
      <c r="C862" s="7">
        <v>45415</v>
      </c>
      <c r="D862" s="6">
        <f t="shared" si="118"/>
        <v>5</v>
      </c>
      <c r="E862" s="6">
        <f t="shared" si="119"/>
        <v>18</v>
      </c>
      <c r="F862" s="6">
        <v>1</v>
      </c>
      <c r="G862" s="6" t="str">
        <f t="shared" si="115"/>
        <v>05</v>
      </c>
      <c r="H862" s="6" t="str">
        <f t="shared" si="116"/>
        <v>05월 1주차</v>
      </c>
      <c r="I862" s="6" t="str">
        <f>H862&amp;" ("&amp;TEXT(C858,"m/dd")&amp;"~"&amp;TEXT(C864,"m/dd")&amp;")"</f>
        <v>05월 1주차 (4/29~5/05)</v>
      </c>
      <c r="J862" s="6" t="str">
        <f>A858&amp;"년 "&amp;WEEKNUM(C858,2)&amp;"주차"&amp;" ("&amp;TEXT(C858,"m/dd")&amp;"~"&amp;TEXT(C864,"m/dd")&amp;")"</f>
        <v>2024년 18주차 (4/29~5/05)</v>
      </c>
      <c r="K862" s="6">
        <f t="shared" si="113"/>
        <v>2024</v>
      </c>
      <c r="L862" s="6">
        <f t="shared" si="114"/>
        <v>18</v>
      </c>
    </row>
    <row r="863" spans="1:12" x14ac:dyDescent="0.45">
      <c r="A863" s="6">
        <f t="shared" si="117"/>
        <v>2024</v>
      </c>
      <c r="B863" s="6">
        <f t="shared" si="112"/>
        <v>5</v>
      </c>
      <c r="C863" s="7">
        <v>45416</v>
      </c>
      <c r="D863" s="6">
        <f t="shared" si="118"/>
        <v>6</v>
      </c>
      <c r="E863" s="6">
        <f t="shared" si="119"/>
        <v>18</v>
      </c>
      <c r="F863" s="6">
        <v>1</v>
      </c>
      <c r="G863" s="6" t="str">
        <f t="shared" si="115"/>
        <v>05</v>
      </c>
      <c r="H863" s="6" t="str">
        <f t="shared" si="116"/>
        <v>05월 1주차</v>
      </c>
      <c r="I863" s="6" t="str">
        <f>H863&amp;" ("&amp;TEXT(C858,"m/dd")&amp;"~"&amp;TEXT(C864,"m/dd")&amp;")"</f>
        <v>05월 1주차 (4/29~5/05)</v>
      </c>
      <c r="J863" s="6" t="str">
        <f>A858&amp;"년 "&amp;WEEKNUM(C858,2)&amp;"주차"&amp;" ("&amp;TEXT(C858,"m/dd")&amp;"~"&amp;TEXT(C864,"m/dd")&amp;")"</f>
        <v>2024년 18주차 (4/29~5/05)</v>
      </c>
      <c r="K863" s="6">
        <f t="shared" si="113"/>
        <v>2024</v>
      </c>
      <c r="L863" s="6">
        <f t="shared" si="114"/>
        <v>18</v>
      </c>
    </row>
    <row r="864" spans="1:12" x14ac:dyDescent="0.45">
      <c r="A864" s="6">
        <f t="shared" si="117"/>
        <v>2024</v>
      </c>
      <c r="B864" s="6">
        <f t="shared" si="112"/>
        <v>5</v>
      </c>
      <c r="C864" s="7">
        <v>45417</v>
      </c>
      <c r="D864" s="6">
        <f t="shared" si="118"/>
        <v>7</v>
      </c>
      <c r="E864" s="6">
        <f t="shared" si="119"/>
        <v>18</v>
      </c>
      <c r="F864" s="6">
        <v>1</v>
      </c>
      <c r="G864" s="6" t="str">
        <f t="shared" si="115"/>
        <v>05</v>
      </c>
      <c r="H864" s="6" t="str">
        <f t="shared" si="116"/>
        <v>05월 1주차</v>
      </c>
      <c r="I864" s="6" t="str">
        <f>H864&amp;" ("&amp;TEXT(C858,"m/dd")&amp;"~"&amp;TEXT(C864,"m/dd")&amp;")"</f>
        <v>05월 1주차 (4/29~5/05)</v>
      </c>
      <c r="J864" s="6" t="str">
        <f>A858&amp;"년 "&amp;WEEKNUM(C858,2)&amp;"주차"&amp;" ("&amp;TEXT(C858,"m/dd")&amp;"~"&amp;TEXT(C864,"m/dd")&amp;")"</f>
        <v>2024년 18주차 (4/29~5/05)</v>
      </c>
      <c r="K864" s="6">
        <f t="shared" si="113"/>
        <v>2024</v>
      </c>
      <c r="L864" s="6">
        <f t="shared" si="114"/>
        <v>18</v>
      </c>
    </row>
    <row r="865" spans="1:12" x14ac:dyDescent="0.45">
      <c r="A865" s="6">
        <f t="shared" si="117"/>
        <v>2024</v>
      </c>
      <c r="B865" s="6">
        <f t="shared" si="112"/>
        <v>5</v>
      </c>
      <c r="C865" s="7">
        <v>45418</v>
      </c>
      <c r="D865" s="6">
        <f t="shared" si="118"/>
        <v>1</v>
      </c>
      <c r="E865" s="6">
        <f t="shared" si="119"/>
        <v>19</v>
      </c>
      <c r="F865" s="6">
        <v>2</v>
      </c>
      <c r="G865" s="6" t="str">
        <f t="shared" si="115"/>
        <v>05</v>
      </c>
      <c r="H865" s="6" t="str">
        <f t="shared" si="116"/>
        <v>05월 2주차</v>
      </c>
      <c r="I865" s="6" t="str">
        <f>H865&amp;" ("&amp;TEXT(C865,"m/dd")&amp;"~"&amp;TEXT(C871,"m/dd")&amp;")"</f>
        <v>05월 2주차 (5/06~5/12)</v>
      </c>
      <c r="J865" s="6" t="str">
        <f>A865&amp;"년 "&amp;WEEKNUM(C865,2)&amp;"주차"&amp;" ("&amp;TEXT(C865,"m/dd")&amp;"~"&amp;TEXT(C871,"m/dd")&amp;")"</f>
        <v>2024년 19주차 (5/06~5/12)</v>
      </c>
      <c r="K865" s="6">
        <f t="shared" si="113"/>
        <v>2024</v>
      </c>
      <c r="L865" s="6">
        <f t="shared" si="114"/>
        <v>19</v>
      </c>
    </row>
    <row r="866" spans="1:12" x14ac:dyDescent="0.45">
      <c r="A866" s="6">
        <f t="shared" si="117"/>
        <v>2024</v>
      </c>
      <c r="B866" s="6">
        <f t="shared" si="112"/>
        <v>5</v>
      </c>
      <c r="C866" s="7">
        <v>45419</v>
      </c>
      <c r="D866" s="6">
        <f t="shared" si="118"/>
        <v>2</v>
      </c>
      <c r="E866" s="6">
        <f t="shared" si="119"/>
        <v>19</v>
      </c>
      <c r="F866" s="6">
        <v>2</v>
      </c>
      <c r="G866" s="6" t="str">
        <f t="shared" si="115"/>
        <v>05</v>
      </c>
      <c r="H866" s="6" t="str">
        <f t="shared" si="116"/>
        <v>05월 2주차</v>
      </c>
      <c r="I866" s="6" t="str">
        <f>H866&amp;" ("&amp;TEXT(C865,"m/dd")&amp;"~"&amp;TEXT(C871,"m/dd")&amp;")"</f>
        <v>05월 2주차 (5/06~5/12)</v>
      </c>
      <c r="J866" s="6" t="str">
        <f>A865&amp;"년 "&amp;WEEKNUM(C865,2)&amp;"주차"&amp;" ("&amp;TEXT(C865,"m/dd")&amp;"~"&amp;TEXT(C871,"m/dd")&amp;")"</f>
        <v>2024년 19주차 (5/06~5/12)</v>
      </c>
      <c r="K866" s="6">
        <f t="shared" si="113"/>
        <v>2024</v>
      </c>
      <c r="L866" s="6">
        <f t="shared" si="114"/>
        <v>19</v>
      </c>
    </row>
    <row r="867" spans="1:12" x14ac:dyDescent="0.45">
      <c r="A867" s="6">
        <f t="shared" si="117"/>
        <v>2024</v>
      </c>
      <c r="B867" s="6">
        <f t="shared" si="112"/>
        <v>5</v>
      </c>
      <c r="C867" s="7">
        <v>45420</v>
      </c>
      <c r="D867" s="6">
        <f t="shared" si="118"/>
        <v>3</v>
      </c>
      <c r="E867" s="6">
        <f t="shared" si="119"/>
        <v>19</v>
      </c>
      <c r="F867" s="6">
        <v>2</v>
      </c>
      <c r="G867" s="6" t="str">
        <f t="shared" si="115"/>
        <v>05</v>
      </c>
      <c r="H867" s="6" t="str">
        <f t="shared" si="116"/>
        <v>05월 2주차</v>
      </c>
      <c r="I867" s="6" t="str">
        <f>H867&amp;" ("&amp;TEXT(C865,"m/dd")&amp;"~"&amp;TEXT(C871,"m/dd")&amp;")"</f>
        <v>05월 2주차 (5/06~5/12)</v>
      </c>
      <c r="J867" s="6" t="str">
        <f>A865&amp;"년 "&amp;WEEKNUM(C865,2)&amp;"주차"&amp;" ("&amp;TEXT(C865,"m/dd")&amp;"~"&amp;TEXT(C871,"m/dd")&amp;")"</f>
        <v>2024년 19주차 (5/06~5/12)</v>
      </c>
      <c r="K867" s="6">
        <f t="shared" si="113"/>
        <v>2024</v>
      </c>
      <c r="L867" s="6">
        <f t="shared" si="114"/>
        <v>19</v>
      </c>
    </row>
    <row r="868" spans="1:12" x14ac:dyDescent="0.45">
      <c r="A868" s="6">
        <f t="shared" si="117"/>
        <v>2024</v>
      </c>
      <c r="B868" s="6">
        <f t="shared" si="112"/>
        <v>5</v>
      </c>
      <c r="C868" s="7">
        <v>45421</v>
      </c>
      <c r="D868" s="6">
        <f t="shared" si="118"/>
        <v>4</v>
      </c>
      <c r="E868" s="6">
        <f t="shared" si="119"/>
        <v>19</v>
      </c>
      <c r="F868" s="6">
        <v>2</v>
      </c>
      <c r="G868" s="6" t="str">
        <f t="shared" si="115"/>
        <v>05</v>
      </c>
      <c r="H868" s="6" t="str">
        <f t="shared" si="116"/>
        <v>05월 2주차</v>
      </c>
      <c r="I868" s="6" t="str">
        <f>H868&amp;" ("&amp;TEXT(C865,"m/dd")&amp;"~"&amp;TEXT(C871,"m/dd")&amp;")"</f>
        <v>05월 2주차 (5/06~5/12)</v>
      </c>
      <c r="J868" s="6" t="str">
        <f>A865&amp;"년 "&amp;WEEKNUM(C865,2)&amp;"주차"&amp;" ("&amp;TEXT(C865,"m/dd")&amp;"~"&amp;TEXT(C871,"m/dd")&amp;")"</f>
        <v>2024년 19주차 (5/06~5/12)</v>
      </c>
      <c r="K868" s="6">
        <f t="shared" si="113"/>
        <v>2024</v>
      </c>
      <c r="L868" s="6">
        <f t="shared" si="114"/>
        <v>19</v>
      </c>
    </row>
    <row r="869" spans="1:12" x14ac:dyDescent="0.45">
      <c r="A869" s="6">
        <f t="shared" si="117"/>
        <v>2024</v>
      </c>
      <c r="B869" s="6">
        <f t="shared" si="112"/>
        <v>5</v>
      </c>
      <c r="C869" s="7">
        <v>45422</v>
      </c>
      <c r="D869" s="6">
        <f t="shared" si="118"/>
        <v>5</v>
      </c>
      <c r="E869" s="6">
        <f t="shared" si="119"/>
        <v>19</v>
      </c>
      <c r="F869" s="6">
        <v>2</v>
      </c>
      <c r="G869" s="6" t="str">
        <f t="shared" si="115"/>
        <v>05</v>
      </c>
      <c r="H869" s="6" t="str">
        <f t="shared" si="116"/>
        <v>05월 2주차</v>
      </c>
      <c r="I869" s="6" t="str">
        <f>H869&amp;" ("&amp;TEXT(C865,"m/dd")&amp;"~"&amp;TEXT(C871,"m/dd")&amp;")"</f>
        <v>05월 2주차 (5/06~5/12)</v>
      </c>
      <c r="J869" s="6" t="str">
        <f>A865&amp;"년 "&amp;WEEKNUM(C865,2)&amp;"주차"&amp;" ("&amp;TEXT(C865,"m/dd")&amp;"~"&amp;TEXT(C871,"m/dd")&amp;")"</f>
        <v>2024년 19주차 (5/06~5/12)</v>
      </c>
      <c r="K869" s="6">
        <f t="shared" si="113"/>
        <v>2024</v>
      </c>
      <c r="L869" s="6">
        <f t="shared" si="114"/>
        <v>19</v>
      </c>
    </row>
    <row r="870" spans="1:12" x14ac:dyDescent="0.45">
      <c r="A870" s="6">
        <f t="shared" si="117"/>
        <v>2024</v>
      </c>
      <c r="B870" s="6">
        <f t="shared" ref="B870:B933" si="120">MONTH(C870)</f>
        <v>5</v>
      </c>
      <c r="C870" s="7">
        <v>45423</v>
      </c>
      <c r="D870" s="6">
        <f t="shared" si="118"/>
        <v>6</v>
      </c>
      <c r="E870" s="6">
        <f t="shared" si="119"/>
        <v>19</v>
      </c>
      <c r="F870" s="6">
        <v>2</v>
      </c>
      <c r="G870" s="6" t="str">
        <f t="shared" si="115"/>
        <v>05</v>
      </c>
      <c r="H870" s="6" t="str">
        <f t="shared" si="116"/>
        <v>05월 2주차</v>
      </c>
      <c r="I870" s="6" t="str">
        <f>H870&amp;" ("&amp;TEXT(C865,"m/dd")&amp;"~"&amp;TEXT(C871,"m/dd")&amp;")"</f>
        <v>05월 2주차 (5/06~5/12)</v>
      </c>
      <c r="J870" s="6" t="str">
        <f>A865&amp;"년 "&amp;WEEKNUM(C865,2)&amp;"주차"&amp;" ("&amp;TEXT(C865,"m/dd")&amp;"~"&amp;TEXT(C871,"m/dd")&amp;")"</f>
        <v>2024년 19주차 (5/06~5/12)</v>
      </c>
      <c r="K870" s="6">
        <f t="shared" si="113"/>
        <v>2024</v>
      </c>
      <c r="L870" s="6">
        <f t="shared" si="114"/>
        <v>19</v>
      </c>
    </row>
    <row r="871" spans="1:12" x14ac:dyDescent="0.45">
      <c r="A871" s="6">
        <f t="shared" si="117"/>
        <v>2024</v>
      </c>
      <c r="B871" s="6">
        <f t="shared" si="120"/>
        <v>5</v>
      </c>
      <c r="C871" s="7">
        <v>45424</v>
      </c>
      <c r="D871" s="6">
        <f t="shared" si="118"/>
        <v>7</v>
      </c>
      <c r="E871" s="6">
        <f t="shared" si="119"/>
        <v>19</v>
      </c>
      <c r="F871" s="6">
        <v>2</v>
      </c>
      <c r="G871" s="6" t="str">
        <f t="shared" si="115"/>
        <v>05</v>
      </c>
      <c r="H871" s="6" t="str">
        <f t="shared" si="116"/>
        <v>05월 2주차</v>
      </c>
      <c r="I871" s="6" t="str">
        <f>H871&amp;" ("&amp;TEXT(C865,"m/dd")&amp;"~"&amp;TEXT(C871,"m/dd")&amp;")"</f>
        <v>05월 2주차 (5/06~5/12)</v>
      </c>
      <c r="J871" s="6" t="str">
        <f>A865&amp;"년 "&amp;WEEKNUM(C865,2)&amp;"주차"&amp;" ("&amp;TEXT(C865,"m/dd")&amp;"~"&amp;TEXT(C871,"m/dd")&amp;")"</f>
        <v>2024년 19주차 (5/06~5/12)</v>
      </c>
      <c r="K871" s="6">
        <f t="shared" si="113"/>
        <v>2024</v>
      </c>
      <c r="L871" s="6">
        <f t="shared" si="114"/>
        <v>19</v>
      </c>
    </row>
    <row r="872" spans="1:12" x14ac:dyDescent="0.45">
      <c r="A872" s="6">
        <f t="shared" si="117"/>
        <v>2024</v>
      </c>
      <c r="B872" s="6">
        <f t="shared" si="120"/>
        <v>5</v>
      </c>
      <c r="C872" s="7">
        <v>45425</v>
      </c>
      <c r="D872" s="6">
        <f t="shared" si="118"/>
        <v>1</v>
      </c>
      <c r="E872" s="6">
        <f t="shared" si="119"/>
        <v>20</v>
      </c>
      <c r="F872" s="6">
        <v>3</v>
      </c>
      <c r="G872" s="6" t="str">
        <f t="shared" si="115"/>
        <v>05</v>
      </c>
      <c r="H872" s="6" t="str">
        <f t="shared" si="116"/>
        <v>05월 3주차</v>
      </c>
      <c r="I872" s="6" t="str">
        <f>H872&amp;" ("&amp;TEXT(C872,"m/dd")&amp;"~"&amp;TEXT(C878,"m/dd")&amp;")"</f>
        <v>05월 3주차 (5/13~5/19)</v>
      </c>
      <c r="J872" s="6" t="str">
        <f>A872&amp;"년 "&amp;WEEKNUM(C872,2)&amp;"주차"&amp;" ("&amp;TEXT(C872,"m/dd")&amp;"~"&amp;TEXT(C878,"m/dd")&amp;")"</f>
        <v>2024년 20주차 (5/13~5/19)</v>
      </c>
      <c r="K872" s="6">
        <f t="shared" si="113"/>
        <v>2024</v>
      </c>
      <c r="L872" s="6">
        <f t="shared" si="114"/>
        <v>20</v>
      </c>
    </row>
    <row r="873" spans="1:12" x14ac:dyDescent="0.45">
      <c r="A873" s="6">
        <f t="shared" si="117"/>
        <v>2024</v>
      </c>
      <c r="B873" s="6">
        <f t="shared" si="120"/>
        <v>5</v>
      </c>
      <c r="C873" s="7">
        <v>45426</v>
      </c>
      <c r="D873" s="6">
        <f t="shared" si="118"/>
        <v>2</v>
      </c>
      <c r="E873" s="6">
        <f t="shared" si="119"/>
        <v>20</v>
      </c>
      <c r="F873" s="6">
        <v>3</v>
      </c>
      <c r="G873" s="6" t="str">
        <f t="shared" si="115"/>
        <v>05</v>
      </c>
      <c r="H873" s="6" t="str">
        <f t="shared" si="116"/>
        <v>05월 3주차</v>
      </c>
      <c r="I873" s="6" t="str">
        <f>H873&amp;" ("&amp;TEXT(C872,"m/dd")&amp;"~"&amp;TEXT(C878,"m/dd")&amp;")"</f>
        <v>05월 3주차 (5/13~5/19)</v>
      </c>
      <c r="J873" s="6" t="str">
        <f>A872&amp;"년 "&amp;WEEKNUM(C872,2)&amp;"주차"&amp;" ("&amp;TEXT(C872,"m/dd")&amp;"~"&amp;TEXT(C878,"m/dd")&amp;")"</f>
        <v>2024년 20주차 (5/13~5/19)</v>
      </c>
      <c r="K873" s="6">
        <f t="shared" si="113"/>
        <v>2024</v>
      </c>
      <c r="L873" s="6">
        <f t="shared" si="114"/>
        <v>20</v>
      </c>
    </row>
    <row r="874" spans="1:12" x14ac:dyDescent="0.45">
      <c r="A874" s="6">
        <f t="shared" si="117"/>
        <v>2024</v>
      </c>
      <c r="B874" s="6">
        <f t="shared" si="120"/>
        <v>5</v>
      </c>
      <c r="C874" s="7">
        <v>45427</v>
      </c>
      <c r="D874" s="6">
        <f t="shared" si="118"/>
        <v>3</v>
      </c>
      <c r="E874" s="6">
        <f t="shared" si="119"/>
        <v>20</v>
      </c>
      <c r="F874" s="6">
        <v>3</v>
      </c>
      <c r="G874" s="6" t="str">
        <f t="shared" si="115"/>
        <v>05</v>
      </c>
      <c r="H874" s="6" t="str">
        <f t="shared" si="116"/>
        <v>05월 3주차</v>
      </c>
      <c r="I874" s="6" t="str">
        <f>H874&amp;" ("&amp;TEXT(C872,"m/dd")&amp;"~"&amp;TEXT(C878,"m/dd")&amp;")"</f>
        <v>05월 3주차 (5/13~5/19)</v>
      </c>
      <c r="J874" s="6" t="str">
        <f>A872&amp;"년 "&amp;WEEKNUM(C872,2)&amp;"주차"&amp;" ("&amp;TEXT(C872,"m/dd")&amp;"~"&amp;TEXT(C878,"m/dd")&amp;")"</f>
        <v>2024년 20주차 (5/13~5/19)</v>
      </c>
      <c r="K874" s="6">
        <f t="shared" si="113"/>
        <v>2024</v>
      </c>
      <c r="L874" s="6">
        <f t="shared" si="114"/>
        <v>20</v>
      </c>
    </row>
    <row r="875" spans="1:12" x14ac:dyDescent="0.45">
      <c r="A875" s="6">
        <f t="shared" si="117"/>
        <v>2024</v>
      </c>
      <c r="B875" s="6">
        <f t="shared" si="120"/>
        <v>5</v>
      </c>
      <c r="C875" s="7">
        <v>45428</v>
      </c>
      <c r="D875" s="6">
        <f t="shared" si="118"/>
        <v>4</v>
      </c>
      <c r="E875" s="6">
        <f t="shared" si="119"/>
        <v>20</v>
      </c>
      <c r="F875" s="6">
        <v>3</v>
      </c>
      <c r="G875" s="6" t="str">
        <f t="shared" si="115"/>
        <v>05</v>
      </c>
      <c r="H875" s="6" t="str">
        <f t="shared" si="116"/>
        <v>05월 3주차</v>
      </c>
      <c r="I875" s="6" t="str">
        <f>H875&amp;" ("&amp;TEXT(C872,"m/dd")&amp;"~"&amp;TEXT(C878,"m/dd")&amp;")"</f>
        <v>05월 3주차 (5/13~5/19)</v>
      </c>
      <c r="J875" s="6" t="str">
        <f>A872&amp;"년 "&amp;WEEKNUM(C872,2)&amp;"주차"&amp;" ("&amp;TEXT(C872,"m/dd")&amp;"~"&amp;TEXT(C878,"m/dd")&amp;")"</f>
        <v>2024년 20주차 (5/13~5/19)</v>
      </c>
      <c r="K875" s="6">
        <f t="shared" si="113"/>
        <v>2024</v>
      </c>
      <c r="L875" s="6">
        <f t="shared" si="114"/>
        <v>20</v>
      </c>
    </row>
    <row r="876" spans="1:12" x14ac:dyDescent="0.45">
      <c r="A876" s="6">
        <f t="shared" si="117"/>
        <v>2024</v>
      </c>
      <c r="B876" s="6">
        <f t="shared" si="120"/>
        <v>5</v>
      </c>
      <c r="C876" s="7">
        <v>45429</v>
      </c>
      <c r="D876" s="6">
        <f t="shared" si="118"/>
        <v>5</v>
      </c>
      <c r="E876" s="6">
        <f t="shared" si="119"/>
        <v>20</v>
      </c>
      <c r="F876" s="6">
        <v>3</v>
      </c>
      <c r="G876" s="6" t="str">
        <f t="shared" si="115"/>
        <v>05</v>
      </c>
      <c r="H876" s="6" t="str">
        <f t="shared" si="116"/>
        <v>05월 3주차</v>
      </c>
      <c r="I876" s="6" t="str">
        <f>H876&amp;" ("&amp;TEXT(C872,"m/dd")&amp;"~"&amp;TEXT(C878,"m/dd")&amp;")"</f>
        <v>05월 3주차 (5/13~5/19)</v>
      </c>
      <c r="J876" s="6" t="str">
        <f>A872&amp;"년 "&amp;WEEKNUM(C872,2)&amp;"주차"&amp;" ("&amp;TEXT(C872,"m/dd")&amp;"~"&amp;TEXT(C878,"m/dd")&amp;")"</f>
        <v>2024년 20주차 (5/13~5/19)</v>
      </c>
      <c r="K876" s="6">
        <f t="shared" si="113"/>
        <v>2024</v>
      </c>
      <c r="L876" s="6">
        <f t="shared" si="114"/>
        <v>20</v>
      </c>
    </row>
    <row r="877" spans="1:12" x14ac:dyDescent="0.45">
      <c r="A877" s="6">
        <f t="shared" si="117"/>
        <v>2024</v>
      </c>
      <c r="B877" s="6">
        <f t="shared" si="120"/>
        <v>5</v>
      </c>
      <c r="C877" s="7">
        <v>45430</v>
      </c>
      <c r="D877" s="6">
        <f t="shared" si="118"/>
        <v>6</v>
      </c>
      <c r="E877" s="6">
        <f t="shared" si="119"/>
        <v>20</v>
      </c>
      <c r="F877" s="6">
        <v>3</v>
      </c>
      <c r="G877" s="6" t="str">
        <f t="shared" si="115"/>
        <v>05</v>
      </c>
      <c r="H877" s="6" t="str">
        <f t="shared" si="116"/>
        <v>05월 3주차</v>
      </c>
      <c r="I877" s="6" t="str">
        <f>H877&amp;" ("&amp;TEXT(C872,"m/dd")&amp;"~"&amp;TEXT(C878,"m/dd")&amp;")"</f>
        <v>05월 3주차 (5/13~5/19)</v>
      </c>
      <c r="J877" s="6" t="str">
        <f>A872&amp;"년 "&amp;WEEKNUM(C872,2)&amp;"주차"&amp;" ("&amp;TEXT(C872,"m/dd")&amp;"~"&amp;TEXT(C878,"m/dd")&amp;")"</f>
        <v>2024년 20주차 (5/13~5/19)</v>
      </c>
      <c r="K877" s="6">
        <f t="shared" si="113"/>
        <v>2024</v>
      </c>
      <c r="L877" s="6">
        <f t="shared" si="114"/>
        <v>20</v>
      </c>
    </row>
    <row r="878" spans="1:12" x14ac:dyDescent="0.45">
      <c r="A878" s="6">
        <f t="shared" si="117"/>
        <v>2024</v>
      </c>
      <c r="B878" s="6">
        <f t="shared" si="120"/>
        <v>5</v>
      </c>
      <c r="C878" s="7">
        <v>45431</v>
      </c>
      <c r="D878" s="6">
        <f t="shared" si="118"/>
        <v>7</v>
      </c>
      <c r="E878" s="6">
        <f t="shared" si="119"/>
        <v>20</v>
      </c>
      <c r="F878" s="6">
        <v>3</v>
      </c>
      <c r="G878" s="6" t="str">
        <f t="shared" si="115"/>
        <v>05</v>
      </c>
      <c r="H878" s="6" t="str">
        <f t="shared" si="116"/>
        <v>05월 3주차</v>
      </c>
      <c r="I878" s="6" t="str">
        <f>H878&amp;" ("&amp;TEXT(C872,"m/dd")&amp;"~"&amp;TEXT(C878,"m/dd")&amp;")"</f>
        <v>05월 3주차 (5/13~5/19)</v>
      </c>
      <c r="J878" s="6" t="str">
        <f>A872&amp;"년 "&amp;WEEKNUM(C872,2)&amp;"주차"&amp;" ("&amp;TEXT(C872,"m/dd")&amp;"~"&amp;TEXT(C878,"m/dd")&amp;")"</f>
        <v>2024년 20주차 (5/13~5/19)</v>
      </c>
      <c r="K878" s="6">
        <f t="shared" si="113"/>
        <v>2024</v>
      </c>
      <c r="L878" s="6">
        <f t="shared" si="114"/>
        <v>20</v>
      </c>
    </row>
    <row r="879" spans="1:12" x14ac:dyDescent="0.45">
      <c r="A879" s="6">
        <f t="shared" si="117"/>
        <v>2024</v>
      </c>
      <c r="B879" s="6">
        <f t="shared" si="120"/>
        <v>5</v>
      </c>
      <c r="C879" s="7">
        <v>45432</v>
      </c>
      <c r="D879" s="6">
        <f t="shared" si="118"/>
        <v>1</v>
      </c>
      <c r="E879" s="6">
        <f t="shared" si="119"/>
        <v>21</v>
      </c>
      <c r="F879" s="6">
        <v>4</v>
      </c>
      <c r="G879" s="6" t="str">
        <f t="shared" si="115"/>
        <v>05</v>
      </c>
      <c r="H879" s="6" t="str">
        <f t="shared" si="116"/>
        <v>05월 4주차</v>
      </c>
      <c r="I879" s="6" t="str">
        <f>H879&amp;" ("&amp;TEXT(C879,"m/dd")&amp;"~"&amp;TEXT(C885,"m/dd")&amp;")"</f>
        <v>05월 4주차 (5/20~5/26)</v>
      </c>
      <c r="J879" s="6" t="str">
        <f>A879&amp;"년 "&amp;WEEKNUM(C879,2)&amp;"주차"&amp;" ("&amp;TEXT(C879,"m/dd")&amp;"~"&amp;TEXT(C885,"m/dd")&amp;")"</f>
        <v>2024년 21주차 (5/20~5/26)</v>
      </c>
      <c r="K879" s="6">
        <f t="shared" ref="K879:K942" si="121">YEAR(C879)</f>
        <v>2024</v>
      </c>
      <c r="L879" s="6">
        <f t="shared" ref="L879:L942" si="122">WEEKNUM(C879,2)</f>
        <v>21</v>
      </c>
    </row>
    <row r="880" spans="1:12" x14ac:dyDescent="0.45">
      <c r="A880" s="6">
        <f t="shared" si="117"/>
        <v>2024</v>
      </c>
      <c r="B880" s="6">
        <f t="shared" si="120"/>
        <v>5</v>
      </c>
      <c r="C880" s="7">
        <v>45433</v>
      </c>
      <c r="D880" s="6">
        <f t="shared" si="118"/>
        <v>2</v>
      </c>
      <c r="E880" s="6">
        <f t="shared" si="119"/>
        <v>21</v>
      </c>
      <c r="F880" s="6">
        <v>4</v>
      </c>
      <c r="G880" s="6" t="str">
        <f t="shared" si="115"/>
        <v>05</v>
      </c>
      <c r="H880" s="6" t="str">
        <f t="shared" si="116"/>
        <v>05월 4주차</v>
      </c>
      <c r="I880" s="6" t="str">
        <f>H880&amp;" ("&amp;TEXT(C879,"m/dd")&amp;"~"&amp;TEXT(C885,"m/dd")&amp;")"</f>
        <v>05월 4주차 (5/20~5/26)</v>
      </c>
      <c r="J880" s="6" t="str">
        <f>A879&amp;"년 "&amp;WEEKNUM(C879,2)&amp;"주차"&amp;" ("&amp;TEXT(C879,"m/dd")&amp;"~"&amp;TEXT(C885,"m/dd")&amp;")"</f>
        <v>2024년 21주차 (5/20~5/26)</v>
      </c>
      <c r="K880" s="6">
        <f t="shared" si="121"/>
        <v>2024</v>
      </c>
      <c r="L880" s="6">
        <f t="shared" si="122"/>
        <v>21</v>
      </c>
    </row>
    <row r="881" spans="1:12" x14ac:dyDescent="0.45">
      <c r="A881" s="6">
        <f t="shared" si="117"/>
        <v>2024</v>
      </c>
      <c r="B881" s="6">
        <f t="shared" si="120"/>
        <v>5</v>
      </c>
      <c r="C881" s="7">
        <v>45434</v>
      </c>
      <c r="D881" s="6">
        <f t="shared" si="118"/>
        <v>3</v>
      </c>
      <c r="E881" s="6">
        <f t="shared" si="119"/>
        <v>21</v>
      </c>
      <c r="F881" s="6">
        <v>4</v>
      </c>
      <c r="G881" s="6" t="str">
        <f t="shared" si="115"/>
        <v>05</v>
      </c>
      <c r="H881" s="6" t="str">
        <f t="shared" si="116"/>
        <v>05월 4주차</v>
      </c>
      <c r="I881" s="6" t="str">
        <f>H881&amp;" ("&amp;TEXT(C879,"m/dd")&amp;"~"&amp;TEXT(C885,"m/dd")&amp;")"</f>
        <v>05월 4주차 (5/20~5/26)</v>
      </c>
      <c r="J881" s="6" t="str">
        <f>A879&amp;"년 "&amp;WEEKNUM(C879,2)&amp;"주차"&amp;" ("&amp;TEXT(C879,"m/dd")&amp;"~"&amp;TEXT(C885,"m/dd")&amp;")"</f>
        <v>2024년 21주차 (5/20~5/26)</v>
      </c>
      <c r="K881" s="6">
        <f t="shared" si="121"/>
        <v>2024</v>
      </c>
      <c r="L881" s="6">
        <f t="shared" si="122"/>
        <v>21</v>
      </c>
    </row>
    <row r="882" spans="1:12" x14ac:dyDescent="0.45">
      <c r="A882" s="6">
        <f t="shared" si="117"/>
        <v>2024</v>
      </c>
      <c r="B882" s="6">
        <f t="shared" si="120"/>
        <v>5</v>
      </c>
      <c r="C882" s="7">
        <v>45435</v>
      </c>
      <c r="D882" s="6">
        <f t="shared" si="118"/>
        <v>4</v>
      </c>
      <c r="E882" s="6">
        <f t="shared" si="119"/>
        <v>21</v>
      </c>
      <c r="F882" s="6">
        <v>4</v>
      </c>
      <c r="G882" s="6" t="str">
        <f t="shared" si="115"/>
        <v>05</v>
      </c>
      <c r="H882" s="6" t="str">
        <f t="shared" si="116"/>
        <v>05월 4주차</v>
      </c>
      <c r="I882" s="6" t="str">
        <f>H882&amp;" ("&amp;TEXT(C879,"m/dd")&amp;"~"&amp;TEXT(C885,"m/dd")&amp;")"</f>
        <v>05월 4주차 (5/20~5/26)</v>
      </c>
      <c r="J882" s="6" t="str">
        <f>A879&amp;"년 "&amp;WEEKNUM(C879,2)&amp;"주차"&amp;" ("&amp;TEXT(C879,"m/dd")&amp;"~"&amp;TEXT(C885,"m/dd")&amp;")"</f>
        <v>2024년 21주차 (5/20~5/26)</v>
      </c>
      <c r="K882" s="6">
        <f t="shared" si="121"/>
        <v>2024</v>
      </c>
      <c r="L882" s="6">
        <f t="shared" si="122"/>
        <v>21</v>
      </c>
    </row>
    <row r="883" spans="1:12" x14ac:dyDescent="0.45">
      <c r="A883" s="6">
        <f t="shared" si="117"/>
        <v>2024</v>
      </c>
      <c r="B883" s="6">
        <f t="shared" si="120"/>
        <v>5</v>
      </c>
      <c r="C883" s="7">
        <v>45436</v>
      </c>
      <c r="D883" s="6">
        <f t="shared" si="118"/>
        <v>5</v>
      </c>
      <c r="E883" s="6">
        <f t="shared" si="119"/>
        <v>21</v>
      </c>
      <c r="F883" s="6">
        <v>4</v>
      </c>
      <c r="G883" s="6" t="str">
        <f t="shared" si="115"/>
        <v>05</v>
      </c>
      <c r="H883" s="6" t="str">
        <f t="shared" si="116"/>
        <v>05월 4주차</v>
      </c>
      <c r="I883" s="6" t="str">
        <f>H883&amp;" ("&amp;TEXT(C879,"m/dd")&amp;"~"&amp;TEXT(C885,"m/dd")&amp;")"</f>
        <v>05월 4주차 (5/20~5/26)</v>
      </c>
      <c r="J883" s="6" t="str">
        <f>A879&amp;"년 "&amp;WEEKNUM(C879,2)&amp;"주차"&amp;" ("&amp;TEXT(C879,"m/dd")&amp;"~"&amp;TEXT(C885,"m/dd")&amp;")"</f>
        <v>2024년 21주차 (5/20~5/26)</v>
      </c>
      <c r="K883" s="6">
        <f t="shared" si="121"/>
        <v>2024</v>
      </c>
      <c r="L883" s="6">
        <f t="shared" si="122"/>
        <v>21</v>
      </c>
    </row>
    <row r="884" spans="1:12" x14ac:dyDescent="0.45">
      <c r="A884" s="6">
        <f t="shared" si="117"/>
        <v>2024</v>
      </c>
      <c r="B884" s="6">
        <f t="shared" si="120"/>
        <v>5</v>
      </c>
      <c r="C884" s="7">
        <v>45437</v>
      </c>
      <c r="D884" s="6">
        <f t="shared" si="118"/>
        <v>6</v>
      </c>
      <c r="E884" s="6">
        <f t="shared" si="119"/>
        <v>21</v>
      </c>
      <c r="F884" s="6">
        <v>4</v>
      </c>
      <c r="G884" s="6" t="str">
        <f t="shared" si="115"/>
        <v>05</v>
      </c>
      <c r="H884" s="6" t="str">
        <f t="shared" si="116"/>
        <v>05월 4주차</v>
      </c>
      <c r="I884" s="6" t="str">
        <f>H884&amp;" ("&amp;TEXT(C879,"m/dd")&amp;"~"&amp;TEXT(C885,"m/dd")&amp;")"</f>
        <v>05월 4주차 (5/20~5/26)</v>
      </c>
      <c r="J884" s="6" t="str">
        <f>A879&amp;"년 "&amp;WEEKNUM(C879,2)&amp;"주차"&amp;" ("&amp;TEXT(C879,"m/dd")&amp;"~"&amp;TEXT(C885,"m/dd")&amp;")"</f>
        <v>2024년 21주차 (5/20~5/26)</v>
      </c>
      <c r="K884" s="6">
        <f t="shared" si="121"/>
        <v>2024</v>
      </c>
      <c r="L884" s="6">
        <f t="shared" si="122"/>
        <v>21</v>
      </c>
    </row>
    <row r="885" spans="1:12" x14ac:dyDescent="0.45">
      <c r="A885" s="6">
        <f t="shared" si="117"/>
        <v>2024</v>
      </c>
      <c r="B885" s="6">
        <f t="shared" si="120"/>
        <v>5</v>
      </c>
      <c r="C885" s="7">
        <v>45438</v>
      </c>
      <c r="D885" s="6">
        <f t="shared" si="118"/>
        <v>7</v>
      </c>
      <c r="E885" s="6">
        <f t="shared" si="119"/>
        <v>21</v>
      </c>
      <c r="F885" s="6">
        <v>4</v>
      </c>
      <c r="G885" s="6" t="str">
        <f t="shared" si="115"/>
        <v>05</v>
      </c>
      <c r="H885" s="6" t="str">
        <f t="shared" si="116"/>
        <v>05월 4주차</v>
      </c>
      <c r="I885" s="6" t="str">
        <f>H885&amp;" ("&amp;TEXT(C879,"m/dd")&amp;"~"&amp;TEXT(C885,"m/dd")&amp;")"</f>
        <v>05월 4주차 (5/20~5/26)</v>
      </c>
      <c r="J885" s="6" t="str">
        <f>A879&amp;"년 "&amp;WEEKNUM(C879,2)&amp;"주차"&amp;" ("&amp;TEXT(C879,"m/dd")&amp;"~"&amp;TEXT(C885,"m/dd")&amp;")"</f>
        <v>2024년 21주차 (5/20~5/26)</v>
      </c>
      <c r="K885" s="6">
        <f t="shared" si="121"/>
        <v>2024</v>
      </c>
      <c r="L885" s="6">
        <f t="shared" si="122"/>
        <v>21</v>
      </c>
    </row>
    <row r="886" spans="1:12" x14ac:dyDescent="0.45">
      <c r="A886" s="6">
        <f t="shared" si="117"/>
        <v>2024</v>
      </c>
      <c r="B886" s="6">
        <f t="shared" si="120"/>
        <v>5</v>
      </c>
      <c r="C886" s="7">
        <v>45439</v>
      </c>
      <c r="D886" s="6">
        <f t="shared" si="118"/>
        <v>1</v>
      </c>
      <c r="E886" s="6">
        <f t="shared" si="119"/>
        <v>22</v>
      </c>
      <c r="F886" s="6">
        <v>5</v>
      </c>
      <c r="G886" s="6" t="str">
        <f t="shared" si="115"/>
        <v>05</v>
      </c>
      <c r="H886" s="6" t="str">
        <f t="shared" si="116"/>
        <v>05월 5주차</v>
      </c>
      <c r="I886" s="6" t="str">
        <f>H886&amp;" ("&amp;TEXT(C886,"m/dd")&amp;"~"&amp;TEXT(C892,"m/dd")&amp;")"</f>
        <v>05월 5주차 (5/27~6/02)</v>
      </c>
      <c r="J886" s="6" t="str">
        <f>A886&amp;"년 "&amp;WEEKNUM(C886,2)&amp;"주차"&amp;" ("&amp;TEXT(C886,"m/dd")&amp;"~"&amp;TEXT(C892,"m/dd")&amp;")"</f>
        <v>2024년 22주차 (5/27~6/02)</v>
      </c>
      <c r="K886" s="6">
        <f t="shared" si="121"/>
        <v>2024</v>
      </c>
      <c r="L886" s="6">
        <f t="shared" si="122"/>
        <v>22</v>
      </c>
    </row>
    <row r="887" spans="1:12" x14ac:dyDescent="0.45">
      <c r="A887" s="6">
        <f t="shared" si="117"/>
        <v>2024</v>
      </c>
      <c r="B887" s="6">
        <f t="shared" si="120"/>
        <v>5</v>
      </c>
      <c r="C887" s="7">
        <v>45440</v>
      </c>
      <c r="D887" s="6">
        <f t="shared" si="118"/>
        <v>2</v>
      </c>
      <c r="E887" s="6">
        <f t="shared" si="119"/>
        <v>22</v>
      </c>
      <c r="F887" s="6">
        <v>5</v>
      </c>
      <c r="G887" s="6" t="str">
        <f t="shared" si="115"/>
        <v>05</v>
      </c>
      <c r="H887" s="6" t="str">
        <f t="shared" si="116"/>
        <v>05월 5주차</v>
      </c>
      <c r="I887" s="6" t="str">
        <f>H887&amp;" ("&amp;TEXT(C886,"m/dd")&amp;"~"&amp;TEXT(C892,"m/dd")&amp;")"</f>
        <v>05월 5주차 (5/27~6/02)</v>
      </c>
      <c r="J887" s="6" t="str">
        <f>A886&amp;"년 "&amp;WEEKNUM(C886,2)&amp;"주차"&amp;" ("&amp;TEXT(C886,"m/dd")&amp;"~"&amp;TEXT(C892,"m/dd")&amp;")"</f>
        <v>2024년 22주차 (5/27~6/02)</v>
      </c>
      <c r="K887" s="6">
        <f t="shared" si="121"/>
        <v>2024</v>
      </c>
      <c r="L887" s="6">
        <f t="shared" si="122"/>
        <v>22</v>
      </c>
    </row>
    <row r="888" spans="1:12" x14ac:dyDescent="0.45">
      <c r="A888" s="6">
        <f t="shared" si="117"/>
        <v>2024</v>
      </c>
      <c r="B888" s="6">
        <f t="shared" si="120"/>
        <v>5</v>
      </c>
      <c r="C888" s="7">
        <v>45441</v>
      </c>
      <c r="D888" s="6">
        <f t="shared" si="118"/>
        <v>3</v>
      </c>
      <c r="E888" s="6">
        <f t="shared" si="119"/>
        <v>22</v>
      </c>
      <c r="F888" s="6">
        <v>5</v>
      </c>
      <c r="G888" s="6" t="str">
        <f t="shared" si="115"/>
        <v>05</v>
      </c>
      <c r="H888" s="6" t="str">
        <f t="shared" si="116"/>
        <v>05월 5주차</v>
      </c>
      <c r="I888" s="6" t="str">
        <f>H888&amp;" ("&amp;TEXT(C886,"m/dd")&amp;"~"&amp;TEXT(C892,"m/dd")&amp;")"</f>
        <v>05월 5주차 (5/27~6/02)</v>
      </c>
      <c r="J888" s="6" t="str">
        <f>A886&amp;"년 "&amp;WEEKNUM(C886,2)&amp;"주차"&amp;" ("&amp;TEXT(C886,"m/dd")&amp;"~"&amp;TEXT(C892,"m/dd")&amp;")"</f>
        <v>2024년 22주차 (5/27~6/02)</v>
      </c>
      <c r="K888" s="6">
        <f t="shared" si="121"/>
        <v>2024</v>
      </c>
      <c r="L888" s="6">
        <f t="shared" si="122"/>
        <v>22</v>
      </c>
    </row>
    <row r="889" spans="1:12" x14ac:dyDescent="0.45">
      <c r="A889" s="6">
        <f t="shared" si="117"/>
        <v>2024</v>
      </c>
      <c r="B889" s="6">
        <f t="shared" si="120"/>
        <v>5</v>
      </c>
      <c r="C889" s="7">
        <v>45442</v>
      </c>
      <c r="D889" s="6">
        <f t="shared" si="118"/>
        <v>4</v>
      </c>
      <c r="E889" s="6">
        <f t="shared" si="119"/>
        <v>22</v>
      </c>
      <c r="F889" s="6">
        <v>5</v>
      </c>
      <c r="G889" s="6" t="str">
        <f t="shared" si="115"/>
        <v>05</v>
      </c>
      <c r="H889" s="6" t="str">
        <f t="shared" si="116"/>
        <v>05월 5주차</v>
      </c>
      <c r="I889" s="6" t="str">
        <f>H889&amp;" ("&amp;TEXT(C886,"m/dd")&amp;"~"&amp;TEXT(C892,"m/dd")&amp;")"</f>
        <v>05월 5주차 (5/27~6/02)</v>
      </c>
      <c r="J889" s="6" t="str">
        <f>A886&amp;"년 "&amp;WEEKNUM(C886,2)&amp;"주차"&amp;" ("&amp;TEXT(C886,"m/dd")&amp;"~"&amp;TEXT(C892,"m/dd")&amp;")"</f>
        <v>2024년 22주차 (5/27~6/02)</v>
      </c>
      <c r="K889" s="6">
        <f t="shared" si="121"/>
        <v>2024</v>
      </c>
      <c r="L889" s="6">
        <f t="shared" si="122"/>
        <v>22</v>
      </c>
    </row>
    <row r="890" spans="1:12" x14ac:dyDescent="0.45">
      <c r="A890" s="6">
        <f t="shared" si="117"/>
        <v>2024</v>
      </c>
      <c r="B890" s="6">
        <f t="shared" si="120"/>
        <v>5</v>
      </c>
      <c r="C890" s="7">
        <v>45443</v>
      </c>
      <c r="D890" s="6">
        <f t="shared" si="118"/>
        <v>5</v>
      </c>
      <c r="E890" s="6">
        <f t="shared" si="119"/>
        <v>22</v>
      </c>
      <c r="F890" s="6">
        <v>5</v>
      </c>
      <c r="G890" s="6" t="str">
        <f t="shared" si="115"/>
        <v>05</v>
      </c>
      <c r="H890" s="6" t="str">
        <f t="shared" si="116"/>
        <v>05월 5주차</v>
      </c>
      <c r="I890" s="6" t="str">
        <f>H890&amp;" ("&amp;TEXT(C886,"m/dd")&amp;"~"&amp;TEXT(C892,"m/dd")&amp;")"</f>
        <v>05월 5주차 (5/27~6/02)</v>
      </c>
      <c r="J890" s="6" t="str">
        <f>A886&amp;"년 "&amp;WEEKNUM(C886,2)&amp;"주차"&amp;" ("&amp;TEXT(C886,"m/dd")&amp;"~"&amp;TEXT(C892,"m/dd")&amp;")"</f>
        <v>2024년 22주차 (5/27~6/02)</v>
      </c>
      <c r="K890" s="6">
        <f t="shared" si="121"/>
        <v>2024</v>
      </c>
      <c r="L890" s="6">
        <f t="shared" si="122"/>
        <v>22</v>
      </c>
    </row>
    <row r="891" spans="1:12" x14ac:dyDescent="0.45">
      <c r="A891" s="6">
        <f t="shared" si="117"/>
        <v>2024</v>
      </c>
      <c r="B891" s="6">
        <v>5</v>
      </c>
      <c r="C891" s="7">
        <v>45444</v>
      </c>
      <c r="D891" s="6">
        <f t="shared" si="118"/>
        <v>6</v>
      </c>
      <c r="E891" s="6">
        <f t="shared" si="119"/>
        <v>22</v>
      </c>
      <c r="F891" s="6">
        <v>5</v>
      </c>
      <c r="G891" s="6" t="str">
        <f t="shared" si="115"/>
        <v>05</v>
      </c>
      <c r="H891" s="6" t="str">
        <f t="shared" si="116"/>
        <v>05월 5주차</v>
      </c>
      <c r="I891" s="6" t="str">
        <f>H891&amp;" ("&amp;TEXT(C886,"m/dd")&amp;"~"&amp;TEXT(C892,"m/dd")&amp;")"</f>
        <v>05월 5주차 (5/27~6/02)</v>
      </c>
      <c r="J891" s="6" t="str">
        <f>A886&amp;"년 "&amp;WEEKNUM(C886,2)&amp;"주차"&amp;" ("&amp;TEXT(C886,"m/dd")&amp;"~"&amp;TEXT(C892,"m/dd")&amp;")"</f>
        <v>2024년 22주차 (5/27~6/02)</v>
      </c>
      <c r="K891" s="6">
        <f t="shared" si="121"/>
        <v>2024</v>
      </c>
      <c r="L891" s="6">
        <f t="shared" si="122"/>
        <v>22</v>
      </c>
    </row>
    <row r="892" spans="1:12" x14ac:dyDescent="0.45">
      <c r="A892" s="6">
        <f t="shared" si="117"/>
        <v>2024</v>
      </c>
      <c r="B892" s="6">
        <v>5</v>
      </c>
      <c r="C892" s="7">
        <v>45445</v>
      </c>
      <c r="D892" s="6">
        <f t="shared" si="118"/>
        <v>7</v>
      </c>
      <c r="E892" s="6">
        <f t="shared" si="119"/>
        <v>22</v>
      </c>
      <c r="F892" s="6">
        <v>5</v>
      </c>
      <c r="G892" s="6" t="str">
        <f t="shared" si="115"/>
        <v>05</v>
      </c>
      <c r="H892" s="6" t="str">
        <f t="shared" si="116"/>
        <v>05월 5주차</v>
      </c>
      <c r="I892" s="6" t="str">
        <f>H892&amp;" ("&amp;TEXT(C886,"m/dd")&amp;"~"&amp;TEXT(C892,"m/dd")&amp;")"</f>
        <v>05월 5주차 (5/27~6/02)</v>
      </c>
      <c r="J892" s="6" t="str">
        <f>A886&amp;"년 "&amp;WEEKNUM(C886,2)&amp;"주차"&amp;" ("&amp;TEXT(C886,"m/dd")&amp;"~"&amp;TEXT(C892,"m/dd")&amp;")"</f>
        <v>2024년 22주차 (5/27~6/02)</v>
      </c>
      <c r="K892" s="6">
        <f t="shared" si="121"/>
        <v>2024</v>
      </c>
      <c r="L892" s="6">
        <f t="shared" si="122"/>
        <v>22</v>
      </c>
    </row>
    <row r="893" spans="1:12" x14ac:dyDescent="0.45">
      <c r="A893" s="6">
        <f t="shared" si="117"/>
        <v>2024</v>
      </c>
      <c r="B893" s="6">
        <f t="shared" si="120"/>
        <v>6</v>
      </c>
      <c r="C893" s="7">
        <v>45446</v>
      </c>
      <c r="D893" s="6">
        <f t="shared" si="118"/>
        <v>1</v>
      </c>
      <c r="E893" s="6">
        <f t="shared" si="119"/>
        <v>23</v>
      </c>
      <c r="F893" s="6">
        <f t="shared" ref="F893:F948" si="123">WEEKNUM(DATE(YEAR(C893),1,DAY(C893-WEEKDAY(C893,2)+1)),WEEKDAY(DATE(YEAR(C893),1,1),11)+10)</f>
        <v>1</v>
      </c>
      <c r="G893" s="6" t="str">
        <f t="shared" si="115"/>
        <v>06</v>
      </c>
      <c r="H893" s="6" t="str">
        <f t="shared" si="116"/>
        <v>06월 1주차</v>
      </c>
      <c r="I893" s="6" t="str">
        <f>H893&amp;" ("&amp;TEXT(C893,"m/dd")&amp;"~"&amp;TEXT(C899,"m/dd")&amp;")"</f>
        <v>06월 1주차 (6/03~6/09)</v>
      </c>
      <c r="J893" s="6" t="str">
        <f>A893&amp;"년 "&amp;WEEKNUM(C893,2)&amp;"주차"&amp;" ("&amp;TEXT(C893,"m/dd")&amp;"~"&amp;TEXT(C899,"m/dd")&amp;")"</f>
        <v>2024년 23주차 (6/03~6/09)</v>
      </c>
      <c r="K893" s="6">
        <f t="shared" si="121"/>
        <v>2024</v>
      </c>
      <c r="L893" s="6">
        <f t="shared" si="122"/>
        <v>23</v>
      </c>
    </row>
    <row r="894" spans="1:12" x14ac:dyDescent="0.45">
      <c r="A894" s="6">
        <f t="shared" si="117"/>
        <v>2024</v>
      </c>
      <c r="B894" s="6">
        <f t="shared" si="120"/>
        <v>6</v>
      </c>
      <c r="C894" s="7">
        <v>45447</v>
      </c>
      <c r="D894" s="6">
        <f t="shared" si="118"/>
        <v>2</v>
      </c>
      <c r="E894" s="6">
        <f t="shared" si="119"/>
        <v>23</v>
      </c>
      <c r="F894" s="6">
        <f t="shared" si="123"/>
        <v>1</v>
      </c>
      <c r="G894" s="6" t="str">
        <f t="shared" si="115"/>
        <v>06</v>
      </c>
      <c r="H894" s="6" t="str">
        <f t="shared" si="116"/>
        <v>06월 1주차</v>
      </c>
      <c r="I894" s="6" t="str">
        <f>H894&amp;" ("&amp;TEXT(C893,"m/dd")&amp;"~"&amp;TEXT(C899,"m/dd")&amp;")"</f>
        <v>06월 1주차 (6/03~6/09)</v>
      </c>
      <c r="J894" s="6" t="str">
        <f>A893&amp;"년 "&amp;WEEKNUM(C893,2)&amp;"주차"&amp;" ("&amp;TEXT(C893,"m/dd")&amp;"~"&amp;TEXT(C899,"m/dd")&amp;")"</f>
        <v>2024년 23주차 (6/03~6/09)</v>
      </c>
      <c r="K894" s="6">
        <f t="shared" si="121"/>
        <v>2024</v>
      </c>
      <c r="L894" s="6">
        <f t="shared" si="122"/>
        <v>23</v>
      </c>
    </row>
    <row r="895" spans="1:12" x14ac:dyDescent="0.45">
      <c r="A895" s="6">
        <f t="shared" si="117"/>
        <v>2024</v>
      </c>
      <c r="B895" s="6">
        <f t="shared" si="120"/>
        <v>6</v>
      </c>
      <c r="C895" s="7">
        <v>45448</v>
      </c>
      <c r="D895" s="6">
        <f t="shared" si="118"/>
        <v>3</v>
      </c>
      <c r="E895" s="6">
        <f t="shared" si="119"/>
        <v>23</v>
      </c>
      <c r="F895" s="6">
        <f t="shared" si="123"/>
        <v>1</v>
      </c>
      <c r="G895" s="6" t="str">
        <f t="shared" si="115"/>
        <v>06</v>
      </c>
      <c r="H895" s="6" t="str">
        <f t="shared" si="116"/>
        <v>06월 1주차</v>
      </c>
      <c r="I895" s="6" t="str">
        <f>H895&amp;" ("&amp;TEXT(C893,"m/dd")&amp;"~"&amp;TEXT(C899,"m/dd")&amp;")"</f>
        <v>06월 1주차 (6/03~6/09)</v>
      </c>
      <c r="J895" s="6" t="str">
        <f>A893&amp;"년 "&amp;WEEKNUM(C893,2)&amp;"주차"&amp;" ("&amp;TEXT(C893,"m/dd")&amp;"~"&amp;TEXT(C899,"m/dd")&amp;")"</f>
        <v>2024년 23주차 (6/03~6/09)</v>
      </c>
      <c r="K895" s="6">
        <f t="shared" si="121"/>
        <v>2024</v>
      </c>
      <c r="L895" s="6">
        <f t="shared" si="122"/>
        <v>23</v>
      </c>
    </row>
    <row r="896" spans="1:12" x14ac:dyDescent="0.45">
      <c r="A896" s="6">
        <f t="shared" si="117"/>
        <v>2024</v>
      </c>
      <c r="B896" s="6">
        <f t="shared" si="120"/>
        <v>6</v>
      </c>
      <c r="C896" s="7">
        <v>45449</v>
      </c>
      <c r="D896" s="6">
        <f t="shared" si="118"/>
        <v>4</v>
      </c>
      <c r="E896" s="6">
        <f t="shared" si="119"/>
        <v>23</v>
      </c>
      <c r="F896" s="6">
        <f t="shared" si="123"/>
        <v>1</v>
      </c>
      <c r="G896" s="6" t="str">
        <f t="shared" si="115"/>
        <v>06</v>
      </c>
      <c r="H896" s="6" t="str">
        <f t="shared" si="116"/>
        <v>06월 1주차</v>
      </c>
      <c r="I896" s="6" t="str">
        <f>H896&amp;" ("&amp;TEXT(C893,"m/dd")&amp;"~"&amp;TEXT(C899,"m/dd")&amp;")"</f>
        <v>06월 1주차 (6/03~6/09)</v>
      </c>
      <c r="J896" s="6" t="str">
        <f>A893&amp;"년 "&amp;WEEKNUM(C893,2)&amp;"주차"&amp;" ("&amp;TEXT(C893,"m/dd")&amp;"~"&amp;TEXT(C899,"m/dd")&amp;")"</f>
        <v>2024년 23주차 (6/03~6/09)</v>
      </c>
      <c r="K896" s="6">
        <f t="shared" si="121"/>
        <v>2024</v>
      </c>
      <c r="L896" s="6">
        <f t="shared" si="122"/>
        <v>23</v>
      </c>
    </row>
    <row r="897" spans="1:12" x14ac:dyDescent="0.45">
      <c r="A897" s="6">
        <f t="shared" si="117"/>
        <v>2024</v>
      </c>
      <c r="B897" s="6">
        <f t="shared" si="120"/>
        <v>6</v>
      </c>
      <c r="C897" s="7">
        <v>45450</v>
      </c>
      <c r="D897" s="6">
        <f t="shared" si="118"/>
        <v>5</v>
      </c>
      <c r="E897" s="6">
        <f t="shared" si="119"/>
        <v>23</v>
      </c>
      <c r="F897" s="6">
        <f t="shared" si="123"/>
        <v>1</v>
      </c>
      <c r="G897" s="6" t="str">
        <f t="shared" si="115"/>
        <v>06</v>
      </c>
      <c r="H897" s="6" t="str">
        <f t="shared" si="116"/>
        <v>06월 1주차</v>
      </c>
      <c r="I897" s="6" t="str">
        <f>H897&amp;" ("&amp;TEXT(C893,"m/dd")&amp;"~"&amp;TEXT(C899,"m/dd")&amp;")"</f>
        <v>06월 1주차 (6/03~6/09)</v>
      </c>
      <c r="J897" s="6" t="str">
        <f>A893&amp;"년 "&amp;WEEKNUM(C893,2)&amp;"주차"&amp;" ("&amp;TEXT(C893,"m/dd")&amp;"~"&amp;TEXT(C899,"m/dd")&amp;")"</f>
        <v>2024년 23주차 (6/03~6/09)</v>
      </c>
      <c r="K897" s="6">
        <f t="shared" si="121"/>
        <v>2024</v>
      </c>
      <c r="L897" s="6">
        <f t="shared" si="122"/>
        <v>23</v>
      </c>
    </row>
    <row r="898" spans="1:12" x14ac:dyDescent="0.45">
      <c r="A898" s="6">
        <f t="shared" si="117"/>
        <v>2024</v>
      </c>
      <c r="B898" s="6">
        <f t="shared" si="120"/>
        <v>6</v>
      </c>
      <c r="C898" s="7">
        <v>45451</v>
      </c>
      <c r="D898" s="6">
        <f t="shared" si="118"/>
        <v>6</v>
      </c>
      <c r="E898" s="6">
        <f t="shared" si="119"/>
        <v>23</v>
      </c>
      <c r="F898" s="6">
        <f t="shared" si="123"/>
        <v>1</v>
      </c>
      <c r="G898" s="6" t="str">
        <f t="shared" si="115"/>
        <v>06</v>
      </c>
      <c r="H898" s="6" t="str">
        <f t="shared" si="116"/>
        <v>06월 1주차</v>
      </c>
      <c r="I898" s="6" t="str">
        <f>H898&amp;" ("&amp;TEXT(C893,"m/dd")&amp;"~"&amp;TEXT(C899,"m/dd")&amp;")"</f>
        <v>06월 1주차 (6/03~6/09)</v>
      </c>
      <c r="J898" s="6" t="str">
        <f>A893&amp;"년 "&amp;WEEKNUM(C893,2)&amp;"주차"&amp;" ("&amp;TEXT(C893,"m/dd")&amp;"~"&amp;TEXT(C899,"m/dd")&amp;")"</f>
        <v>2024년 23주차 (6/03~6/09)</v>
      </c>
      <c r="K898" s="6">
        <f t="shared" si="121"/>
        <v>2024</v>
      </c>
      <c r="L898" s="6">
        <f t="shared" si="122"/>
        <v>23</v>
      </c>
    </row>
    <row r="899" spans="1:12" x14ac:dyDescent="0.45">
      <c r="A899" s="6">
        <f t="shared" si="117"/>
        <v>2024</v>
      </c>
      <c r="B899" s="6">
        <f t="shared" si="120"/>
        <v>6</v>
      </c>
      <c r="C899" s="7">
        <v>45452</v>
      </c>
      <c r="D899" s="6">
        <f t="shared" si="118"/>
        <v>7</v>
      </c>
      <c r="E899" s="6">
        <f t="shared" si="119"/>
        <v>23</v>
      </c>
      <c r="F899" s="6">
        <f t="shared" si="123"/>
        <v>1</v>
      </c>
      <c r="G899" s="6" t="str">
        <f t="shared" si="115"/>
        <v>06</v>
      </c>
      <c r="H899" s="6" t="str">
        <f t="shared" si="116"/>
        <v>06월 1주차</v>
      </c>
      <c r="I899" s="6" t="str">
        <f>H899&amp;" ("&amp;TEXT(C893,"m/dd")&amp;"~"&amp;TEXT(C899,"m/dd")&amp;")"</f>
        <v>06월 1주차 (6/03~6/09)</v>
      </c>
      <c r="J899" s="6" t="str">
        <f>A893&amp;"년 "&amp;WEEKNUM(C893,2)&amp;"주차"&amp;" ("&amp;TEXT(C893,"m/dd")&amp;"~"&amp;TEXT(C899,"m/dd")&amp;")"</f>
        <v>2024년 23주차 (6/03~6/09)</v>
      </c>
      <c r="K899" s="6">
        <f t="shared" si="121"/>
        <v>2024</v>
      </c>
      <c r="L899" s="6">
        <f t="shared" si="122"/>
        <v>23</v>
      </c>
    </row>
    <row r="900" spans="1:12" x14ac:dyDescent="0.45">
      <c r="A900" s="6">
        <f t="shared" si="117"/>
        <v>2024</v>
      </c>
      <c r="B900" s="6">
        <f t="shared" si="120"/>
        <v>6</v>
      </c>
      <c r="C900" s="7">
        <v>45453</v>
      </c>
      <c r="D900" s="6">
        <f t="shared" si="118"/>
        <v>1</v>
      </c>
      <c r="E900" s="6">
        <f t="shared" si="119"/>
        <v>24</v>
      </c>
      <c r="F900" s="6">
        <f t="shared" si="123"/>
        <v>2</v>
      </c>
      <c r="G900" s="6" t="str">
        <f t="shared" si="115"/>
        <v>06</v>
      </c>
      <c r="H900" s="6" t="str">
        <f t="shared" si="116"/>
        <v>06월 2주차</v>
      </c>
      <c r="I900" s="6" t="str">
        <f>H900&amp;" ("&amp;TEXT(C900,"m/dd")&amp;"~"&amp;TEXT(C906,"m/dd")&amp;")"</f>
        <v>06월 2주차 (6/10~6/16)</v>
      </c>
      <c r="J900" s="6" t="str">
        <f>A900&amp;"년 "&amp;WEEKNUM(C900,2)&amp;"주차"&amp;" ("&amp;TEXT(C900,"m/dd")&amp;"~"&amp;TEXT(C906,"m/dd")&amp;")"</f>
        <v>2024년 24주차 (6/10~6/16)</v>
      </c>
      <c r="K900" s="6">
        <f t="shared" si="121"/>
        <v>2024</v>
      </c>
      <c r="L900" s="6">
        <f t="shared" si="122"/>
        <v>24</v>
      </c>
    </row>
    <row r="901" spans="1:12" x14ac:dyDescent="0.45">
      <c r="A901" s="6">
        <f t="shared" si="117"/>
        <v>2024</v>
      </c>
      <c r="B901" s="6">
        <f t="shared" si="120"/>
        <v>6</v>
      </c>
      <c r="C901" s="7">
        <v>45454</v>
      </c>
      <c r="D901" s="6">
        <f t="shared" si="118"/>
        <v>2</v>
      </c>
      <c r="E901" s="6">
        <f t="shared" si="119"/>
        <v>24</v>
      </c>
      <c r="F901" s="6">
        <f t="shared" si="123"/>
        <v>2</v>
      </c>
      <c r="G901" s="6" t="str">
        <f t="shared" si="115"/>
        <v>06</v>
      </c>
      <c r="H901" s="6" t="str">
        <f t="shared" si="116"/>
        <v>06월 2주차</v>
      </c>
      <c r="I901" s="6" t="str">
        <f>H901&amp;" ("&amp;TEXT(C900,"m/dd")&amp;"~"&amp;TEXT(C906,"m/dd")&amp;")"</f>
        <v>06월 2주차 (6/10~6/16)</v>
      </c>
      <c r="J901" s="6" t="str">
        <f>A900&amp;"년 "&amp;WEEKNUM(C900,2)&amp;"주차"&amp;" ("&amp;TEXT(C900,"m/dd")&amp;"~"&amp;TEXT(C906,"m/dd")&amp;")"</f>
        <v>2024년 24주차 (6/10~6/16)</v>
      </c>
      <c r="K901" s="6">
        <f t="shared" si="121"/>
        <v>2024</v>
      </c>
      <c r="L901" s="6">
        <f t="shared" si="122"/>
        <v>24</v>
      </c>
    </row>
    <row r="902" spans="1:12" x14ac:dyDescent="0.45">
      <c r="A902" s="6">
        <f t="shared" si="117"/>
        <v>2024</v>
      </c>
      <c r="B902" s="6">
        <f t="shared" si="120"/>
        <v>6</v>
      </c>
      <c r="C902" s="7">
        <v>45455</v>
      </c>
      <c r="D902" s="6">
        <f t="shared" si="118"/>
        <v>3</v>
      </c>
      <c r="E902" s="6">
        <f t="shared" si="119"/>
        <v>24</v>
      </c>
      <c r="F902" s="6">
        <f t="shared" si="123"/>
        <v>2</v>
      </c>
      <c r="G902" s="6" t="str">
        <f t="shared" si="115"/>
        <v>06</v>
      </c>
      <c r="H902" s="6" t="str">
        <f t="shared" si="116"/>
        <v>06월 2주차</v>
      </c>
      <c r="I902" s="6" t="str">
        <f>H902&amp;" ("&amp;TEXT(C900,"m/dd")&amp;"~"&amp;TEXT(C906,"m/dd")&amp;")"</f>
        <v>06월 2주차 (6/10~6/16)</v>
      </c>
      <c r="J902" s="6" t="str">
        <f>A900&amp;"년 "&amp;WEEKNUM(C900,2)&amp;"주차"&amp;" ("&amp;TEXT(C900,"m/dd")&amp;"~"&amp;TEXT(C906,"m/dd")&amp;")"</f>
        <v>2024년 24주차 (6/10~6/16)</v>
      </c>
      <c r="K902" s="6">
        <f t="shared" si="121"/>
        <v>2024</v>
      </c>
      <c r="L902" s="6">
        <f t="shared" si="122"/>
        <v>24</v>
      </c>
    </row>
    <row r="903" spans="1:12" x14ac:dyDescent="0.45">
      <c r="A903" s="6">
        <f t="shared" si="117"/>
        <v>2024</v>
      </c>
      <c r="B903" s="6">
        <f t="shared" si="120"/>
        <v>6</v>
      </c>
      <c r="C903" s="7">
        <v>45456</v>
      </c>
      <c r="D903" s="6">
        <f t="shared" si="118"/>
        <v>4</v>
      </c>
      <c r="E903" s="6">
        <f t="shared" si="119"/>
        <v>24</v>
      </c>
      <c r="F903" s="6">
        <f t="shared" si="123"/>
        <v>2</v>
      </c>
      <c r="G903" s="6" t="str">
        <f t="shared" si="115"/>
        <v>06</v>
      </c>
      <c r="H903" s="6" t="str">
        <f t="shared" si="116"/>
        <v>06월 2주차</v>
      </c>
      <c r="I903" s="6" t="str">
        <f>H903&amp;" ("&amp;TEXT(C900,"m/dd")&amp;"~"&amp;TEXT(C906,"m/dd")&amp;")"</f>
        <v>06월 2주차 (6/10~6/16)</v>
      </c>
      <c r="J903" s="6" t="str">
        <f>A900&amp;"년 "&amp;WEEKNUM(C900,2)&amp;"주차"&amp;" ("&amp;TEXT(C900,"m/dd")&amp;"~"&amp;TEXT(C906,"m/dd")&amp;")"</f>
        <v>2024년 24주차 (6/10~6/16)</v>
      </c>
      <c r="K903" s="6">
        <f t="shared" si="121"/>
        <v>2024</v>
      </c>
      <c r="L903" s="6">
        <f t="shared" si="122"/>
        <v>24</v>
      </c>
    </row>
    <row r="904" spans="1:12" x14ac:dyDescent="0.45">
      <c r="A904" s="6">
        <f t="shared" si="117"/>
        <v>2024</v>
      </c>
      <c r="B904" s="6">
        <f t="shared" si="120"/>
        <v>6</v>
      </c>
      <c r="C904" s="7">
        <v>45457</v>
      </c>
      <c r="D904" s="6">
        <f t="shared" si="118"/>
        <v>5</v>
      </c>
      <c r="E904" s="6">
        <f t="shared" si="119"/>
        <v>24</v>
      </c>
      <c r="F904" s="6">
        <f t="shared" si="123"/>
        <v>2</v>
      </c>
      <c r="G904" s="6" t="str">
        <f t="shared" si="115"/>
        <v>06</v>
      </c>
      <c r="H904" s="6" t="str">
        <f t="shared" si="116"/>
        <v>06월 2주차</v>
      </c>
      <c r="I904" s="6" t="str">
        <f>H904&amp;" ("&amp;TEXT(C900,"m/dd")&amp;"~"&amp;TEXT(C906,"m/dd")&amp;")"</f>
        <v>06월 2주차 (6/10~6/16)</v>
      </c>
      <c r="J904" s="6" t="str">
        <f>A900&amp;"년 "&amp;WEEKNUM(C900,2)&amp;"주차"&amp;" ("&amp;TEXT(C900,"m/dd")&amp;"~"&amp;TEXT(C906,"m/dd")&amp;")"</f>
        <v>2024년 24주차 (6/10~6/16)</v>
      </c>
      <c r="K904" s="6">
        <f t="shared" si="121"/>
        <v>2024</v>
      </c>
      <c r="L904" s="6">
        <f t="shared" si="122"/>
        <v>24</v>
      </c>
    </row>
    <row r="905" spans="1:12" x14ac:dyDescent="0.45">
      <c r="A905" s="6">
        <f t="shared" si="117"/>
        <v>2024</v>
      </c>
      <c r="B905" s="6">
        <f t="shared" si="120"/>
        <v>6</v>
      </c>
      <c r="C905" s="7">
        <v>45458</v>
      </c>
      <c r="D905" s="6">
        <f t="shared" si="118"/>
        <v>6</v>
      </c>
      <c r="E905" s="6">
        <f t="shared" si="119"/>
        <v>24</v>
      </c>
      <c r="F905" s="6">
        <f t="shared" si="123"/>
        <v>2</v>
      </c>
      <c r="G905" s="6" t="str">
        <f t="shared" si="115"/>
        <v>06</v>
      </c>
      <c r="H905" s="6" t="str">
        <f t="shared" si="116"/>
        <v>06월 2주차</v>
      </c>
      <c r="I905" s="6" t="str">
        <f>H905&amp;" ("&amp;TEXT(C900,"m/dd")&amp;"~"&amp;TEXT(C906,"m/dd")&amp;")"</f>
        <v>06월 2주차 (6/10~6/16)</v>
      </c>
      <c r="J905" s="6" t="str">
        <f>A900&amp;"년 "&amp;WEEKNUM(C900,2)&amp;"주차"&amp;" ("&amp;TEXT(C900,"m/dd")&amp;"~"&amp;TEXT(C906,"m/dd")&amp;")"</f>
        <v>2024년 24주차 (6/10~6/16)</v>
      </c>
      <c r="K905" s="6">
        <f t="shared" si="121"/>
        <v>2024</v>
      </c>
      <c r="L905" s="6">
        <f t="shared" si="122"/>
        <v>24</v>
      </c>
    </row>
    <row r="906" spans="1:12" x14ac:dyDescent="0.45">
      <c r="A906" s="6">
        <f t="shared" si="117"/>
        <v>2024</v>
      </c>
      <c r="B906" s="6">
        <f t="shared" si="120"/>
        <v>6</v>
      </c>
      <c r="C906" s="7">
        <v>45459</v>
      </c>
      <c r="D906" s="6">
        <f t="shared" si="118"/>
        <v>7</v>
      </c>
      <c r="E906" s="6">
        <f t="shared" si="119"/>
        <v>24</v>
      </c>
      <c r="F906" s="6">
        <f t="shared" si="123"/>
        <v>2</v>
      </c>
      <c r="G906" s="6" t="str">
        <f t="shared" si="115"/>
        <v>06</v>
      </c>
      <c r="H906" s="6" t="str">
        <f t="shared" si="116"/>
        <v>06월 2주차</v>
      </c>
      <c r="I906" s="6" t="str">
        <f>H906&amp;" ("&amp;TEXT(C900,"m/dd")&amp;"~"&amp;TEXT(C906,"m/dd")&amp;")"</f>
        <v>06월 2주차 (6/10~6/16)</v>
      </c>
      <c r="J906" s="6" t="str">
        <f>A900&amp;"년 "&amp;WEEKNUM(C900,2)&amp;"주차"&amp;" ("&amp;TEXT(C900,"m/dd")&amp;"~"&amp;TEXT(C906,"m/dd")&amp;")"</f>
        <v>2024년 24주차 (6/10~6/16)</v>
      </c>
      <c r="K906" s="6">
        <f t="shared" si="121"/>
        <v>2024</v>
      </c>
      <c r="L906" s="6">
        <f t="shared" si="122"/>
        <v>24</v>
      </c>
    </row>
    <row r="907" spans="1:12" x14ac:dyDescent="0.45">
      <c r="A907" s="6">
        <f t="shared" si="117"/>
        <v>2024</v>
      </c>
      <c r="B907" s="6">
        <f t="shared" si="120"/>
        <v>6</v>
      </c>
      <c r="C907" s="7">
        <v>45460</v>
      </c>
      <c r="D907" s="6">
        <f t="shared" si="118"/>
        <v>1</v>
      </c>
      <c r="E907" s="6">
        <f t="shared" si="119"/>
        <v>25</v>
      </c>
      <c r="F907" s="6">
        <f t="shared" si="123"/>
        <v>3</v>
      </c>
      <c r="G907" s="6" t="str">
        <f t="shared" ref="G907:G970" si="124">IF(LEN(B907)=1,_xlfn.CONCAT(0,B907),B907)</f>
        <v>06</v>
      </c>
      <c r="H907" s="6" t="str">
        <f t="shared" ref="H907:H970" si="125">G907&amp;"월 "&amp;F907&amp;"주차"</f>
        <v>06월 3주차</v>
      </c>
      <c r="I907" s="6" t="str">
        <f>H907&amp;" ("&amp;TEXT(C907,"m/dd")&amp;"~"&amp;TEXT(C913,"m/dd")&amp;")"</f>
        <v>06월 3주차 (6/17~6/23)</v>
      </c>
      <c r="J907" s="6" t="str">
        <f>A907&amp;"년 "&amp;WEEKNUM(C907,2)&amp;"주차"&amp;" ("&amp;TEXT(C907,"m/dd")&amp;"~"&amp;TEXT(C913,"m/dd")&amp;")"</f>
        <v>2024년 25주차 (6/17~6/23)</v>
      </c>
      <c r="K907" s="6">
        <f t="shared" si="121"/>
        <v>2024</v>
      </c>
      <c r="L907" s="6">
        <f t="shared" si="122"/>
        <v>25</v>
      </c>
    </row>
    <row r="908" spans="1:12" x14ac:dyDescent="0.45">
      <c r="A908" s="6">
        <f t="shared" si="117"/>
        <v>2024</v>
      </c>
      <c r="B908" s="6">
        <f t="shared" si="120"/>
        <v>6</v>
      </c>
      <c r="C908" s="7">
        <v>45461</v>
      </c>
      <c r="D908" s="6">
        <f t="shared" si="118"/>
        <v>2</v>
      </c>
      <c r="E908" s="6">
        <f t="shared" si="119"/>
        <v>25</v>
      </c>
      <c r="F908" s="6">
        <f t="shared" si="123"/>
        <v>3</v>
      </c>
      <c r="G908" s="6" t="str">
        <f t="shared" si="124"/>
        <v>06</v>
      </c>
      <c r="H908" s="6" t="str">
        <f t="shared" si="125"/>
        <v>06월 3주차</v>
      </c>
      <c r="I908" s="6" t="str">
        <f>H908&amp;" ("&amp;TEXT(C907,"m/dd")&amp;"~"&amp;TEXT(C913,"m/dd")&amp;")"</f>
        <v>06월 3주차 (6/17~6/23)</v>
      </c>
      <c r="J908" s="6" t="str">
        <f>A907&amp;"년 "&amp;WEEKNUM(C907,2)&amp;"주차"&amp;" ("&amp;TEXT(C907,"m/dd")&amp;"~"&amp;TEXT(C913,"m/dd")&amp;")"</f>
        <v>2024년 25주차 (6/17~6/23)</v>
      </c>
      <c r="K908" s="6">
        <f t="shared" si="121"/>
        <v>2024</v>
      </c>
      <c r="L908" s="6">
        <f t="shared" si="122"/>
        <v>25</v>
      </c>
    </row>
    <row r="909" spans="1:12" x14ac:dyDescent="0.45">
      <c r="A909" s="6">
        <f t="shared" si="117"/>
        <v>2024</v>
      </c>
      <c r="B909" s="6">
        <f t="shared" si="120"/>
        <v>6</v>
      </c>
      <c r="C909" s="7">
        <v>45462</v>
      </c>
      <c r="D909" s="6">
        <f t="shared" si="118"/>
        <v>3</v>
      </c>
      <c r="E909" s="6">
        <f t="shared" si="119"/>
        <v>25</v>
      </c>
      <c r="F909" s="6">
        <f t="shared" si="123"/>
        <v>3</v>
      </c>
      <c r="G909" s="6" t="str">
        <f t="shared" si="124"/>
        <v>06</v>
      </c>
      <c r="H909" s="6" t="str">
        <f t="shared" si="125"/>
        <v>06월 3주차</v>
      </c>
      <c r="I909" s="6" t="str">
        <f>H909&amp;" ("&amp;TEXT(C907,"m/dd")&amp;"~"&amp;TEXT(C913,"m/dd")&amp;")"</f>
        <v>06월 3주차 (6/17~6/23)</v>
      </c>
      <c r="J909" s="6" t="str">
        <f>A907&amp;"년 "&amp;WEEKNUM(C907,2)&amp;"주차"&amp;" ("&amp;TEXT(C907,"m/dd")&amp;"~"&amp;TEXT(C913,"m/dd")&amp;")"</f>
        <v>2024년 25주차 (6/17~6/23)</v>
      </c>
      <c r="K909" s="6">
        <f t="shared" si="121"/>
        <v>2024</v>
      </c>
      <c r="L909" s="6">
        <f t="shared" si="122"/>
        <v>25</v>
      </c>
    </row>
    <row r="910" spans="1:12" x14ac:dyDescent="0.45">
      <c r="A910" s="6">
        <f t="shared" si="117"/>
        <v>2024</v>
      </c>
      <c r="B910" s="6">
        <f t="shared" si="120"/>
        <v>6</v>
      </c>
      <c r="C910" s="7">
        <v>45463</v>
      </c>
      <c r="D910" s="6">
        <f t="shared" si="118"/>
        <v>4</v>
      </c>
      <c r="E910" s="6">
        <f t="shared" si="119"/>
        <v>25</v>
      </c>
      <c r="F910" s="6">
        <f t="shared" si="123"/>
        <v>3</v>
      </c>
      <c r="G910" s="6" t="str">
        <f t="shared" si="124"/>
        <v>06</v>
      </c>
      <c r="H910" s="6" t="str">
        <f t="shared" si="125"/>
        <v>06월 3주차</v>
      </c>
      <c r="I910" s="6" t="str">
        <f>H910&amp;" ("&amp;TEXT(C907,"m/dd")&amp;"~"&amp;TEXT(C913,"m/dd")&amp;")"</f>
        <v>06월 3주차 (6/17~6/23)</v>
      </c>
      <c r="J910" s="6" t="str">
        <f>A907&amp;"년 "&amp;WEEKNUM(C907,2)&amp;"주차"&amp;" ("&amp;TEXT(C907,"m/dd")&amp;"~"&amp;TEXT(C913,"m/dd")&amp;")"</f>
        <v>2024년 25주차 (6/17~6/23)</v>
      </c>
      <c r="K910" s="6">
        <f t="shared" si="121"/>
        <v>2024</v>
      </c>
      <c r="L910" s="6">
        <f t="shared" si="122"/>
        <v>25</v>
      </c>
    </row>
    <row r="911" spans="1:12" x14ac:dyDescent="0.45">
      <c r="A911" s="6">
        <f t="shared" ref="A911:A974" si="126">YEAR(C911)</f>
        <v>2024</v>
      </c>
      <c r="B911" s="6">
        <f t="shared" si="120"/>
        <v>6</v>
      </c>
      <c r="C911" s="7">
        <v>45464</v>
      </c>
      <c r="D911" s="6">
        <f t="shared" si="118"/>
        <v>5</v>
      </c>
      <c r="E911" s="6">
        <f t="shared" si="119"/>
        <v>25</v>
      </c>
      <c r="F911" s="6">
        <f t="shared" si="123"/>
        <v>3</v>
      </c>
      <c r="G911" s="6" t="str">
        <f t="shared" si="124"/>
        <v>06</v>
      </c>
      <c r="H911" s="6" t="str">
        <f t="shared" si="125"/>
        <v>06월 3주차</v>
      </c>
      <c r="I911" s="6" t="str">
        <f>H911&amp;" ("&amp;TEXT(C907,"m/dd")&amp;"~"&amp;TEXT(C913,"m/dd")&amp;")"</f>
        <v>06월 3주차 (6/17~6/23)</v>
      </c>
      <c r="J911" s="6" t="str">
        <f>A907&amp;"년 "&amp;WEEKNUM(C907,2)&amp;"주차"&amp;" ("&amp;TEXT(C907,"m/dd")&amp;"~"&amp;TEXT(C913,"m/dd")&amp;")"</f>
        <v>2024년 25주차 (6/17~6/23)</v>
      </c>
      <c r="K911" s="6">
        <f t="shared" si="121"/>
        <v>2024</v>
      </c>
      <c r="L911" s="6">
        <f t="shared" si="122"/>
        <v>25</v>
      </c>
    </row>
    <row r="912" spans="1:12" x14ac:dyDescent="0.45">
      <c r="A912" s="6">
        <f t="shared" si="126"/>
        <v>2024</v>
      </c>
      <c r="B912" s="6">
        <f t="shared" si="120"/>
        <v>6</v>
      </c>
      <c r="C912" s="7">
        <v>45465</v>
      </c>
      <c r="D912" s="6">
        <f t="shared" si="118"/>
        <v>6</v>
      </c>
      <c r="E912" s="6">
        <f t="shared" si="119"/>
        <v>25</v>
      </c>
      <c r="F912" s="6">
        <f t="shared" si="123"/>
        <v>3</v>
      </c>
      <c r="G912" s="6" t="str">
        <f t="shared" si="124"/>
        <v>06</v>
      </c>
      <c r="H912" s="6" t="str">
        <f t="shared" si="125"/>
        <v>06월 3주차</v>
      </c>
      <c r="I912" s="6" t="str">
        <f>H912&amp;" ("&amp;TEXT(C907,"m/dd")&amp;"~"&amp;TEXT(C913,"m/dd")&amp;")"</f>
        <v>06월 3주차 (6/17~6/23)</v>
      </c>
      <c r="J912" s="6" t="str">
        <f>A907&amp;"년 "&amp;WEEKNUM(C907,2)&amp;"주차"&amp;" ("&amp;TEXT(C907,"m/dd")&amp;"~"&amp;TEXT(C913,"m/dd")&amp;")"</f>
        <v>2024년 25주차 (6/17~6/23)</v>
      </c>
      <c r="K912" s="6">
        <f t="shared" si="121"/>
        <v>2024</v>
      </c>
      <c r="L912" s="6">
        <f t="shared" si="122"/>
        <v>25</v>
      </c>
    </row>
    <row r="913" spans="1:12" x14ac:dyDescent="0.45">
      <c r="A913" s="6">
        <f t="shared" si="126"/>
        <v>2024</v>
      </c>
      <c r="B913" s="6">
        <f t="shared" si="120"/>
        <v>6</v>
      </c>
      <c r="C913" s="7">
        <v>45466</v>
      </c>
      <c r="D913" s="6">
        <f t="shared" si="118"/>
        <v>7</v>
      </c>
      <c r="E913" s="6">
        <f t="shared" si="119"/>
        <v>25</v>
      </c>
      <c r="F913" s="6">
        <f t="shared" si="123"/>
        <v>3</v>
      </c>
      <c r="G913" s="6" t="str">
        <f t="shared" si="124"/>
        <v>06</v>
      </c>
      <c r="H913" s="6" t="str">
        <f t="shared" si="125"/>
        <v>06월 3주차</v>
      </c>
      <c r="I913" s="6" t="str">
        <f>H913&amp;" ("&amp;TEXT(C907,"m/dd")&amp;"~"&amp;TEXT(C913,"m/dd")&amp;")"</f>
        <v>06월 3주차 (6/17~6/23)</v>
      </c>
      <c r="J913" s="6" t="str">
        <f>A907&amp;"년 "&amp;WEEKNUM(C907,2)&amp;"주차"&amp;" ("&amp;TEXT(C907,"m/dd")&amp;"~"&amp;TEXT(C913,"m/dd")&amp;")"</f>
        <v>2024년 25주차 (6/17~6/23)</v>
      </c>
      <c r="K913" s="6">
        <f t="shared" si="121"/>
        <v>2024</v>
      </c>
      <c r="L913" s="6">
        <f t="shared" si="122"/>
        <v>25</v>
      </c>
    </row>
    <row r="914" spans="1:12" x14ac:dyDescent="0.45">
      <c r="A914" s="6">
        <f t="shared" si="126"/>
        <v>2024</v>
      </c>
      <c r="B914" s="6">
        <f t="shared" si="120"/>
        <v>6</v>
      </c>
      <c r="C914" s="7">
        <v>45467</v>
      </c>
      <c r="D914" s="6">
        <f t="shared" si="118"/>
        <v>1</v>
      </c>
      <c r="E914" s="6">
        <f t="shared" si="119"/>
        <v>26</v>
      </c>
      <c r="F914" s="6">
        <f t="shared" si="123"/>
        <v>4</v>
      </c>
      <c r="G914" s="6" t="str">
        <f t="shared" si="124"/>
        <v>06</v>
      </c>
      <c r="H914" s="6" t="str">
        <f t="shared" si="125"/>
        <v>06월 4주차</v>
      </c>
      <c r="I914" s="6" t="str">
        <f>H914&amp;" ("&amp;TEXT(C914,"m/dd")&amp;"~"&amp;TEXT(C920,"m/dd")&amp;")"</f>
        <v>06월 4주차 (6/24~6/30)</v>
      </c>
      <c r="J914" s="6" t="str">
        <f>A914&amp;"년 "&amp;WEEKNUM(C914,2)&amp;"주차"&amp;" ("&amp;TEXT(C914,"m/dd")&amp;"~"&amp;TEXT(C920,"m/dd")&amp;")"</f>
        <v>2024년 26주차 (6/24~6/30)</v>
      </c>
      <c r="K914" s="6">
        <f t="shared" si="121"/>
        <v>2024</v>
      </c>
      <c r="L914" s="6">
        <f t="shared" si="122"/>
        <v>26</v>
      </c>
    </row>
    <row r="915" spans="1:12" x14ac:dyDescent="0.45">
      <c r="A915" s="6">
        <f t="shared" si="126"/>
        <v>2024</v>
      </c>
      <c r="B915" s="6">
        <f t="shared" si="120"/>
        <v>6</v>
      </c>
      <c r="C915" s="7">
        <v>45468</v>
      </c>
      <c r="D915" s="6">
        <f t="shared" si="118"/>
        <v>2</v>
      </c>
      <c r="E915" s="6">
        <f t="shared" si="119"/>
        <v>26</v>
      </c>
      <c r="F915" s="6">
        <f t="shared" si="123"/>
        <v>4</v>
      </c>
      <c r="G915" s="6" t="str">
        <f t="shared" si="124"/>
        <v>06</v>
      </c>
      <c r="H915" s="6" t="str">
        <f t="shared" si="125"/>
        <v>06월 4주차</v>
      </c>
      <c r="I915" s="6" t="str">
        <f>H915&amp;" ("&amp;TEXT(C914,"m/dd")&amp;"~"&amp;TEXT(C920,"m/dd")&amp;")"</f>
        <v>06월 4주차 (6/24~6/30)</v>
      </c>
      <c r="J915" s="6" t="str">
        <f>A914&amp;"년 "&amp;WEEKNUM(C914,2)&amp;"주차"&amp;" ("&amp;TEXT(C914,"m/dd")&amp;"~"&amp;TEXT(C920,"m/dd")&amp;")"</f>
        <v>2024년 26주차 (6/24~6/30)</v>
      </c>
      <c r="K915" s="6">
        <f t="shared" si="121"/>
        <v>2024</v>
      </c>
      <c r="L915" s="6">
        <f t="shared" si="122"/>
        <v>26</v>
      </c>
    </row>
    <row r="916" spans="1:12" x14ac:dyDescent="0.45">
      <c r="A916" s="6">
        <f t="shared" si="126"/>
        <v>2024</v>
      </c>
      <c r="B916" s="6">
        <f t="shared" si="120"/>
        <v>6</v>
      </c>
      <c r="C916" s="7">
        <v>45469</v>
      </c>
      <c r="D916" s="6">
        <f t="shared" si="118"/>
        <v>3</v>
      </c>
      <c r="E916" s="6">
        <f t="shared" si="119"/>
        <v>26</v>
      </c>
      <c r="F916" s="6">
        <f t="shared" si="123"/>
        <v>4</v>
      </c>
      <c r="G916" s="6" t="str">
        <f t="shared" si="124"/>
        <v>06</v>
      </c>
      <c r="H916" s="6" t="str">
        <f t="shared" si="125"/>
        <v>06월 4주차</v>
      </c>
      <c r="I916" s="6" t="str">
        <f>H916&amp;" ("&amp;TEXT(C914,"m/dd")&amp;"~"&amp;TEXT(C920,"m/dd")&amp;")"</f>
        <v>06월 4주차 (6/24~6/30)</v>
      </c>
      <c r="J916" s="6" t="str">
        <f>A914&amp;"년 "&amp;WEEKNUM(C914,2)&amp;"주차"&amp;" ("&amp;TEXT(C914,"m/dd")&amp;"~"&amp;TEXT(C920,"m/dd")&amp;")"</f>
        <v>2024년 26주차 (6/24~6/30)</v>
      </c>
      <c r="K916" s="6">
        <f t="shared" si="121"/>
        <v>2024</v>
      </c>
      <c r="L916" s="6">
        <f t="shared" si="122"/>
        <v>26</v>
      </c>
    </row>
    <row r="917" spans="1:12" x14ac:dyDescent="0.45">
      <c r="A917" s="6">
        <f t="shared" si="126"/>
        <v>2024</v>
      </c>
      <c r="B917" s="6">
        <f t="shared" si="120"/>
        <v>6</v>
      </c>
      <c r="C917" s="7">
        <v>45470</v>
      </c>
      <c r="D917" s="6">
        <f t="shared" si="118"/>
        <v>4</v>
      </c>
      <c r="E917" s="6">
        <f t="shared" si="119"/>
        <v>26</v>
      </c>
      <c r="F917" s="6">
        <f t="shared" si="123"/>
        <v>4</v>
      </c>
      <c r="G917" s="6" t="str">
        <f t="shared" si="124"/>
        <v>06</v>
      </c>
      <c r="H917" s="6" t="str">
        <f t="shared" si="125"/>
        <v>06월 4주차</v>
      </c>
      <c r="I917" s="6" t="str">
        <f>H917&amp;" ("&amp;TEXT(C914,"m/dd")&amp;"~"&amp;TEXT(C920,"m/dd")&amp;")"</f>
        <v>06월 4주차 (6/24~6/30)</v>
      </c>
      <c r="J917" s="6" t="str">
        <f>A914&amp;"년 "&amp;WEEKNUM(C914,2)&amp;"주차"&amp;" ("&amp;TEXT(C914,"m/dd")&amp;"~"&amp;TEXT(C920,"m/dd")&amp;")"</f>
        <v>2024년 26주차 (6/24~6/30)</v>
      </c>
      <c r="K917" s="6">
        <f t="shared" si="121"/>
        <v>2024</v>
      </c>
      <c r="L917" s="6">
        <f t="shared" si="122"/>
        <v>26</v>
      </c>
    </row>
    <row r="918" spans="1:12" x14ac:dyDescent="0.45">
      <c r="A918" s="6">
        <f t="shared" si="126"/>
        <v>2024</v>
      </c>
      <c r="B918" s="6">
        <f t="shared" si="120"/>
        <v>6</v>
      </c>
      <c r="C918" s="7">
        <v>45471</v>
      </c>
      <c r="D918" s="6">
        <f t="shared" si="118"/>
        <v>5</v>
      </c>
      <c r="E918" s="6">
        <f t="shared" si="119"/>
        <v>26</v>
      </c>
      <c r="F918" s="6">
        <f t="shared" si="123"/>
        <v>4</v>
      </c>
      <c r="G918" s="6" t="str">
        <f t="shared" si="124"/>
        <v>06</v>
      </c>
      <c r="H918" s="6" t="str">
        <f t="shared" si="125"/>
        <v>06월 4주차</v>
      </c>
      <c r="I918" s="6" t="str">
        <f>H918&amp;" ("&amp;TEXT(C914,"m/dd")&amp;"~"&amp;TEXT(C920,"m/dd")&amp;")"</f>
        <v>06월 4주차 (6/24~6/30)</v>
      </c>
      <c r="J918" s="6" t="str">
        <f>A914&amp;"년 "&amp;WEEKNUM(C914,2)&amp;"주차"&amp;" ("&amp;TEXT(C914,"m/dd")&amp;"~"&amp;TEXT(C920,"m/dd")&amp;")"</f>
        <v>2024년 26주차 (6/24~6/30)</v>
      </c>
      <c r="K918" s="6">
        <f t="shared" si="121"/>
        <v>2024</v>
      </c>
      <c r="L918" s="6">
        <f t="shared" si="122"/>
        <v>26</v>
      </c>
    </row>
    <row r="919" spans="1:12" x14ac:dyDescent="0.45">
      <c r="A919" s="6">
        <f t="shared" si="126"/>
        <v>2024</v>
      </c>
      <c r="B919" s="6">
        <f t="shared" si="120"/>
        <v>6</v>
      </c>
      <c r="C919" s="7">
        <v>45472</v>
      </c>
      <c r="D919" s="6">
        <f t="shared" ref="D919:D982" si="127">WEEKDAY(C919,2)</f>
        <v>6</v>
      </c>
      <c r="E919" s="6">
        <f t="shared" ref="E919:E982" si="128">WEEKNUM(C919,2)</f>
        <v>26</v>
      </c>
      <c r="F919" s="6">
        <f t="shared" si="123"/>
        <v>4</v>
      </c>
      <c r="G919" s="6" t="str">
        <f t="shared" si="124"/>
        <v>06</v>
      </c>
      <c r="H919" s="6" t="str">
        <f t="shared" si="125"/>
        <v>06월 4주차</v>
      </c>
      <c r="I919" s="6" t="str">
        <f>H919&amp;" ("&amp;TEXT(C914,"m/dd")&amp;"~"&amp;TEXT(C920,"m/dd")&amp;")"</f>
        <v>06월 4주차 (6/24~6/30)</v>
      </c>
      <c r="J919" s="6" t="str">
        <f>A914&amp;"년 "&amp;WEEKNUM(C914,2)&amp;"주차"&amp;" ("&amp;TEXT(C914,"m/dd")&amp;"~"&amp;TEXT(C920,"m/dd")&amp;")"</f>
        <v>2024년 26주차 (6/24~6/30)</v>
      </c>
      <c r="K919" s="6">
        <f t="shared" si="121"/>
        <v>2024</v>
      </c>
      <c r="L919" s="6">
        <f t="shared" si="122"/>
        <v>26</v>
      </c>
    </row>
    <row r="920" spans="1:12" x14ac:dyDescent="0.45">
      <c r="A920" s="6">
        <f t="shared" si="126"/>
        <v>2024</v>
      </c>
      <c r="B920" s="6">
        <f t="shared" si="120"/>
        <v>6</v>
      </c>
      <c r="C920" s="7">
        <v>45473</v>
      </c>
      <c r="D920" s="6">
        <f t="shared" si="127"/>
        <v>7</v>
      </c>
      <c r="E920" s="6">
        <f t="shared" si="128"/>
        <v>26</v>
      </c>
      <c r="F920" s="6">
        <f t="shared" si="123"/>
        <v>4</v>
      </c>
      <c r="G920" s="6" t="str">
        <f t="shared" si="124"/>
        <v>06</v>
      </c>
      <c r="H920" s="6" t="str">
        <f t="shared" si="125"/>
        <v>06월 4주차</v>
      </c>
      <c r="I920" s="6" t="str">
        <f>H920&amp;" ("&amp;TEXT(C914,"m/dd")&amp;"~"&amp;TEXT(C920,"m/dd")&amp;")"</f>
        <v>06월 4주차 (6/24~6/30)</v>
      </c>
      <c r="J920" s="6" t="str">
        <f>A914&amp;"년 "&amp;WEEKNUM(C914,2)&amp;"주차"&amp;" ("&amp;TEXT(C914,"m/dd")&amp;"~"&amp;TEXT(C920,"m/dd")&amp;")"</f>
        <v>2024년 26주차 (6/24~6/30)</v>
      </c>
      <c r="K920" s="6">
        <f t="shared" si="121"/>
        <v>2024</v>
      </c>
      <c r="L920" s="6">
        <f t="shared" si="122"/>
        <v>26</v>
      </c>
    </row>
    <row r="921" spans="1:12" x14ac:dyDescent="0.45">
      <c r="A921" s="6">
        <f t="shared" si="126"/>
        <v>2024</v>
      </c>
      <c r="B921" s="6">
        <f t="shared" si="120"/>
        <v>7</v>
      </c>
      <c r="C921" s="7">
        <v>45474</v>
      </c>
      <c r="D921" s="6">
        <f t="shared" si="127"/>
        <v>1</v>
      </c>
      <c r="E921" s="6">
        <f t="shared" si="128"/>
        <v>27</v>
      </c>
      <c r="F921" s="6">
        <f t="shared" si="123"/>
        <v>1</v>
      </c>
      <c r="G921" s="6" t="str">
        <f t="shared" si="124"/>
        <v>07</v>
      </c>
      <c r="H921" s="6" t="str">
        <f t="shared" si="125"/>
        <v>07월 1주차</v>
      </c>
      <c r="I921" s="6" t="str">
        <f>H921&amp;" ("&amp;TEXT(C921,"m/dd")&amp;"~"&amp;TEXT(C927,"m/dd")&amp;")"</f>
        <v>07월 1주차 (7/01~7/07)</v>
      </c>
      <c r="J921" s="6" t="str">
        <f>A921&amp;"년 "&amp;WEEKNUM(C921,2)&amp;"주차"&amp;" ("&amp;TEXT(C921,"m/dd")&amp;"~"&amp;TEXT(C927,"m/dd")&amp;")"</f>
        <v>2024년 27주차 (7/01~7/07)</v>
      </c>
      <c r="K921" s="6">
        <f t="shared" si="121"/>
        <v>2024</v>
      </c>
      <c r="L921" s="6">
        <f t="shared" si="122"/>
        <v>27</v>
      </c>
    </row>
    <row r="922" spans="1:12" x14ac:dyDescent="0.45">
      <c r="A922" s="6">
        <f t="shared" si="126"/>
        <v>2024</v>
      </c>
      <c r="B922" s="6">
        <f t="shared" si="120"/>
        <v>7</v>
      </c>
      <c r="C922" s="7">
        <v>45475</v>
      </c>
      <c r="D922" s="6">
        <f t="shared" si="127"/>
        <v>2</v>
      </c>
      <c r="E922" s="6">
        <f t="shared" si="128"/>
        <v>27</v>
      </c>
      <c r="F922" s="6">
        <f t="shared" si="123"/>
        <v>1</v>
      </c>
      <c r="G922" s="6" t="str">
        <f t="shared" si="124"/>
        <v>07</v>
      </c>
      <c r="H922" s="6" t="str">
        <f t="shared" si="125"/>
        <v>07월 1주차</v>
      </c>
      <c r="I922" s="6" t="str">
        <f>H922&amp;" ("&amp;TEXT(C921,"m/dd")&amp;"~"&amp;TEXT(C927,"m/dd")&amp;")"</f>
        <v>07월 1주차 (7/01~7/07)</v>
      </c>
      <c r="J922" s="6" t="str">
        <f>A921&amp;"년 "&amp;WEEKNUM(C921,2)&amp;"주차"&amp;" ("&amp;TEXT(C921,"m/dd")&amp;"~"&amp;TEXT(C927,"m/dd")&amp;")"</f>
        <v>2024년 27주차 (7/01~7/07)</v>
      </c>
      <c r="K922" s="6">
        <f t="shared" si="121"/>
        <v>2024</v>
      </c>
      <c r="L922" s="6">
        <f t="shared" si="122"/>
        <v>27</v>
      </c>
    </row>
    <row r="923" spans="1:12" x14ac:dyDescent="0.45">
      <c r="A923" s="6">
        <f t="shared" si="126"/>
        <v>2024</v>
      </c>
      <c r="B923" s="6">
        <f t="shared" si="120"/>
        <v>7</v>
      </c>
      <c r="C923" s="7">
        <v>45476</v>
      </c>
      <c r="D923" s="6">
        <f t="shared" si="127"/>
        <v>3</v>
      </c>
      <c r="E923" s="6">
        <f t="shared" si="128"/>
        <v>27</v>
      </c>
      <c r="F923" s="6">
        <f t="shared" si="123"/>
        <v>1</v>
      </c>
      <c r="G923" s="6" t="str">
        <f t="shared" si="124"/>
        <v>07</v>
      </c>
      <c r="H923" s="6" t="str">
        <f t="shared" si="125"/>
        <v>07월 1주차</v>
      </c>
      <c r="I923" s="6" t="str">
        <f>H923&amp;" ("&amp;TEXT(C921,"m/dd")&amp;"~"&amp;TEXT(C927,"m/dd")&amp;")"</f>
        <v>07월 1주차 (7/01~7/07)</v>
      </c>
      <c r="J923" s="6" t="str">
        <f>A921&amp;"년 "&amp;WEEKNUM(C921,2)&amp;"주차"&amp;" ("&amp;TEXT(C921,"m/dd")&amp;"~"&amp;TEXT(C927,"m/dd")&amp;")"</f>
        <v>2024년 27주차 (7/01~7/07)</v>
      </c>
      <c r="K923" s="6">
        <f t="shared" si="121"/>
        <v>2024</v>
      </c>
      <c r="L923" s="6">
        <f t="shared" si="122"/>
        <v>27</v>
      </c>
    </row>
    <row r="924" spans="1:12" x14ac:dyDescent="0.45">
      <c r="A924" s="6">
        <f t="shared" si="126"/>
        <v>2024</v>
      </c>
      <c r="B924" s="6">
        <f t="shared" si="120"/>
        <v>7</v>
      </c>
      <c r="C924" s="7">
        <v>45477</v>
      </c>
      <c r="D924" s="6">
        <f t="shared" si="127"/>
        <v>4</v>
      </c>
      <c r="E924" s="6">
        <f t="shared" si="128"/>
        <v>27</v>
      </c>
      <c r="F924" s="6">
        <f t="shared" si="123"/>
        <v>1</v>
      </c>
      <c r="G924" s="6" t="str">
        <f t="shared" si="124"/>
        <v>07</v>
      </c>
      <c r="H924" s="6" t="str">
        <f t="shared" si="125"/>
        <v>07월 1주차</v>
      </c>
      <c r="I924" s="6" t="str">
        <f>H924&amp;" ("&amp;TEXT(C921,"m/dd")&amp;"~"&amp;TEXT(C927,"m/dd")&amp;")"</f>
        <v>07월 1주차 (7/01~7/07)</v>
      </c>
      <c r="J924" s="6" t="str">
        <f>A921&amp;"년 "&amp;WEEKNUM(C921,2)&amp;"주차"&amp;" ("&amp;TEXT(C921,"m/dd")&amp;"~"&amp;TEXT(C927,"m/dd")&amp;")"</f>
        <v>2024년 27주차 (7/01~7/07)</v>
      </c>
      <c r="K924" s="6">
        <f t="shared" si="121"/>
        <v>2024</v>
      </c>
      <c r="L924" s="6">
        <f t="shared" si="122"/>
        <v>27</v>
      </c>
    </row>
    <row r="925" spans="1:12" x14ac:dyDescent="0.45">
      <c r="A925" s="6">
        <f t="shared" si="126"/>
        <v>2024</v>
      </c>
      <c r="B925" s="6">
        <f t="shared" si="120"/>
        <v>7</v>
      </c>
      <c r="C925" s="7">
        <v>45478</v>
      </c>
      <c r="D925" s="6">
        <f t="shared" si="127"/>
        <v>5</v>
      </c>
      <c r="E925" s="6">
        <f t="shared" si="128"/>
        <v>27</v>
      </c>
      <c r="F925" s="6">
        <f t="shared" si="123"/>
        <v>1</v>
      </c>
      <c r="G925" s="6" t="str">
        <f t="shared" si="124"/>
        <v>07</v>
      </c>
      <c r="H925" s="6" t="str">
        <f t="shared" si="125"/>
        <v>07월 1주차</v>
      </c>
      <c r="I925" s="6" t="str">
        <f>H925&amp;" ("&amp;TEXT(C921,"m/dd")&amp;"~"&amp;TEXT(C927,"m/dd")&amp;")"</f>
        <v>07월 1주차 (7/01~7/07)</v>
      </c>
      <c r="J925" s="6" t="str">
        <f>A921&amp;"년 "&amp;WEEKNUM(C921,2)&amp;"주차"&amp;" ("&amp;TEXT(C921,"m/dd")&amp;"~"&amp;TEXT(C927,"m/dd")&amp;")"</f>
        <v>2024년 27주차 (7/01~7/07)</v>
      </c>
      <c r="K925" s="6">
        <f t="shared" si="121"/>
        <v>2024</v>
      </c>
      <c r="L925" s="6">
        <f t="shared" si="122"/>
        <v>27</v>
      </c>
    </row>
    <row r="926" spans="1:12" x14ac:dyDescent="0.45">
      <c r="A926" s="6">
        <f t="shared" si="126"/>
        <v>2024</v>
      </c>
      <c r="B926" s="6">
        <f t="shared" si="120"/>
        <v>7</v>
      </c>
      <c r="C926" s="7">
        <v>45479</v>
      </c>
      <c r="D926" s="6">
        <f t="shared" si="127"/>
        <v>6</v>
      </c>
      <c r="E926" s="6">
        <f t="shared" si="128"/>
        <v>27</v>
      </c>
      <c r="F926" s="6">
        <f t="shared" si="123"/>
        <v>1</v>
      </c>
      <c r="G926" s="6" t="str">
        <f t="shared" si="124"/>
        <v>07</v>
      </c>
      <c r="H926" s="6" t="str">
        <f t="shared" si="125"/>
        <v>07월 1주차</v>
      </c>
      <c r="I926" s="6" t="str">
        <f>H926&amp;" ("&amp;TEXT(C921,"m/dd")&amp;"~"&amp;TEXT(C927,"m/dd")&amp;")"</f>
        <v>07월 1주차 (7/01~7/07)</v>
      </c>
      <c r="J926" s="6" t="str">
        <f>A921&amp;"년 "&amp;WEEKNUM(C921,2)&amp;"주차"&amp;" ("&amp;TEXT(C921,"m/dd")&amp;"~"&amp;TEXT(C927,"m/dd")&amp;")"</f>
        <v>2024년 27주차 (7/01~7/07)</v>
      </c>
      <c r="K926" s="6">
        <f t="shared" si="121"/>
        <v>2024</v>
      </c>
      <c r="L926" s="6">
        <f t="shared" si="122"/>
        <v>27</v>
      </c>
    </row>
    <row r="927" spans="1:12" x14ac:dyDescent="0.45">
      <c r="A927" s="6">
        <f t="shared" si="126"/>
        <v>2024</v>
      </c>
      <c r="B927" s="6">
        <f t="shared" si="120"/>
        <v>7</v>
      </c>
      <c r="C927" s="7">
        <v>45480</v>
      </c>
      <c r="D927" s="6">
        <f t="shared" si="127"/>
        <v>7</v>
      </c>
      <c r="E927" s="6">
        <f t="shared" si="128"/>
        <v>27</v>
      </c>
      <c r="F927" s="6">
        <f t="shared" si="123"/>
        <v>1</v>
      </c>
      <c r="G927" s="6" t="str">
        <f t="shared" si="124"/>
        <v>07</v>
      </c>
      <c r="H927" s="6" t="str">
        <f t="shared" si="125"/>
        <v>07월 1주차</v>
      </c>
      <c r="I927" s="6" t="str">
        <f>H927&amp;" ("&amp;TEXT(C921,"m/dd")&amp;"~"&amp;TEXT(C927,"m/dd")&amp;")"</f>
        <v>07월 1주차 (7/01~7/07)</v>
      </c>
      <c r="J927" s="6" t="str">
        <f>A921&amp;"년 "&amp;WEEKNUM(C921,2)&amp;"주차"&amp;" ("&amp;TEXT(C921,"m/dd")&amp;"~"&amp;TEXT(C927,"m/dd")&amp;")"</f>
        <v>2024년 27주차 (7/01~7/07)</v>
      </c>
      <c r="K927" s="6">
        <f t="shared" si="121"/>
        <v>2024</v>
      </c>
      <c r="L927" s="6">
        <f t="shared" si="122"/>
        <v>27</v>
      </c>
    </row>
    <row r="928" spans="1:12" x14ac:dyDescent="0.45">
      <c r="A928" s="6">
        <f t="shared" si="126"/>
        <v>2024</v>
      </c>
      <c r="B928" s="6">
        <f t="shared" si="120"/>
        <v>7</v>
      </c>
      <c r="C928" s="7">
        <v>45481</v>
      </c>
      <c r="D928" s="6">
        <f t="shared" si="127"/>
        <v>1</v>
      </c>
      <c r="E928" s="6">
        <f t="shared" si="128"/>
        <v>28</v>
      </c>
      <c r="F928" s="6">
        <f t="shared" si="123"/>
        <v>2</v>
      </c>
      <c r="G928" s="6" t="str">
        <f t="shared" si="124"/>
        <v>07</v>
      </c>
      <c r="H928" s="6" t="str">
        <f t="shared" si="125"/>
        <v>07월 2주차</v>
      </c>
      <c r="I928" s="6" t="str">
        <f>H928&amp;" ("&amp;TEXT(C928,"m/dd")&amp;"~"&amp;TEXT(C934,"m/dd")&amp;")"</f>
        <v>07월 2주차 (7/08~7/14)</v>
      </c>
      <c r="J928" s="6" t="str">
        <f>A928&amp;"년 "&amp;WEEKNUM(C928,2)&amp;"주차"&amp;" ("&amp;TEXT(C928,"m/dd")&amp;"~"&amp;TEXT(C934,"m/dd")&amp;")"</f>
        <v>2024년 28주차 (7/08~7/14)</v>
      </c>
      <c r="K928" s="6">
        <f t="shared" si="121"/>
        <v>2024</v>
      </c>
      <c r="L928" s="6">
        <f t="shared" si="122"/>
        <v>28</v>
      </c>
    </row>
    <row r="929" spans="1:12" x14ac:dyDescent="0.45">
      <c r="A929" s="6">
        <f t="shared" si="126"/>
        <v>2024</v>
      </c>
      <c r="B929" s="6">
        <f t="shared" si="120"/>
        <v>7</v>
      </c>
      <c r="C929" s="7">
        <v>45482</v>
      </c>
      <c r="D929" s="6">
        <f t="shared" si="127"/>
        <v>2</v>
      </c>
      <c r="E929" s="6">
        <f t="shared" si="128"/>
        <v>28</v>
      </c>
      <c r="F929" s="6">
        <f t="shared" si="123"/>
        <v>2</v>
      </c>
      <c r="G929" s="6" t="str">
        <f t="shared" si="124"/>
        <v>07</v>
      </c>
      <c r="H929" s="6" t="str">
        <f t="shared" si="125"/>
        <v>07월 2주차</v>
      </c>
      <c r="I929" s="6" t="str">
        <f>H929&amp;" ("&amp;TEXT(C928,"m/dd")&amp;"~"&amp;TEXT(C934,"m/dd")&amp;")"</f>
        <v>07월 2주차 (7/08~7/14)</v>
      </c>
      <c r="J929" s="6" t="str">
        <f>A928&amp;"년 "&amp;WEEKNUM(C928,2)&amp;"주차"&amp;" ("&amp;TEXT(C928,"m/dd")&amp;"~"&amp;TEXT(C934,"m/dd")&amp;")"</f>
        <v>2024년 28주차 (7/08~7/14)</v>
      </c>
      <c r="K929" s="6">
        <f t="shared" si="121"/>
        <v>2024</v>
      </c>
      <c r="L929" s="6">
        <f t="shared" si="122"/>
        <v>28</v>
      </c>
    </row>
    <row r="930" spans="1:12" x14ac:dyDescent="0.45">
      <c r="A930" s="6">
        <f t="shared" si="126"/>
        <v>2024</v>
      </c>
      <c r="B930" s="6">
        <f t="shared" si="120"/>
        <v>7</v>
      </c>
      <c r="C930" s="7">
        <v>45483</v>
      </c>
      <c r="D930" s="6">
        <f t="shared" si="127"/>
        <v>3</v>
      </c>
      <c r="E930" s="6">
        <f t="shared" si="128"/>
        <v>28</v>
      </c>
      <c r="F930" s="6">
        <f t="shared" si="123"/>
        <v>2</v>
      </c>
      <c r="G930" s="6" t="str">
        <f t="shared" si="124"/>
        <v>07</v>
      </c>
      <c r="H930" s="6" t="str">
        <f t="shared" si="125"/>
        <v>07월 2주차</v>
      </c>
      <c r="I930" s="6" t="str">
        <f>H930&amp;" ("&amp;TEXT(C928,"m/dd")&amp;"~"&amp;TEXT(C934,"m/dd")&amp;")"</f>
        <v>07월 2주차 (7/08~7/14)</v>
      </c>
      <c r="J930" s="6" t="str">
        <f>A928&amp;"년 "&amp;WEEKNUM(C928,2)&amp;"주차"&amp;" ("&amp;TEXT(C928,"m/dd")&amp;"~"&amp;TEXT(C934,"m/dd")&amp;")"</f>
        <v>2024년 28주차 (7/08~7/14)</v>
      </c>
      <c r="K930" s="6">
        <f t="shared" si="121"/>
        <v>2024</v>
      </c>
      <c r="L930" s="6">
        <f t="shared" si="122"/>
        <v>28</v>
      </c>
    </row>
    <row r="931" spans="1:12" x14ac:dyDescent="0.45">
      <c r="A931" s="6">
        <f t="shared" si="126"/>
        <v>2024</v>
      </c>
      <c r="B931" s="6">
        <f t="shared" si="120"/>
        <v>7</v>
      </c>
      <c r="C931" s="7">
        <v>45484</v>
      </c>
      <c r="D931" s="6">
        <f t="shared" si="127"/>
        <v>4</v>
      </c>
      <c r="E931" s="6">
        <f t="shared" si="128"/>
        <v>28</v>
      </c>
      <c r="F931" s="6">
        <f t="shared" si="123"/>
        <v>2</v>
      </c>
      <c r="G931" s="6" t="str">
        <f t="shared" si="124"/>
        <v>07</v>
      </c>
      <c r="H931" s="6" t="str">
        <f t="shared" si="125"/>
        <v>07월 2주차</v>
      </c>
      <c r="I931" s="6" t="str">
        <f>H931&amp;" ("&amp;TEXT(C928,"m/dd")&amp;"~"&amp;TEXT(C934,"m/dd")&amp;")"</f>
        <v>07월 2주차 (7/08~7/14)</v>
      </c>
      <c r="J931" s="6" t="str">
        <f>A928&amp;"년 "&amp;WEEKNUM(C928,2)&amp;"주차"&amp;" ("&amp;TEXT(C928,"m/dd")&amp;"~"&amp;TEXT(C934,"m/dd")&amp;")"</f>
        <v>2024년 28주차 (7/08~7/14)</v>
      </c>
      <c r="K931" s="6">
        <f t="shared" si="121"/>
        <v>2024</v>
      </c>
      <c r="L931" s="6">
        <f t="shared" si="122"/>
        <v>28</v>
      </c>
    </row>
    <row r="932" spans="1:12" x14ac:dyDescent="0.45">
      <c r="A932" s="6">
        <f t="shared" si="126"/>
        <v>2024</v>
      </c>
      <c r="B932" s="6">
        <f t="shared" si="120"/>
        <v>7</v>
      </c>
      <c r="C932" s="7">
        <v>45485</v>
      </c>
      <c r="D932" s="6">
        <f t="shared" si="127"/>
        <v>5</v>
      </c>
      <c r="E932" s="6">
        <f t="shared" si="128"/>
        <v>28</v>
      </c>
      <c r="F932" s="6">
        <f t="shared" si="123"/>
        <v>2</v>
      </c>
      <c r="G932" s="6" t="str">
        <f t="shared" si="124"/>
        <v>07</v>
      </c>
      <c r="H932" s="6" t="str">
        <f t="shared" si="125"/>
        <v>07월 2주차</v>
      </c>
      <c r="I932" s="6" t="str">
        <f>H932&amp;" ("&amp;TEXT(C928,"m/dd")&amp;"~"&amp;TEXT(C934,"m/dd")&amp;")"</f>
        <v>07월 2주차 (7/08~7/14)</v>
      </c>
      <c r="J932" s="6" t="str">
        <f>A928&amp;"년 "&amp;WEEKNUM(C928,2)&amp;"주차"&amp;" ("&amp;TEXT(C928,"m/dd")&amp;"~"&amp;TEXT(C934,"m/dd")&amp;")"</f>
        <v>2024년 28주차 (7/08~7/14)</v>
      </c>
      <c r="K932" s="6">
        <f t="shared" si="121"/>
        <v>2024</v>
      </c>
      <c r="L932" s="6">
        <f t="shared" si="122"/>
        <v>28</v>
      </c>
    </row>
    <row r="933" spans="1:12" x14ac:dyDescent="0.45">
      <c r="A933" s="6">
        <f t="shared" si="126"/>
        <v>2024</v>
      </c>
      <c r="B933" s="6">
        <f t="shared" si="120"/>
        <v>7</v>
      </c>
      <c r="C933" s="7">
        <v>45486</v>
      </c>
      <c r="D933" s="6">
        <f t="shared" si="127"/>
        <v>6</v>
      </c>
      <c r="E933" s="6">
        <f t="shared" si="128"/>
        <v>28</v>
      </c>
      <c r="F933" s="6">
        <f t="shared" si="123"/>
        <v>2</v>
      </c>
      <c r="G933" s="6" t="str">
        <f t="shared" si="124"/>
        <v>07</v>
      </c>
      <c r="H933" s="6" t="str">
        <f t="shared" si="125"/>
        <v>07월 2주차</v>
      </c>
      <c r="I933" s="6" t="str">
        <f>H933&amp;" ("&amp;TEXT(C928,"m/dd")&amp;"~"&amp;TEXT(C934,"m/dd")&amp;")"</f>
        <v>07월 2주차 (7/08~7/14)</v>
      </c>
      <c r="J933" s="6" t="str">
        <f>A928&amp;"년 "&amp;WEEKNUM(C928,2)&amp;"주차"&amp;" ("&amp;TEXT(C928,"m/dd")&amp;"~"&amp;TEXT(C934,"m/dd")&amp;")"</f>
        <v>2024년 28주차 (7/08~7/14)</v>
      </c>
      <c r="K933" s="6">
        <f t="shared" si="121"/>
        <v>2024</v>
      </c>
      <c r="L933" s="6">
        <f t="shared" si="122"/>
        <v>28</v>
      </c>
    </row>
    <row r="934" spans="1:12" x14ac:dyDescent="0.45">
      <c r="A934" s="6">
        <f t="shared" si="126"/>
        <v>2024</v>
      </c>
      <c r="B934" s="6">
        <f t="shared" ref="B934:B997" si="129">MONTH(C934)</f>
        <v>7</v>
      </c>
      <c r="C934" s="7">
        <v>45487</v>
      </c>
      <c r="D934" s="6">
        <f t="shared" si="127"/>
        <v>7</v>
      </c>
      <c r="E934" s="6">
        <f t="shared" si="128"/>
        <v>28</v>
      </c>
      <c r="F934" s="6">
        <f t="shared" si="123"/>
        <v>2</v>
      </c>
      <c r="G934" s="6" t="str">
        <f t="shared" si="124"/>
        <v>07</v>
      </c>
      <c r="H934" s="6" t="str">
        <f t="shared" si="125"/>
        <v>07월 2주차</v>
      </c>
      <c r="I934" s="6" t="str">
        <f>H934&amp;" ("&amp;TEXT(C928,"m/dd")&amp;"~"&amp;TEXT(C934,"m/dd")&amp;")"</f>
        <v>07월 2주차 (7/08~7/14)</v>
      </c>
      <c r="J934" s="6" t="str">
        <f>A928&amp;"년 "&amp;WEEKNUM(C928,2)&amp;"주차"&amp;" ("&amp;TEXT(C928,"m/dd")&amp;"~"&amp;TEXT(C934,"m/dd")&amp;")"</f>
        <v>2024년 28주차 (7/08~7/14)</v>
      </c>
      <c r="K934" s="6">
        <f t="shared" si="121"/>
        <v>2024</v>
      </c>
      <c r="L934" s="6">
        <f t="shared" si="122"/>
        <v>28</v>
      </c>
    </row>
    <row r="935" spans="1:12" x14ac:dyDescent="0.45">
      <c r="A935" s="6">
        <f t="shared" si="126"/>
        <v>2024</v>
      </c>
      <c r="B935" s="6">
        <f t="shared" si="129"/>
        <v>7</v>
      </c>
      <c r="C935" s="7">
        <v>45488</v>
      </c>
      <c r="D935" s="6">
        <f t="shared" si="127"/>
        <v>1</v>
      </c>
      <c r="E935" s="6">
        <f t="shared" si="128"/>
        <v>29</v>
      </c>
      <c r="F935" s="6">
        <f t="shared" si="123"/>
        <v>3</v>
      </c>
      <c r="G935" s="6" t="str">
        <f t="shared" si="124"/>
        <v>07</v>
      </c>
      <c r="H935" s="6" t="str">
        <f t="shared" si="125"/>
        <v>07월 3주차</v>
      </c>
      <c r="I935" s="6" t="str">
        <f>H935&amp;" ("&amp;TEXT(C935,"m/dd")&amp;"~"&amp;TEXT(C941,"m/dd")&amp;")"</f>
        <v>07월 3주차 (7/15~7/21)</v>
      </c>
      <c r="J935" s="6" t="str">
        <f>A935&amp;"년 "&amp;WEEKNUM(C935,2)&amp;"주차"&amp;" ("&amp;TEXT(C935,"m/dd")&amp;"~"&amp;TEXT(C941,"m/dd")&amp;")"</f>
        <v>2024년 29주차 (7/15~7/21)</v>
      </c>
      <c r="K935" s="6">
        <f t="shared" si="121"/>
        <v>2024</v>
      </c>
      <c r="L935" s="6">
        <f t="shared" si="122"/>
        <v>29</v>
      </c>
    </row>
    <row r="936" spans="1:12" x14ac:dyDescent="0.45">
      <c r="A936" s="6">
        <f t="shared" si="126"/>
        <v>2024</v>
      </c>
      <c r="B936" s="6">
        <f t="shared" si="129"/>
        <v>7</v>
      </c>
      <c r="C936" s="7">
        <v>45489</v>
      </c>
      <c r="D936" s="6">
        <f t="shared" si="127"/>
        <v>2</v>
      </c>
      <c r="E936" s="6">
        <f t="shared" si="128"/>
        <v>29</v>
      </c>
      <c r="F936" s="6">
        <f t="shared" si="123"/>
        <v>3</v>
      </c>
      <c r="G936" s="6" t="str">
        <f t="shared" si="124"/>
        <v>07</v>
      </c>
      <c r="H936" s="6" t="str">
        <f t="shared" si="125"/>
        <v>07월 3주차</v>
      </c>
      <c r="I936" s="6" t="str">
        <f>H936&amp;" ("&amp;TEXT(C935,"m/dd")&amp;"~"&amp;TEXT(C941,"m/dd")&amp;")"</f>
        <v>07월 3주차 (7/15~7/21)</v>
      </c>
      <c r="J936" s="6" t="str">
        <f>A935&amp;"년 "&amp;WEEKNUM(C935,2)&amp;"주차"&amp;" ("&amp;TEXT(C935,"m/dd")&amp;"~"&amp;TEXT(C941,"m/dd")&amp;")"</f>
        <v>2024년 29주차 (7/15~7/21)</v>
      </c>
      <c r="K936" s="6">
        <f t="shared" si="121"/>
        <v>2024</v>
      </c>
      <c r="L936" s="6">
        <f t="shared" si="122"/>
        <v>29</v>
      </c>
    </row>
    <row r="937" spans="1:12" x14ac:dyDescent="0.45">
      <c r="A937" s="6">
        <f t="shared" si="126"/>
        <v>2024</v>
      </c>
      <c r="B937" s="6">
        <f t="shared" si="129"/>
        <v>7</v>
      </c>
      <c r="C937" s="7">
        <v>45490</v>
      </c>
      <c r="D937" s="6">
        <f t="shared" si="127"/>
        <v>3</v>
      </c>
      <c r="E937" s="6">
        <f t="shared" si="128"/>
        <v>29</v>
      </c>
      <c r="F937" s="6">
        <f t="shared" si="123"/>
        <v>3</v>
      </c>
      <c r="G937" s="6" t="str">
        <f t="shared" si="124"/>
        <v>07</v>
      </c>
      <c r="H937" s="6" t="str">
        <f t="shared" si="125"/>
        <v>07월 3주차</v>
      </c>
      <c r="I937" s="6" t="str">
        <f>H937&amp;" ("&amp;TEXT(C935,"m/dd")&amp;"~"&amp;TEXT(C941,"m/dd")&amp;")"</f>
        <v>07월 3주차 (7/15~7/21)</v>
      </c>
      <c r="J937" s="6" t="str">
        <f>A935&amp;"년 "&amp;WEEKNUM(C935,2)&amp;"주차"&amp;" ("&amp;TEXT(C935,"m/dd")&amp;"~"&amp;TEXT(C941,"m/dd")&amp;")"</f>
        <v>2024년 29주차 (7/15~7/21)</v>
      </c>
      <c r="K937" s="6">
        <f t="shared" si="121"/>
        <v>2024</v>
      </c>
      <c r="L937" s="6">
        <f t="shared" si="122"/>
        <v>29</v>
      </c>
    </row>
    <row r="938" spans="1:12" x14ac:dyDescent="0.45">
      <c r="A938" s="6">
        <f t="shared" si="126"/>
        <v>2024</v>
      </c>
      <c r="B938" s="6">
        <f t="shared" si="129"/>
        <v>7</v>
      </c>
      <c r="C938" s="7">
        <v>45491</v>
      </c>
      <c r="D938" s="6">
        <f t="shared" si="127"/>
        <v>4</v>
      </c>
      <c r="E938" s="6">
        <f t="shared" si="128"/>
        <v>29</v>
      </c>
      <c r="F938" s="6">
        <f t="shared" si="123"/>
        <v>3</v>
      </c>
      <c r="G938" s="6" t="str">
        <f t="shared" si="124"/>
        <v>07</v>
      </c>
      <c r="H938" s="6" t="str">
        <f t="shared" si="125"/>
        <v>07월 3주차</v>
      </c>
      <c r="I938" s="6" t="str">
        <f>H938&amp;" ("&amp;TEXT(C935,"m/dd")&amp;"~"&amp;TEXT(C941,"m/dd")&amp;")"</f>
        <v>07월 3주차 (7/15~7/21)</v>
      </c>
      <c r="J938" s="6" t="str">
        <f>A935&amp;"년 "&amp;WEEKNUM(C935,2)&amp;"주차"&amp;" ("&amp;TEXT(C935,"m/dd")&amp;"~"&amp;TEXT(C941,"m/dd")&amp;")"</f>
        <v>2024년 29주차 (7/15~7/21)</v>
      </c>
      <c r="K938" s="6">
        <f t="shared" si="121"/>
        <v>2024</v>
      </c>
      <c r="L938" s="6">
        <f t="shared" si="122"/>
        <v>29</v>
      </c>
    </row>
    <row r="939" spans="1:12" x14ac:dyDescent="0.45">
      <c r="A939" s="6">
        <f t="shared" si="126"/>
        <v>2024</v>
      </c>
      <c r="B939" s="6">
        <f t="shared" si="129"/>
        <v>7</v>
      </c>
      <c r="C939" s="7">
        <v>45492</v>
      </c>
      <c r="D939" s="6">
        <f t="shared" si="127"/>
        <v>5</v>
      </c>
      <c r="E939" s="6">
        <f t="shared" si="128"/>
        <v>29</v>
      </c>
      <c r="F939" s="6">
        <f t="shared" si="123"/>
        <v>3</v>
      </c>
      <c r="G939" s="6" t="str">
        <f t="shared" si="124"/>
        <v>07</v>
      </c>
      <c r="H939" s="6" t="str">
        <f t="shared" si="125"/>
        <v>07월 3주차</v>
      </c>
      <c r="I939" s="6" t="str">
        <f>H939&amp;" ("&amp;TEXT(C935,"m/dd")&amp;"~"&amp;TEXT(C941,"m/dd")&amp;")"</f>
        <v>07월 3주차 (7/15~7/21)</v>
      </c>
      <c r="J939" s="6" t="str">
        <f>A935&amp;"년 "&amp;WEEKNUM(C935,2)&amp;"주차"&amp;" ("&amp;TEXT(C935,"m/dd")&amp;"~"&amp;TEXT(C941,"m/dd")&amp;")"</f>
        <v>2024년 29주차 (7/15~7/21)</v>
      </c>
      <c r="K939" s="6">
        <f t="shared" si="121"/>
        <v>2024</v>
      </c>
      <c r="L939" s="6">
        <f t="shared" si="122"/>
        <v>29</v>
      </c>
    </row>
    <row r="940" spans="1:12" x14ac:dyDescent="0.45">
      <c r="A940" s="6">
        <f t="shared" si="126"/>
        <v>2024</v>
      </c>
      <c r="B940" s="6">
        <f t="shared" si="129"/>
        <v>7</v>
      </c>
      <c r="C940" s="7">
        <v>45493</v>
      </c>
      <c r="D940" s="6">
        <f t="shared" si="127"/>
        <v>6</v>
      </c>
      <c r="E940" s="6">
        <f t="shared" si="128"/>
        <v>29</v>
      </c>
      <c r="F940" s="6">
        <f t="shared" si="123"/>
        <v>3</v>
      </c>
      <c r="G940" s="6" t="str">
        <f t="shared" si="124"/>
        <v>07</v>
      </c>
      <c r="H940" s="6" t="str">
        <f t="shared" si="125"/>
        <v>07월 3주차</v>
      </c>
      <c r="I940" s="6" t="str">
        <f>H940&amp;" ("&amp;TEXT(C935,"m/dd")&amp;"~"&amp;TEXT(C941,"m/dd")&amp;")"</f>
        <v>07월 3주차 (7/15~7/21)</v>
      </c>
      <c r="J940" s="6" t="str">
        <f>A935&amp;"년 "&amp;WEEKNUM(C935,2)&amp;"주차"&amp;" ("&amp;TEXT(C935,"m/dd")&amp;"~"&amp;TEXT(C941,"m/dd")&amp;")"</f>
        <v>2024년 29주차 (7/15~7/21)</v>
      </c>
      <c r="K940" s="6">
        <f t="shared" si="121"/>
        <v>2024</v>
      </c>
      <c r="L940" s="6">
        <f t="shared" si="122"/>
        <v>29</v>
      </c>
    </row>
    <row r="941" spans="1:12" x14ac:dyDescent="0.45">
      <c r="A941" s="6">
        <f t="shared" si="126"/>
        <v>2024</v>
      </c>
      <c r="B941" s="6">
        <f t="shared" si="129"/>
        <v>7</v>
      </c>
      <c r="C941" s="7">
        <v>45494</v>
      </c>
      <c r="D941" s="6">
        <f t="shared" si="127"/>
        <v>7</v>
      </c>
      <c r="E941" s="6">
        <f t="shared" si="128"/>
        <v>29</v>
      </c>
      <c r="F941" s="6">
        <f t="shared" si="123"/>
        <v>3</v>
      </c>
      <c r="G941" s="6" t="str">
        <f t="shared" si="124"/>
        <v>07</v>
      </c>
      <c r="H941" s="6" t="str">
        <f t="shared" si="125"/>
        <v>07월 3주차</v>
      </c>
      <c r="I941" s="6" t="str">
        <f>H941&amp;" ("&amp;TEXT(C935,"m/dd")&amp;"~"&amp;TEXT(C941,"m/dd")&amp;")"</f>
        <v>07월 3주차 (7/15~7/21)</v>
      </c>
      <c r="J941" s="6" t="str">
        <f>A935&amp;"년 "&amp;WEEKNUM(C935,2)&amp;"주차"&amp;" ("&amp;TEXT(C935,"m/dd")&amp;"~"&amp;TEXT(C941,"m/dd")&amp;")"</f>
        <v>2024년 29주차 (7/15~7/21)</v>
      </c>
      <c r="K941" s="6">
        <f t="shared" si="121"/>
        <v>2024</v>
      </c>
      <c r="L941" s="6">
        <f t="shared" si="122"/>
        <v>29</v>
      </c>
    </row>
    <row r="942" spans="1:12" x14ac:dyDescent="0.45">
      <c r="A942" s="6">
        <f t="shared" si="126"/>
        <v>2024</v>
      </c>
      <c r="B942" s="6">
        <f t="shared" si="129"/>
        <v>7</v>
      </c>
      <c r="C942" s="7">
        <v>45495</v>
      </c>
      <c r="D942" s="6">
        <f t="shared" si="127"/>
        <v>1</v>
      </c>
      <c r="E942" s="6">
        <f t="shared" si="128"/>
        <v>30</v>
      </c>
      <c r="F942" s="6">
        <f t="shared" si="123"/>
        <v>4</v>
      </c>
      <c r="G942" s="6" t="str">
        <f t="shared" si="124"/>
        <v>07</v>
      </c>
      <c r="H942" s="6" t="str">
        <f t="shared" si="125"/>
        <v>07월 4주차</v>
      </c>
      <c r="I942" s="6" t="str">
        <f>H942&amp;" ("&amp;TEXT(C942,"m/dd")&amp;"~"&amp;TEXT(C948,"m/dd")&amp;")"</f>
        <v>07월 4주차 (7/22~7/28)</v>
      </c>
      <c r="J942" s="6" t="str">
        <f>A942&amp;"년 "&amp;WEEKNUM(C942,2)&amp;"주차"&amp;" ("&amp;TEXT(C942,"m/dd")&amp;"~"&amp;TEXT(C948,"m/dd")&amp;")"</f>
        <v>2024년 30주차 (7/22~7/28)</v>
      </c>
      <c r="K942" s="6">
        <f t="shared" si="121"/>
        <v>2024</v>
      </c>
      <c r="L942" s="6">
        <f t="shared" si="122"/>
        <v>30</v>
      </c>
    </row>
    <row r="943" spans="1:12" x14ac:dyDescent="0.45">
      <c r="A943" s="6">
        <f t="shared" si="126"/>
        <v>2024</v>
      </c>
      <c r="B943" s="6">
        <f t="shared" si="129"/>
        <v>7</v>
      </c>
      <c r="C943" s="7">
        <v>45496</v>
      </c>
      <c r="D943" s="6">
        <f t="shared" si="127"/>
        <v>2</v>
      </c>
      <c r="E943" s="6">
        <f t="shared" si="128"/>
        <v>30</v>
      </c>
      <c r="F943" s="6">
        <f t="shared" si="123"/>
        <v>4</v>
      </c>
      <c r="G943" s="6" t="str">
        <f t="shared" si="124"/>
        <v>07</v>
      </c>
      <c r="H943" s="6" t="str">
        <f t="shared" si="125"/>
        <v>07월 4주차</v>
      </c>
      <c r="I943" s="6" t="str">
        <f>H943&amp;" ("&amp;TEXT(C942,"m/dd")&amp;"~"&amp;TEXT(C948,"m/dd")&amp;")"</f>
        <v>07월 4주차 (7/22~7/28)</v>
      </c>
      <c r="J943" s="6" t="str">
        <f>A942&amp;"년 "&amp;WEEKNUM(C942,2)&amp;"주차"&amp;" ("&amp;TEXT(C942,"m/dd")&amp;"~"&amp;TEXT(C948,"m/dd")&amp;")"</f>
        <v>2024년 30주차 (7/22~7/28)</v>
      </c>
      <c r="K943" s="6">
        <f t="shared" ref="K943:K1006" si="130">YEAR(C943)</f>
        <v>2024</v>
      </c>
      <c r="L943" s="6">
        <f t="shared" ref="L943:L1006" si="131">WEEKNUM(C943,2)</f>
        <v>30</v>
      </c>
    </row>
    <row r="944" spans="1:12" x14ac:dyDescent="0.45">
      <c r="A944" s="6">
        <f t="shared" si="126"/>
        <v>2024</v>
      </c>
      <c r="B944" s="6">
        <f t="shared" si="129"/>
        <v>7</v>
      </c>
      <c r="C944" s="7">
        <v>45497</v>
      </c>
      <c r="D944" s="6">
        <f t="shared" si="127"/>
        <v>3</v>
      </c>
      <c r="E944" s="6">
        <f t="shared" si="128"/>
        <v>30</v>
      </c>
      <c r="F944" s="6">
        <f t="shared" si="123"/>
        <v>4</v>
      </c>
      <c r="G944" s="6" t="str">
        <f t="shared" si="124"/>
        <v>07</v>
      </c>
      <c r="H944" s="6" t="str">
        <f t="shared" si="125"/>
        <v>07월 4주차</v>
      </c>
      <c r="I944" s="6" t="str">
        <f>H944&amp;" ("&amp;TEXT(C942,"m/dd")&amp;"~"&amp;TEXT(C948,"m/dd")&amp;")"</f>
        <v>07월 4주차 (7/22~7/28)</v>
      </c>
      <c r="J944" s="6" t="str">
        <f>A942&amp;"년 "&amp;WEEKNUM(C942,2)&amp;"주차"&amp;" ("&amp;TEXT(C942,"m/dd")&amp;"~"&amp;TEXT(C948,"m/dd")&amp;")"</f>
        <v>2024년 30주차 (7/22~7/28)</v>
      </c>
      <c r="K944" s="6">
        <f t="shared" si="130"/>
        <v>2024</v>
      </c>
      <c r="L944" s="6">
        <f t="shared" si="131"/>
        <v>30</v>
      </c>
    </row>
    <row r="945" spans="1:12" x14ac:dyDescent="0.45">
      <c r="A945" s="6">
        <f t="shared" si="126"/>
        <v>2024</v>
      </c>
      <c r="B945" s="6">
        <f t="shared" si="129"/>
        <v>7</v>
      </c>
      <c r="C945" s="7">
        <v>45498</v>
      </c>
      <c r="D945" s="6">
        <f t="shared" si="127"/>
        <v>4</v>
      </c>
      <c r="E945" s="6">
        <f t="shared" si="128"/>
        <v>30</v>
      </c>
      <c r="F945" s="6">
        <f t="shared" si="123"/>
        <v>4</v>
      </c>
      <c r="G945" s="6" t="str">
        <f t="shared" si="124"/>
        <v>07</v>
      </c>
      <c r="H945" s="6" t="str">
        <f t="shared" si="125"/>
        <v>07월 4주차</v>
      </c>
      <c r="I945" s="6" t="str">
        <f>H945&amp;" ("&amp;TEXT(C942,"m/dd")&amp;"~"&amp;TEXT(C948,"m/dd")&amp;")"</f>
        <v>07월 4주차 (7/22~7/28)</v>
      </c>
      <c r="J945" s="6" t="str">
        <f>A942&amp;"년 "&amp;WEEKNUM(C942,2)&amp;"주차"&amp;" ("&amp;TEXT(C942,"m/dd")&amp;"~"&amp;TEXT(C948,"m/dd")&amp;")"</f>
        <v>2024년 30주차 (7/22~7/28)</v>
      </c>
      <c r="K945" s="6">
        <f t="shared" si="130"/>
        <v>2024</v>
      </c>
      <c r="L945" s="6">
        <f t="shared" si="131"/>
        <v>30</v>
      </c>
    </row>
    <row r="946" spans="1:12" x14ac:dyDescent="0.45">
      <c r="A946" s="6">
        <f t="shared" si="126"/>
        <v>2024</v>
      </c>
      <c r="B946" s="6">
        <f t="shared" si="129"/>
        <v>7</v>
      </c>
      <c r="C946" s="7">
        <v>45499</v>
      </c>
      <c r="D946" s="6">
        <f t="shared" si="127"/>
        <v>5</v>
      </c>
      <c r="E946" s="6">
        <f t="shared" si="128"/>
        <v>30</v>
      </c>
      <c r="F946" s="6">
        <f t="shared" si="123"/>
        <v>4</v>
      </c>
      <c r="G946" s="6" t="str">
        <f t="shared" si="124"/>
        <v>07</v>
      </c>
      <c r="H946" s="6" t="str">
        <f t="shared" si="125"/>
        <v>07월 4주차</v>
      </c>
      <c r="I946" s="6" t="str">
        <f>H946&amp;" ("&amp;TEXT(C942,"m/dd")&amp;"~"&amp;TEXT(C948,"m/dd")&amp;")"</f>
        <v>07월 4주차 (7/22~7/28)</v>
      </c>
      <c r="J946" s="6" t="str">
        <f>A942&amp;"년 "&amp;WEEKNUM(C942,2)&amp;"주차"&amp;" ("&amp;TEXT(C942,"m/dd")&amp;"~"&amp;TEXT(C948,"m/dd")&amp;")"</f>
        <v>2024년 30주차 (7/22~7/28)</v>
      </c>
      <c r="K946" s="6">
        <f t="shared" si="130"/>
        <v>2024</v>
      </c>
      <c r="L946" s="6">
        <f t="shared" si="131"/>
        <v>30</v>
      </c>
    </row>
    <row r="947" spans="1:12" x14ac:dyDescent="0.45">
      <c r="A947" s="6">
        <f t="shared" si="126"/>
        <v>2024</v>
      </c>
      <c r="B947" s="6">
        <f t="shared" si="129"/>
        <v>7</v>
      </c>
      <c r="C947" s="7">
        <v>45500</v>
      </c>
      <c r="D947" s="6">
        <f t="shared" si="127"/>
        <v>6</v>
      </c>
      <c r="E947" s="6">
        <f t="shared" si="128"/>
        <v>30</v>
      </c>
      <c r="F947" s="6">
        <f t="shared" si="123"/>
        <v>4</v>
      </c>
      <c r="G947" s="6" t="str">
        <f t="shared" si="124"/>
        <v>07</v>
      </c>
      <c r="H947" s="6" t="str">
        <f t="shared" si="125"/>
        <v>07월 4주차</v>
      </c>
      <c r="I947" s="6" t="str">
        <f>H947&amp;" ("&amp;TEXT(C942,"m/dd")&amp;"~"&amp;TEXT(C948,"m/dd")&amp;")"</f>
        <v>07월 4주차 (7/22~7/28)</v>
      </c>
      <c r="J947" s="6" t="str">
        <f>A942&amp;"년 "&amp;WEEKNUM(C942,2)&amp;"주차"&amp;" ("&amp;TEXT(C942,"m/dd")&amp;"~"&amp;TEXT(C948,"m/dd")&amp;")"</f>
        <v>2024년 30주차 (7/22~7/28)</v>
      </c>
      <c r="K947" s="6">
        <f t="shared" si="130"/>
        <v>2024</v>
      </c>
      <c r="L947" s="6">
        <f t="shared" si="131"/>
        <v>30</v>
      </c>
    </row>
    <row r="948" spans="1:12" x14ac:dyDescent="0.45">
      <c r="A948" s="6">
        <f t="shared" si="126"/>
        <v>2024</v>
      </c>
      <c r="B948" s="6">
        <f t="shared" si="129"/>
        <v>7</v>
      </c>
      <c r="C948" s="7">
        <v>45501</v>
      </c>
      <c r="D948" s="6">
        <f t="shared" si="127"/>
        <v>7</v>
      </c>
      <c r="E948" s="6">
        <f t="shared" si="128"/>
        <v>30</v>
      </c>
      <c r="F948" s="6">
        <f t="shared" si="123"/>
        <v>4</v>
      </c>
      <c r="G948" s="6" t="str">
        <f t="shared" si="124"/>
        <v>07</v>
      </c>
      <c r="H948" s="6" t="str">
        <f t="shared" si="125"/>
        <v>07월 4주차</v>
      </c>
      <c r="I948" s="6" t="str">
        <f>H948&amp;" ("&amp;TEXT(C942,"m/dd")&amp;"~"&amp;TEXT(C948,"m/dd")&amp;")"</f>
        <v>07월 4주차 (7/22~7/28)</v>
      </c>
      <c r="J948" s="6" t="str">
        <f>A942&amp;"년 "&amp;WEEKNUM(C942,2)&amp;"주차"&amp;" ("&amp;TEXT(C942,"m/dd")&amp;"~"&amp;TEXT(C948,"m/dd")&amp;")"</f>
        <v>2024년 30주차 (7/22~7/28)</v>
      </c>
      <c r="K948" s="6">
        <f t="shared" si="130"/>
        <v>2024</v>
      </c>
      <c r="L948" s="6">
        <f t="shared" si="131"/>
        <v>30</v>
      </c>
    </row>
    <row r="949" spans="1:12" x14ac:dyDescent="0.45">
      <c r="A949" s="6">
        <f t="shared" si="126"/>
        <v>2024</v>
      </c>
      <c r="B949" s="6">
        <v>8</v>
      </c>
      <c r="C949" s="7">
        <v>45502</v>
      </c>
      <c r="D949" s="6">
        <f t="shared" si="127"/>
        <v>1</v>
      </c>
      <c r="E949" s="6">
        <f t="shared" si="128"/>
        <v>31</v>
      </c>
      <c r="F949" s="6">
        <v>1</v>
      </c>
      <c r="G949" s="6" t="str">
        <f t="shared" si="124"/>
        <v>08</v>
      </c>
      <c r="H949" s="6" t="str">
        <f t="shared" si="125"/>
        <v>08월 1주차</v>
      </c>
      <c r="I949" s="6" t="str">
        <f>H949&amp;" ("&amp;TEXT(C949,"m/dd")&amp;"~"&amp;TEXT(C955,"m/dd")&amp;")"</f>
        <v>08월 1주차 (7/29~8/04)</v>
      </c>
      <c r="J949" s="6" t="str">
        <f>A949&amp;"년 "&amp;WEEKNUM(C949,2)&amp;"주차"&amp;" ("&amp;TEXT(C949,"m/dd")&amp;"~"&amp;TEXT(C955,"m/dd")&amp;")"</f>
        <v>2024년 31주차 (7/29~8/04)</v>
      </c>
      <c r="K949" s="6">
        <f t="shared" si="130"/>
        <v>2024</v>
      </c>
      <c r="L949" s="6">
        <f t="shared" si="131"/>
        <v>31</v>
      </c>
    </row>
    <row r="950" spans="1:12" x14ac:dyDescent="0.45">
      <c r="A950" s="6">
        <f t="shared" si="126"/>
        <v>2024</v>
      </c>
      <c r="B950" s="6">
        <v>8</v>
      </c>
      <c r="C950" s="7">
        <v>45503</v>
      </c>
      <c r="D950" s="6">
        <f t="shared" si="127"/>
        <v>2</v>
      </c>
      <c r="E950" s="6">
        <f t="shared" si="128"/>
        <v>31</v>
      </c>
      <c r="F950" s="6">
        <v>1</v>
      </c>
      <c r="G950" s="6" t="str">
        <f t="shared" si="124"/>
        <v>08</v>
      </c>
      <c r="H950" s="6" t="str">
        <f t="shared" si="125"/>
        <v>08월 1주차</v>
      </c>
      <c r="I950" s="6" t="str">
        <f>H950&amp;" ("&amp;TEXT(C949,"m/dd")&amp;"~"&amp;TEXT(C955,"m/dd")&amp;")"</f>
        <v>08월 1주차 (7/29~8/04)</v>
      </c>
      <c r="J950" s="6" t="str">
        <f>A949&amp;"년 "&amp;WEEKNUM(C949,2)&amp;"주차"&amp;" ("&amp;TEXT(C949,"m/dd")&amp;"~"&amp;TEXT(C955,"m/dd")&amp;")"</f>
        <v>2024년 31주차 (7/29~8/04)</v>
      </c>
      <c r="K950" s="6">
        <f t="shared" si="130"/>
        <v>2024</v>
      </c>
      <c r="L950" s="6">
        <f t="shared" si="131"/>
        <v>31</v>
      </c>
    </row>
    <row r="951" spans="1:12" x14ac:dyDescent="0.45">
      <c r="A951" s="6">
        <f t="shared" si="126"/>
        <v>2024</v>
      </c>
      <c r="B951" s="6">
        <v>8</v>
      </c>
      <c r="C951" s="7">
        <v>45504</v>
      </c>
      <c r="D951" s="6">
        <f t="shared" si="127"/>
        <v>3</v>
      </c>
      <c r="E951" s="6">
        <f t="shared" si="128"/>
        <v>31</v>
      </c>
      <c r="F951" s="6">
        <v>1</v>
      </c>
      <c r="G951" s="6" t="str">
        <f t="shared" si="124"/>
        <v>08</v>
      </c>
      <c r="H951" s="6" t="str">
        <f t="shared" si="125"/>
        <v>08월 1주차</v>
      </c>
      <c r="I951" s="6" t="str">
        <f>H951&amp;" ("&amp;TEXT(C949,"m/dd")&amp;"~"&amp;TEXT(C955,"m/dd")&amp;")"</f>
        <v>08월 1주차 (7/29~8/04)</v>
      </c>
      <c r="J951" s="6" t="str">
        <f>A949&amp;"년 "&amp;WEEKNUM(C949,2)&amp;"주차"&amp;" ("&amp;TEXT(C949,"m/dd")&amp;"~"&amp;TEXT(C955,"m/dd")&amp;")"</f>
        <v>2024년 31주차 (7/29~8/04)</v>
      </c>
      <c r="K951" s="6">
        <f t="shared" si="130"/>
        <v>2024</v>
      </c>
      <c r="L951" s="6">
        <f t="shared" si="131"/>
        <v>31</v>
      </c>
    </row>
    <row r="952" spans="1:12" x14ac:dyDescent="0.45">
      <c r="A952" s="6">
        <f t="shared" si="126"/>
        <v>2024</v>
      </c>
      <c r="B952" s="6">
        <f t="shared" si="129"/>
        <v>8</v>
      </c>
      <c r="C952" s="7">
        <v>45505</v>
      </c>
      <c r="D952" s="6">
        <f t="shared" si="127"/>
        <v>4</v>
      </c>
      <c r="E952" s="6">
        <f t="shared" si="128"/>
        <v>31</v>
      </c>
      <c r="F952" s="6">
        <v>1</v>
      </c>
      <c r="G952" s="6" t="str">
        <f t="shared" si="124"/>
        <v>08</v>
      </c>
      <c r="H952" s="6" t="str">
        <f t="shared" si="125"/>
        <v>08월 1주차</v>
      </c>
      <c r="I952" s="6" t="str">
        <f>H952&amp;" ("&amp;TEXT(C949,"m/dd")&amp;"~"&amp;TEXT(C955,"m/dd")&amp;")"</f>
        <v>08월 1주차 (7/29~8/04)</v>
      </c>
      <c r="J952" s="6" t="str">
        <f>A949&amp;"년 "&amp;WEEKNUM(C949,2)&amp;"주차"&amp;" ("&amp;TEXT(C949,"m/dd")&amp;"~"&amp;TEXT(C955,"m/dd")&amp;")"</f>
        <v>2024년 31주차 (7/29~8/04)</v>
      </c>
      <c r="K952" s="6">
        <f t="shared" si="130"/>
        <v>2024</v>
      </c>
      <c r="L952" s="6">
        <f t="shared" si="131"/>
        <v>31</v>
      </c>
    </row>
    <row r="953" spans="1:12" x14ac:dyDescent="0.45">
      <c r="A953" s="6">
        <f t="shared" si="126"/>
        <v>2024</v>
      </c>
      <c r="B953" s="6">
        <f t="shared" si="129"/>
        <v>8</v>
      </c>
      <c r="C953" s="7">
        <v>45506</v>
      </c>
      <c r="D953" s="6">
        <f t="shared" si="127"/>
        <v>5</v>
      </c>
      <c r="E953" s="6">
        <f t="shared" si="128"/>
        <v>31</v>
      </c>
      <c r="F953" s="6">
        <v>1</v>
      </c>
      <c r="G953" s="6" t="str">
        <f t="shared" si="124"/>
        <v>08</v>
      </c>
      <c r="H953" s="6" t="str">
        <f t="shared" si="125"/>
        <v>08월 1주차</v>
      </c>
      <c r="I953" s="6" t="str">
        <f>H953&amp;" ("&amp;TEXT(C949,"m/dd")&amp;"~"&amp;TEXT(C955,"m/dd")&amp;")"</f>
        <v>08월 1주차 (7/29~8/04)</v>
      </c>
      <c r="J953" s="6" t="str">
        <f>A949&amp;"년 "&amp;WEEKNUM(C949,2)&amp;"주차"&amp;" ("&amp;TEXT(C949,"m/dd")&amp;"~"&amp;TEXT(C955,"m/dd")&amp;")"</f>
        <v>2024년 31주차 (7/29~8/04)</v>
      </c>
      <c r="K953" s="6">
        <f t="shared" si="130"/>
        <v>2024</v>
      </c>
      <c r="L953" s="6">
        <f t="shared" si="131"/>
        <v>31</v>
      </c>
    </row>
    <row r="954" spans="1:12" x14ac:dyDescent="0.45">
      <c r="A954" s="6">
        <f t="shared" si="126"/>
        <v>2024</v>
      </c>
      <c r="B954" s="6">
        <f t="shared" si="129"/>
        <v>8</v>
      </c>
      <c r="C954" s="7">
        <v>45507</v>
      </c>
      <c r="D954" s="6">
        <f t="shared" si="127"/>
        <v>6</v>
      </c>
      <c r="E954" s="6">
        <f t="shared" si="128"/>
        <v>31</v>
      </c>
      <c r="F954" s="6">
        <v>1</v>
      </c>
      <c r="G954" s="6" t="str">
        <f t="shared" si="124"/>
        <v>08</v>
      </c>
      <c r="H954" s="6" t="str">
        <f t="shared" si="125"/>
        <v>08월 1주차</v>
      </c>
      <c r="I954" s="6" t="str">
        <f>H954&amp;" ("&amp;TEXT(C949,"m/dd")&amp;"~"&amp;TEXT(C955,"m/dd")&amp;")"</f>
        <v>08월 1주차 (7/29~8/04)</v>
      </c>
      <c r="J954" s="6" t="str">
        <f>A949&amp;"년 "&amp;WEEKNUM(C949,2)&amp;"주차"&amp;" ("&amp;TEXT(C949,"m/dd")&amp;"~"&amp;TEXT(C955,"m/dd")&amp;")"</f>
        <v>2024년 31주차 (7/29~8/04)</v>
      </c>
      <c r="K954" s="6">
        <f t="shared" si="130"/>
        <v>2024</v>
      </c>
      <c r="L954" s="6">
        <f t="shared" si="131"/>
        <v>31</v>
      </c>
    </row>
    <row r="955" spans="1:12" x14ac:dyDescent="0.45">
      <c r="A955" s="6">
        <f t="shared" si="126"/>
        <v>2024</v>
      </c>
      <c r="B955" s="6">
        <f t="shared" si="129"/>
        <v>8</v>
      </c>
      <c r="C955" s="7">
        <v>45508</v>
      </c>
      <c r="D955" s="6">
        <f t="shared" si="127"/>
        <v>7</v>
      </c>
      <c r="E955" s="6">
        <f t="shared" si="128"/>
        <v>31</v>
      </c>
      <c r="F955" s="6">
        <v>1</v>
      </c>
      <c r="G955" s="6" t="str">
        <f t="shared" si="124"/>
        <v>08</v>
      </c>
      <c r="H955" s="6" t="str">
        <f t="shared" si="125"/>
        <v>08월 1주차</v>
      </c>
      <c r="I955" s="6" t="str">
        <f>H955&amp;" ("&amp;TEXT(C949,"m/dd")&amp;"~"&amp;TEXT(C955,"m/dd")&amp;")"</f>
        <v>08월 1주차 (7/29~8/04)</v>
      </c>
      <c r="J955" s="6" t="str">
        <f>A949&amp;"년 "&amp;WEEKNUM(C949,2)&amp;"주차"&amp;" ("&amp;TEXT(C949,"m/dd")&amp;"~"&amp;TEXT(C955,"m/dd")&amp;")"</f>
        <v>2024년 31주차 (7/29~8/04)</v>
      </c>
      <c r="K955" s="6">
        <f t="shared" si="130"/>
        <v>2024</v>
      </c>
      <c r="L955" s="6">
        <f t="shared" si="131"/>
        <v>31</v>
      </c>
    </row>
    <row r="956" spans="1:12" x14ac:dyDescent="0.45">
      <c r="A956" s="6">
        <f t="shared" si="126"/>
        <v>2024</v>
      </c>
      <c r="B956" s="6">
        <f t="shared" si="129"/>
        <v>8</v>
      </c>
      <c r="C956" s="7">
        <v>45509</v>
      </c>
      <c r="D956" s="6">
        <f t="shared" si="127"/>
        <v>1</v>
      </c>
      <c r="E956" s="6">
        <f t="shared" si="128"/>
        <v>32</v>
      </c>
      <c r="F956" s="6">
        <v>2</v>
      </c>
      <c r="G956" s="6" t="str">
        <f t="shared" si="124"/>
        <v>08</v>
      </c>
      <c r="H956" s="6" t="str">
        <f t="shared" si="125"/>
        <v>08월 2주차</v>
      </c>
      <c r="I956" s="6" t="str">
        <f>H956&amp;" ("&amp;TEXT(C956,"m/dd")&amp;"~"&amp;TEXT(C962,"m/dd")&amp;")"</f>
        <v>08월 2주차 (8/05~8/11)</v>
      </c>
      <c r="J956" s="6" t="str">
        <f>A956&amp;"년 "&amp;WEEKNUM(C956,2)&amp;"주차"&amp;" ("&amp;TEXT(C956,"m/dd")&amp;"~"&amp;TEXT(C962,"m/dd")&amp;")"</f>
        <v>2024년 32주차 (8/05~8/11)</v>
      </c>
      <c r="K956" s="6">
        <f t="shared" si="130"/>
        <v>2024</v>
      </c>
      <c r="L956" s="6">
        <f t="shared" si="131"/>
        <v>32</v>
      </c>
    </row>
    <row r="957" spans="1:12" x14ac:dyDescent="0.45">
      <c r="A957" s="6">
        <f t="shared" si="126"/>
        <v>2024</v>
      </c>
      <c r="B957" s="6">
        <f t="shared" si="129"/>
        <v>8</v>
      </c>
      <c r="C957" s="7">
        <v>45510</v>
      </c>
      <c r="D957" s="6">
        <f t="shared" si="127"/>
        <v>2</v>
      </c>
      <c r="E957" s="6">
        <f t="shared" si="128"/>
        <v>32</v>
      </c>
      <c r="F957" s="6">
        <v>2</v>
      </c>
      <c r="G957" s="6" t="str">
        <f t="shared" si="124"/>
        <v>08</v>
      </c>
      <c r="H957" s="6" t="str">
        <f t="shared" si="125"/>
        <v>08월 2주차</v>
      </c>
      <c r="I957" s="6" t="str">
        <f>H957&amp;" ("&amp;TEXT(C956,"m/dd")&amp;"~"&amp;TEXT(C962,"m/dd")&amp;")"</f>
        <v>08월 2주차 (8/05~8/11)</v>
      </c>
      <c r="J957" s="6" t="str">
        <f>A956&amp;"년 "&amp;WEEKNUM(C956,2)&amp;"주차"&amp;" ("&amp;TEXT(C956,"m/dd")&amp;"~"&amp;TEXT(C962,"m/dd")&amp;")"</f>
        <v>2024년 32주차 (8/05~8/11)</v>
      </c>
      <c r="K957" s="6">
        <f t="shared" si="130"/>
        <v>2024</v>
      </c>
      <c r="L957" s="6">
        <f t="shared" si="131"/>
        <v>32</v>
      </c>
    </row>
    <row r="958" spans="1:12" x14ac:dyDescent="0.45">
      <c r="A958" s="6">
        <f t="shared" si="126"/>
        <v>2024</v>
      </c>
      <c r="B958" s="6">
        <f t="shared" si="129"/>
        <v>8</v>
      </c>
      <c r="C958" s="7">
        <v>45511</v>
      </c>
      <c r="D958" s="6">
        <f t="shared" si="127"/>
        <v>3</v>
      </c>
      <c r="E958" s="6">
        <f t="shared" si="128"/>
        <v>32</v>
      </c>
      <c r="F958" s="6">
        <v>2</v>
      </c>
      <c r="G958" s="6" t="str">
        <f t="shared" si="124"/>
        <v>08</v>
      </c>
      <c r="H958" s="6" t="str">
        <f t="shared" si="125"/>
        <v>08월 2주차</v>
      </c>
      <c r="I958" s="6" t="str">
        <f>H958&amp;" ("&amp;TEXT(C956,"m/dd")&amp;"~"&amp;TEXT(C962,"m/dd")&amp;")"</f>
        <v>08월 2주차 (8/05~8/11)</v>
      </c>
      <c r="J958" s="6" t="str">
        <f>A956&amp;"년 "&amp;WEEKNUM(C956,2)&amp;"주차"&amp;" ("&amp;TEXT(C956,"m/dd")&amp;"~"&amp;TEXT(C962,"m/dd")&amp;")"</f>
        <v>2024년 32주차 (8/05~8/11)</v>
      </c>
      <c r="K958" s="6">
        <f t="shared" si="130"/>
        <v>2024</v>
      </c>
      <c r="L958" s="6">
        <f t="shared" si="131"/>
        <v>32</v>
      </c>
    </row>
    <row r="959" spans="1:12" x14ac:dyDescent="0.45">
      <c r="A959" s="6">
        <f t="shared" si="126"/>
        <v>2024</v>
      </c>
      <c r="B959" s="6">
        <f t="shared" si="129"/>
        <v>8</v>
      </c>
      <c r="C959" s="7">
        <v>45512</v>
      </c>
      <c r="D959" s="6">
        <f t="shared" si="127"/>
        <v>4</v>
      </c>
      <c r="E959" s="6">
        <f t="shared" si="128"/>
        <v>32</v>
      </c>
      <c r="F959" s="6">
        <v>2</v>
      </c>
      <c r="G959" s="6" t="str">
        <f t="shared" si="124"/>
        <v>08</v>
      </c>
      <c r="H959" s="6" t="str">
        <f t="shared" si="125"/>
        <v>08월 2주차</v>
      </c>
      <c r="I959" s="6" t="str">
        <f>H959&amp;" ("&amp;TEXT(C956,"m/dd")&amp;"~"&amp;TEXT(C962,"m/dd")&amp;")"</f>
        <v>08월 2주차 (8/05~8/11)</v>
      </c>
      <c r="J959" s="6" t="str">
        <f>A956&amp;"년 "&amp;WEEKNUM(C956,2)&amp;"주차"&amp;" ("&amp;TEXT(C956,"m/dd")&amp;"~"&amp;TEXT(C962,"m/dd")&amp;")"</f>
        <v>2024년 32주차 (8/05~8/11)</v>
      </c>
      <c r="K959" s="6">
        <f t="shared" si="130"/>
        <v>2024</v>
      </c>
      <c r="L959" s="6">
        <f t="shared" si="131"/>
        <v>32</v>
      </c>
    </row>
    <row r="960" spans="1:12" x14ac:dyDescent="0.45">
      <c r="A960" s="6">
        <f t="shared" si="126"/>
        <v>2024</v>
      </c>
      <c r="B960" s="6">
        <f t="shared" si="129"/>
        <v>8</v>
      </c>
      <c r="C960" s="7">
        <v>45513</v>
      </c>
      <c r="D960" s="6">
        <f t="shared" si="127"/>
        <v>5</v>
      </c>
      <c r="E960" s="6">
        <f t="shared" si="128"/>
        <v>32</v>
      </c>
      <c r="F960" s="6">
        <v>2</v>
      </c>
      <c r="G960" s="6" t="str">
        <f t="shared" si="124"/>
        <v>08</v>
      </c>
      <c r="H960" s="6" t="str">
        <f t="shared" si="125"/>
        <v>08월 2주차</v>
      </c>
      <c r="I960" s="6" t="str">
        <f>H960&amp;" ("&amp;TEXT(C956,"m/dd")&amp;"~"&amp;TEXT(C962,"m/dd")&amp;")"</f>
        <v>08월 2주차 (8/05~8/11)</v>
      </c>
      <c r="J960" s="6" t="str">
        <f>A956&amp;"년 "&amp;WEEKNUM(C956,2)&amp;"주차"&amp;" ("&amp;TEXT(C956,"m/dd")&amp;"~"&amp;TEXT(C962,"m/dd")&amp;")"</f>
        <v>2024년 32주차 (8/05~8/11)</v>
      </c>
      <c r="K960" s="6">
        <f t="shared" si="130"/>
        <v>2024</v>
      </c>
      <c r="L960" s="6">
        <f t="shared" si="131"/>
        <v>32</v>
      </c>
    </row>
    <row r="961" spans="1:12" x14ac:dyDescent="0.45">
      <c r="A961" s="6">
        <f t="shared" si="126"/>
        <v>2024</v>
      </c>
      <c r="B961" s="6">
        <f t="shared" si="129"/>
        <v>8</v>
      </c>
      <c r="C961" s="7">
        <v>45514</v>
      </c>
      <c r="D961" s="6">
        <f t="shared" si="127"/>
        <v>6</v>
      </c>
      <c r="E961" s="6">
        <f t="shared" si="128"/>
        <v>32</v>
      </c>
      <c r="F961" s="6">
        <v>2</v>
      </c>
      <c r="G961" s="6" t="str">
        <f t="shared" si="124"/>
        <v>08</v>
      </c>
      <c r="H961" s="6" t="str">
        <f t="shared" si="125"/>
        <v>08월 2주차</v>
      </c>
      <c r="I961" s="6" t="str">
        <f>H961&amp;" ("&amp;TEXT(C956,"m/dd")&amp;"~"&amp;TEXT(C962,"m/dd")&amp;")"</f>
        <v>08월 2주차 (8/05~8/11)</v>
      </c>
      <c r="J961" s="6" t="str">
        <f>A956&amp;"년 "&amp;WEEKNUM(C956,2)&amp;"주차"&amp;" ("&amp;TEXT(C956,"m/dd")&amp;"~"&amp;TEXT(C962,"m/dd")&amp;")"</f>
        <v>2024년 32주차 (8/05~8/11)</v>
      </c>
      <c r="K961" s="6">
        <f t="shared" si="130"/>
        <v>2024</v>
      </c>
      <c r="L961" s="6">
        <f t="shared" si="131"/>
        <v>32</v>
      </c>
    </row>
    <row r="962" spans="1:12" x14ac:dyDescent="0.45">
      <c r="A962" s="6">
        <f t="shared" si="126"/>
        <v>2024</v>
      </c>
      <c r="B962" s="6">
        <f t="shared" si="129"/>
        <v>8</v>
      </c>
      <c r="C962" s="7">
        <v>45515</v>
      </c>
      <c r="D962" s="6">
        <f t="shared" si="127"/>
        <v>7</v>
      </c>
      <c r="E962" s="6">
        <f t="shared" si="128"/>
        <v>32</v>
      </c>
      <c r="F962" s="6">
        <v>2</v>
      </c>
      <c r="G962" s="6" t="str">
        <f t="shared" si="124"/>
        <v>08</v>
      </c>
      <c r="H962" s="6" t="str">
        <f t="shared" si="125"/>
        <v>08월 2주차</v>
      </c>
      <c r="I962" s="6" t="str">
        <f>H962&amp;" ("&amp;TEXT(C956,"m/dd")&amp;"~"&amp;TEXT(C962,"m/dd")&amp;")"</f>
        <v>08월 2주차 (8/05~8/11)</v>
      </c>
      <c r="J962" s="6" t="str">
        <f>A956&amp;"년 "&amp;WEEKNUM(C956,2)&amp;"주차"&amp;" ("&amp;TEXT(C956,"m/dd")&amp;"~"&amp;TEXT(C962,"m/dd")&amp;")"</f>
        <v>2024년 32주차 (8/05~8/11)</v>
      </c>
      <c r="K962" s="6">
        <f t="shared" si="130"/>
        <v>2024</v>
      </c>
      <c r="L962" s="6">
        <f t="shared" si="131"/>
        <v>32</v>
      </c>
    </row>
    <row r="963" spans="1:12" x14ac:dyDescent="0.45">
      <c r="A963" s="6">
        <f t="shared" si="126"/>
        <v>2024</v>
      </c>
      <c r="B963" s="6">
        <f t="shared" si="129"/>
        <v>8</v>
      </c>
      <c r="C963" s="7">
        <v>45516</v>
      </c>
      <c r="D963" s="6">
        <f t="shared" si="127"/>
        <v>1</v>
      </c>
      <c r="E963" s="6">
        <f t="shared" si="128"/>
        <v>33</v>
      </c>
      <c r="F963" s="6">
        <v>3</v>
      </c>
      <c r="G963" s="6" t="str">
        <f t="shared" si="124"/>
        <v>08</v>
      </c>
      <c r="H963" s="6" t="str">
        <f t="shared" si="125"/>
        <v>08월 3주차</v>
      </c>
      <c r="I963" s="6" t="str">
        <f>H963&amp;" ("&amp;TEXT(C963,"m/dd")&amp;"~"&amp;TEXT(C969,"m/dd")&amp;")"</f>
        <v>08월 3주차 (8/12~8/18)</v>
      </c>
      <c r="J963" s="6" t="str">
        <f>A963&amp;"년 "&amp;WEEKNUM(C963,2)&amp;"주차"&amp;" ("&amp;TEXT(C963,"m/dd")&amp;"~"&amp;TEXT(C969,"m/dd")&amp;")"</f>
        <v>2024년 33주차 (8/12~8/18)</v>
      </c>
      <c r="K963" s="6">
        <f t="shared" si="130"/>
        <v>2024</v>
      </c>
      <c r="L963" s="6">
        <f t="shared" si="131"/>
        <v>33</v>
      </c>
    </row>
    <row r="964" spans="1:12" x14ac:dyDescent="0.45">
      <c r="A964" s="6">
        <f t="shared" si="126"/>
        <v>2024</v>
      </c>
      <c r="B964" s="6">
        <f t="shared" si="129"/>
        <v>8</v>
      </c>
      <c r="C964" s="7">
        <v>45517</v>
      </c>
      <c r="D964" s="6">
        <f t="shared" si="127"/>
        <v>2</v>
      </c>
      <c r="E964" s="6">
        <f t="shared" si="128"/>
        <v>33</v>
      </c>
      <c r="F964" s="6">
        <v>3</v>
      </c>
      <c r="G964" s="6" t="str">
        <f t="shared" si="124"/>
        <v>08</v>
      </c>
      <c r="H964" s="6" t="str">
        <f t="shared" si="125"/>
        <v>08월 3주차</v>
      </c>
      <c r="I964" s="6" t="str">
        <f>H964&amp;" ("&amp;TEXT(C963,"m/dd")&amp;"~"&amp;TEXT(C969,"m/dd")&amp;")"</f>
        <v>08월 3주차 (8/12~8/18)</v>
      </c>
      <c r="J964" s="6" t="str">
        <f>A963&amp;"년 "&amp;WEEKNUM(C963,2)&amp;"주차"&amp;" ("&amp;TEXT(C963,"m/dd")&amp;"~"&amp;TEXT(C969,"m/dd")&amp;")"</f>
        <v>2024년 33주차 (8/12~8/18)</v>
      </c>
      <c r="K964" s="6">
        <f t="shared" si="130"/>
        <v>2024</v>
      </c>
      <c r="L964" s="6">
        <f t="shared" si="131"/>
        <v>33</v>
      </c>
    </row>
    <row r="965" spans="1:12" x14ac:dyDescent="0.45">
      <c r="A965" s="6">
        <f t="shared" si="126"/>
        <v>2024</v>
      </c>
      <c r="B965" s="6">
        <f t="shared" si="129"/>
        <v>8</v>
      </c>
      <c r="C965" s="7">
        <v>45518</v>
      </c>
      <c r="D965" s="6">
        <f t="shared" si="127"/>
        <v>3</v>
      </c>
      <c r="E965" s="6">
        <f t="shared" si="128"/>
        <v>33</v>
      </c>
      <c r="F965" s="6">
        <v>3</v>
      </c>
      <c r="G965" s="6" t="str">
        <f t="shared" si="124"/>
        <v>08</v>
      </c>
      <c r="H965" s="6" t="str">
        <f t="shared" si="125"/>
        <v>08월 3주차</v>
      </c>
      <c r="I965" s="6" t="str">
        <f>H965&amp;" ("&amp;TEXT(C963,"m/dd")&amp;"~"&amp;TEXT(C969,"m/dd")&amp;")"</f>
        <v>08월 3주차 (8/12~8/18)</v>
      </c>
      <c r="J965" s="6" t="str">
        <f>A963&amp;"년 "&amp;WEEKNUM(C963,2)&amp;"주차"&amp;" ("&amp;TEXT(C963,"m/dd")&amp;"~"&amp;TEXT(C969,"m/dd")&amp;")"</f>
        <v>2024년 33주차 (8/12~8/18)</v>
      </c>
      <c r="K965" s="6">
        <f t="shared" si="130"/>
        <v>2024</v>
      </c>
      <c r="L965" s="6">
        <f t="shared" si="131"/>
        <v>33</v>
      </c>
    </row>
    <row r="966" spans="1:12" x14ac:dyDescent="0.45">
      <c r="A966" s="6">
        <f t="shared" si="126"/>
        <v>2024</v>
      </c>
      <c r="B966" s="6">
        <f t="shared" si="129"/>
        <v>8</v>
      </c>
      <c r="C966" s="7">
        <v>45519</v>
      </c>
      <c r="D966" s="6">
        <f t="shared" si="127"/>
        <v>4</v>
      </c>
      <c r="E966" s="6">
        <f t="shared" si="128"/>
        <v>33</v>
      </c>
      <c r="F966" s="6">
        <v>3</v>
      </c>
      <c r="G966" s="6" t="str">
        <f t="shared" si="124"/>
        <v>08</v>
      </c>
      <c r="H966" s="6" t="str">
        <f t="shared" si="125"/>
        <v>08월 3주차</v>
      </c>
      <c r="I966" s="6" t="str">
        <f>H966&amp;" ("&amp;TEXT(C963,"m/dd")&amp;"~"&amp;TEXT(C969,"m/dd")&amp;")"</f>
        <v>08월 3주차 (8/12~8/18)</v>
      </c>
      <c r="J966" s="6" t="str">
        <f>A963&amp;"년 "&amp;WEEKNUM(C963,2)&amp;"주차"&amp;" ("&amp;TEXT(C963,"m/dd")&amp;"~"&amp;TEXT(C969,"m/dd")&amp;")"</f>
        <v>2024년 33주차 (8/12~8/18)</v>
      </c>
      <c r="K966" s="6">
        <f t="shared" si="130"/>
        <v>2024</v>
      </c>
      <c r="L966" s="6">
        <f t="shared" si="131"/>
        <v>33</v>
      </c>
    </row>
    <row r="967" spans="1:12" x14ac:dyDescent="0.45">
      <c r="A967" s="6">
        <f t="shared" si="126"/>
        <v>2024</v>
      </c>
      <c r="B967" s="6">
        <f t="shared" si="129"/>
        <v>8</v>
      </c>
      <c r="C967" s="7">
        <v>45520</v>
      </c>
      <c r="D967" s="6">
        <f t="shared" si="127"/>
        <v>5</v>
      </c>
      <c r="E967" s="6">
        <f t="shared" si="128"/>
        <v>33</v>
      </c>
      <c r="F967" s="6">
        <v>3</v>
      </c>
      <c r="G967" s="6" t="str">
        <f t="shared" si="124"/>
        <v>08</v>
      </c>
      <c r="H967" s="6" t="str">
        <f t="shared" si="125"/>
        <v>08월 3주차</v>
      </c>
      <c r="I967" s="6" t="str">
        <f>H967&amp;" ("&amp;TEXT(C963,"m/dd")&amp;"~"&amp;TEXT(C969,"m/dd")&amp;")"</f>
        <v>08월 3주차 (8/12~8/18)</v>
      </c>
      <c r="J967" s="6" t="str">
        <f>A963&amp;"년 "&amp;WEEKNUM(C963,2)&amp;"주차"&amp;" ("&amp;TEXT(C963,"m/dd")&amp;"~"&amp;TEXT(C969,"m/dd")&amp;")"</f>
        <v>2024년 33주차 (8/12~8/18)</v>
      </c>
      <c r="K967" s="6">
        <f t="shared" si="130"/>
        <v>2024</v>
      </c>
      <c r="L967" s="6">
        <f t="shared" si="131"/>
        <v>33</v>
      </c>
    </row>
    <row r="968" spans="1:12" x14ac:dyDescent="0.45">
      <c r="A968" s="6">
        <f t="shared" si="126"/>
        <v>2024</v>
      </c>
      <c r="B968" s="6">
        <f t="shared" si="129"/>
        <v>8</v>
      </c>
      <c r="C968" s="7">
        <v>45521</v>
      </c>
      <c r="D968" s="6">
        <f t="shared" si="127"/>
        <v>6</v>
      </c>
      <c r="E968" s="6">
        <f t="shared" si="128"/>
        <v>33</v>
      </c>
      <c r="F968" s="6">
        <v>3</v>
      </c>
      <c r="G968" s="6" t="str">
        <f t="shared" si="124"/>
        <v>08</v>
      </c>
      <c r="H968" s="6" t="str">
        <f t="shared" si="125"/>
        <v>08월 3주차</v>
      </c>
      <c r="I968" s="6" t="str">
        <f>H968&amp;" ("&amp;TEXT(C963,"m/dd")&amp;"~"&amp;TEXT(C969,"m/dd")&amp;")"</f>
        <v>08월 3주차 (8/12~8/18)</v>
      </c>
      <c r="J968" s="6" t="str">
        <f>A963&amp;"년 "&amp;WEEKNUM(C963,2)&amp;"주차"&amp;" ("&amp;TEXT(C963,"m/dd")&amp;"~"&amp;TEXT(C969,"m/dd")&amp;")"</f>
        <v>2024년 33주차 (8/12~8/18)</v>
      </c>
      <c r="K968" s="6">
        <f t="shared" si="130"/>
        <v>2024</v>
      </c>
      <c r="L968" s="6">
        <f t="shared" si="131"/>
        <v>33</v>
      </c>
    </row>
    <row r="969" spans="1:12" x14ac:dyDescent="0.45">
      <c r="A969" s="6">
        <f t="shared" si="126"/>
        <v>2024</v>
      </c>
      <c r="B969" s="6">
        <f t="shared" si="129"/>
        <v>8</v>
      </c>
      <c r="C969" s="7">
        <v>45522</v>
      </c>
      <c r="D969" s="6">
        <f t="shared" si="127"/>
        <v>7</v>
      </c>
      <c r="E969" s="6">
        <f t="shared" si="128"/>
        <v>33</v>
      </c>
      <c r="F969" s="6">
        <v>3</v>
      </c>
      <c r="G969" s="6" t="str">
        <f t="shared" si="124"/>
        <v>08</v>
      </c>
      <c r="H969" s="6" t="str">
        <f t="shared" si="125"/>
        <v>08월 3주차</v>
      </c>
      <c r="I969" s="6" t="str">
        <f>H969&amp;" ("&amp;TEXT(C963,"m/dd")&amp;"~"&amp;TEXT(C969,"m/dd")&amp;")"</f>
        <v>08월 3주차 (8/12~8/18)</v>
      </c>
      <c r="J969" s="6" t="str">
        <f>A963&amp;"년 "&amp;WEEKNUM(C963,2)&amp;"주차"&amp;" ("&amp;TEXT(C963,"m/dd")&amp;"~"&amp;TEXT(C969,"m/dd")&amp;")"</f>
        <v>2024년 33주차 (8/12~8/18)</v>
      </c>
      <c r="K969" s="6">
        <f t="shared" si="130"/>
        <v>2024</v>
      </c>
      <c r="L969" s="6">
        <f t="shared" si="131"/>
        <v>33</v>
      </c>
    </row>
    <row r="970" spans="1:12" x14ac:dyDescent="0.45">
      <c r="A970" s="6">
        <f t="shared" si="126"/>
        <v>2024</v>
      </c>
      <c r="B970" s="6">
        <f t="shared" si="129"/>
        <v>8</v>
      </c>
      <c r="C970" s="7">
        <v>45523</v>
      </c>
      <c r="D970" s="6">
        <f t="shared" si="127"/>
        <v>1</v>
      </c>
      <c r="E970" s="6">
        <f t="shared" si="128"/>
        <v>34</v>
      </c>
      <c r="F970" s="6">
        <v>4</v>
      </c>
      <c r="G970" s="6" t="str">
        <f t="shared" si="124"/>
        <v>08</v>
      </c>
      <c r="H970" s="6" t="str">
        <f t="shared" si="125"/>
        <v>08월 4주차</v>
      </c>
      <c r="I970" s="6" t="str">
        <f>H970&amp;" ("&amp;TEXT(C970,"m/dd")&amp;"~"&amp;TEXT(C976,"m/dd")&amp;")"</f>
        <v>08월 4주차 (8/19~8/25)</v>
      </c>
      <c r="J970" s="6" t="str">
        <f>A970&amp;"년 "&amp;WEEKNUM(C970,2)&amp;"주차"&amp;" ("&amp;TEXT(C970,"m/dd")&amp;"~"&amp;TEXT(C976,"m/dd")&amp;")"</f>
        <v>2024년 34주차 (8/19~8/25)</v>
      </c>
      <c r="K970" s="6">
        <f t="shared" si="130"/>
        <v>2024</v>
      </c>
      <c r="L970" s="6">
        <f t="shared" si="131"/>
        <v>34</v>
      </c>
    </row>
    <row r="971" spans="1:12" x14ac:dyDescent="0.45">
      <c r="A971" s="6">
        <f t="shared" si="126"/>
        <v>2024</v>
      </c>
      <c r="B971" s="6">
        <f t="shared" si="129"/>
        <v>8</v>
      </c>
      <c r="C971" s="7">
        <v>45524</v>
      </c>
      <c r="D971" s="6">
        <f t="shared" si="127"/>
        <v>2</v>
      </c>
      <c r="E971" s="6">
        <f t="shared" si="128"/>
        <v>34</v>
      </c>
      <c r="F971" s="6">
        <v>4</v>
      </c>
      <c r="G971" s="6" t="str">
        <f t="shared" ref="G971:G1034" si="132">IF(LEN(B971)=1,_xlfn.CONCAT(0,B971),B971)</f>
        <v>08</v>
      </c>
      <c r="H971" s="6" t="str">
        <f t="shared" ref="H971:H1034" si="133">G971&amp;"월 "&amp;F971&amp;"주차"</f>
        <v>08월 4주차</v>
      </c>
      <c r="I971" s="6" t="str">
        <f>H971&amp;" ("&amp;TEXT(C970,"m/dd")&amp;"~"&amp;TEXT(C976,"m/dd")&amp;")"</f>
        <v>08월 4주차 (8/19~8/25)</v>
      </c>
      <c r="J971" s="6" t="str">
        <f>A970&amp;"년 "&amp;WEEKNUM(C970,2)&amp;"주차"&amp;" ("&amp;TEXT(C970,"m/dd")&amp;"~"&amp;TEXT(C976,"m/dd")&amp;")"</f>
        <v>2024년 34주차 (8/19~8/25)</v>
      </c>
      <c r="K971" s="6">
        <f t="shared" si="130"/>
        <v>2024</v>
      </c>
      <c r="L971" s="6">
        <f t="shared" si="131"/>
        <v>34</v>
      </c>
    </row>
    <row r="972" spans="1:12" x14ac:dyDescent="0.45">
      <c r="A972" s="6">
        <f t="shared" si="126"/>
        <v>2024</v>
      </c>
      <c r="B972" s="6">
        <f t="shared" si="129"/>
        <v>8</v>
      </c>
      <c r="C972" s="7">
        <v>45525</v>
      </c>
      <c r="D972" s="6">
        <f t="shared" si="127"/>
        <v>3</v>
      </c>
      <c r="E972" s="6">
        <f t="shared" si="128"/>
        <v>34</v>
      </c>
      <c r="F972" s="6">
        <v>4</v>
      </c>
      <c r="G972" s="6" t="str">
        <f t="shared" si="132"/>
        <v>08</v>
      </c>
      <c r="H972" s="6" t="str">
        <f t="shared" si="133"/>
        <v>08월 4주차</v>
      </c>
      <c r="I972" s="6" t="str">
        <f>H972&amp;" ("&amp;TEXT(C970,"m/dd")&amp;"~"&amp;TEXT(C976,"m/dd")&amp;")"</f>
        <v>08월 4주차 (8/19~8/25)</v>
      </c>
      <c r="J972" s="6" t="str">
        <f>A970&amp;"년 "&amp;WEEKNUM(C970,2)&amp;"주차"&amp;" ("&amp;TEXT(C970,"m/dd")&amp;"~"&amp;TEXT(C976,"m/dd")&amp;")"</f>
        <v>2024년 34주차 (8/19~8/25)</v>
      </c>
      <c r="K972" s="6">
        <f t="shared" si="130"/>
        <v>2024</v>
      </c>
      <c r="L972" s="6">
        <f t="shared" si="131"/>
        <v>34</v>
      </c>
    </row>
    <row r="973" spans="1:12" x14ac:dyDescent="0.45">
      <c r="A973" s="6">
        <f t="shared" si="126"/>
        <v>2024</v>
      </c>
      <c r="B973" s="6">
        <f t="shared" si="129"/>
        <v>8</v>
      </c>
      <c r="C973" s="7">
        <v>45526</v>
      </c>
      <c r="D973" s="6">
        <f t="shared" si="127"/>
        <v>4</v>
      </c>
      <c r="E973" s="6">
        <f t="shared" si="128"/>
        <v>34</v>
      </c>
      <c r="F973" s="6">
        <v>4</v>
      </c>
      <c r="G973" s="6" t="str">
        <f t="shared" si="132"/>
        <v>08</v>
      </c>
      <c r="H973" s="6" t="str">
        <f t="shared" si="133"/>
        <v>08월 4주차</v>
      </c>
      <c r="I973" s="6" t="str">
        <f>H973&amp;" ("&amp;TEXT(C970,"m/dd")&amp;"~"&amp;TEXT(C976,"m/dd")&amp;")"</f>
        <v>08월 4주차 (8/19~8/25)</v>
      </c>
      <c r="J973" s="6" t="str">
        <f>A970&amp;"년 "&amp;WEEKNUM(C970,2)&amp;"주차"&amp;" ("&amp;TEXT(C970,"m/dd")&amp;"~"&amp;TEXT(C976,"m/dd")&amp;")"</f>
        <v>2024년 34주차 (8/19~8/25)</v>
      </c>
      <c r="K973" s="6">
        <f t="shared" si="130"/>
        <v>2024</v>
      </c>
      <c r="L973" s="6">
        <f t="shared" si="131"/>
        <v>34</v>
      </c>
    </row>
    <row r="974" spans="1:12" x14ac:dyDescent="0.45">
      <c r="A974" s="6">
        <f t="shared" si="126"/>
        <v>2024</v>
      </c>
      <c r="B974" s="6">
        <f t="shared" si="129"/>
        <v>8</v>
      </c>
      <c r="C974" s="7">
        <v>45527</v>
      </c>
      <c r="D974" s="6">
        <f t="shared" si="127"/>
        <v>5</v>
      </c>
      <c r="E974" s="6">
        <f t="shared" si="128"/>
        <v>34</v>
      </c>
      <c r="F974" s="6">
        <v>4</v>
      </c>
      <c r="G974" s="6" t="str">
        <f t="shared" si="132"/>
        <v>08</v>
      </c>
      <c r="H974" s="6" t="str">
        <f t="shared" si="133"/>
        <v>08월 4주차</v>
      </c>
      <c r="I974" s="6" t="str">
        <f>H974&amp;" ("&amp;TEXT(C970,"m/dd")&amp;"~"&amp;TEXT(C976,"m/dd")&amp;")"</f>
        <v>08월 4주차 (8/19~8/25)</v>
      </c>
      <c r="J974" s="6" t="str">
        <f>A970&amp;"년 "&amp;WEEKNUM(C970,2)&amp;"주차"&amp;" ("&amp;TEXT(C970,"m/dd")&amp;"~"&amp;TEXT(C976,"m/dd")&amp;")"</f>
        <v>2024년 34주차 (8/19~8/25)</v>
      </c>
      <c r="K974" s="6">
        <f t="shared" si="130"/>
        <v>2024</v>
      </c>
      <c r="L974" s="6">
        <f t="shared" si="131"/>
        <v>34</v>
      </c>
    </row>
    <row r="975" spans="1:12" x14ac:dyDescent="0.45">
      <c r="A975" s="6">
        <f t="shared" ref="A975:A1038" si="134">YEAR(C975)</f>
        <v>2024</v>
      </c>
      <c r="B975" s="6">
        <f t="shared" si="129"/>
        <v>8</v>
      </c>
      <c r="C975" s="7">
        <v>45528</v>
      </c>
      <c r="D975" s="6">
        <f t="shared" si="127"/>
        <v>6</v>
      </c>
      <c r="E975" s="6">
        <f t="shared" si="128"/>
        <v>34</v>
      </c>
      <c r="F975" s="6">
        <v>4</v>
      </c>
      <c r="G975" s="6" t="str">
        <f t="shared" si="132"/>
        <v>08</v>
      </c>
      <c r="H975" s="6" t="str">
        <f t="shared" si="133"/>
        <v>08월 4주차</v>
      </c>
      <c r="I975" s="6" t="str">
        <f>H975&amp;" ("&amp;TEXT(C970,"m/dd")&amp;"~"&amp;TEXT(C976,"m/dd")&amp;")"</f>
        <v>08월 4주차 (8/19~8/25)</v>
      </c>
      <c r="J975" s="6" t="str">
        <f>A970&amp;"년 "&amp;WEEKNUM(C970,2)&amp;"주차"&amp;" ("&amp;TEXT(C970,"m/dd")&amp;"~"&amp;TEXT(C976,"m/dd")&amp;")"</f>
        <v>2024년 34주차 (8/19~8/25)</v>
      </c>
      <c r="K975" s="6">
        <f t="shared" si="130"/>
        <v>2024</v>
      </c>
      <c r="L975" s="6">
        <f t="shared" si="131"/>
        <v>34</v>
      </c>
    </row>
    <row r="976" spans="1:12" x14ac:dyDescent="0.45">
      <c r="A976" s="6">
        <f t="shared" si="134"/>
        <v>2024</v>
      </c>
      <c r="B976" s="6">
        <f t="shared" si="129"/>
        <v>8</v>
      </c>
      <c r="C976" s="7">
        <v>45529</v>
      </c>
      <c r="D976" s="6">
        <f t="shared" si="127"/>
        <v>7</v>
      </c>
      <c r="E976" s="6">
        <f t="shared" si="128"/>
        <v>34</v>
      </c>
      <c r="F976" s="6">
        <v>4</v>
      </c>
      <c r="G976" s="6" t="str">
        <f t="shared" si="132"/>
        <v>08</v>
      </c>
      <c r="H976" s="6" t="str">
        <f t="shared" si="133"/>
        <v>08월 4주차</v>
      </c>
      <c r="I976" s="6" t="str">
        <f>H976&amp;" ("&amp;TEXT(C970,"m/dd")&amp;"~"&amp;TEXT(C976,"m/dd")&amp;")"</f>
        <v>08월 4주차 (8/19~8/25)</v>
      </c>
      <c r="J976" s="6" t="str">
        <f>A970&amp;"년 "&amp;WEEKNUM(C970,2)&amp;"주차"&amp;" ("&amp;TEXT(C970,"m/dd")&amp;"~"&amp;TEXT(C976,"m/dd")&amp;")"</f>
        <v>2024년 34주차 (8/19~8/25)</v>
      </c>
      <c r="K976" s="6">
        <f t="shared" si="130"/>
        <v>2024</v>
      </c>
      <c r="L976" s="6">
        <f t="shared" si="131"/>
        <v>34</v>
      </c>
    </row>
    <row r="977" spans="1:12" x14ac:dyDescent="0.45">
      <c r="A977" s="6">
        <f t="shared" si="134"/>
        <v>2024</v>
      </c>
      <c r="B977" s="6">
        <f t="shared" si="129"/>
        <v>8</v>
      </c>
      <c r="C977" s="7">
        <v>45530</v>
      </c>
      <c r="D977" s="6">
        <f t="shared" si="127"/>
        <v>1</v>
      </c>
      <c r="E977" s="6">
        <f t="shared" si="128"/>
        <v>35</v>
      </c>
      <c r="F977" s="6">
        <v>5</v>
      </c>
      <c r="G977" s="6" t="str">
        <f t="shared" si="132"/>
        <v>08</v>
      </c>
      <c r="H977" s="6" t="str">
        <f t="shared" si="133"/>
        <v>08월 5주차</v>
      </c>
      <c r="I977" s="6" t="str">
        <f>H977&amp;" ("&amp;TEXT(C977,"m/dd")&amp;"~"&amp;TEXT(C983,"m/dd")&amp;")"</f>
        <v>08월 5주차 (8/26~9/01)</v>
      </c>
      <c r="J977" s="6" t="str">
        <f>A977&amp;"년 "&amp;WEEKNUM(C977,2)&amp;"주차"&amp;" ("&amp;TEXT(C977,"m/dd")&amp;"~"&amp;TEXT(C983,"m/dd")&amp;")"</f>
        <v>2024년 35주차 (8/26~9/01)</v>
      </c>
      <c r="K977" s="6">
        <f t="shared" si="130"/>
        <v>2024</v>
      </c>
      <c r="L977" s="6">
        <f t="shared" si="131"/>
        <v>35</v>
      </c>
    </row>
    <row r="978" spans="1:12" x14ac:dyDescent="0.45">
      <c r="A978" s="6">
        <f t="shared" si="134"/>
        <v>2024</v>
      </c>
      <c r="B978" s="6">
        <f t="shared" si="129"/>
        <v>8</v>
      </c>
      <c r="C978" s="7">
        <v>45531</v>
      </c>
      <c r="D978" s="6">
        <f t="shared" si="127"/>
        <v>2</v>
      </c>
      <c r="E978" s="6">
        <f t="shared" si="128"/>
        <v>35</v>
      </c>
      <c r="F978" s="6">
        <v>5</v>
      </c>
      <c r="G978" s="6" t="str">
        <f t="shared" si="132"/>
        <v>08</v>
      </c>
      <c r="H978" s="6" t="str">
        <f t="shared" si="133"/>
        <v>08월 5주차</v>
      </c>
      <c r="I978" s="6" t="str">
        <f>H978&amp;" ("&amp;TEXT(C977,"m/dd")&amp;"~"&amp;TEXT(C983,"m/dd")&amp;")"</f>
        <v>08월 5주차 (8/26~9/01)</v>
      </c>
      <c r="J978" s="6" t="str">
        <f>A977&amp;"년 "&amp;WEEKNUM(C977,2)&amp;"주차"&amp;" ("&amp;TEXT(C977,"m/dd")&amp;"~"&amp;TEXT(C983,"m/dd")&amp;")"</f>
        <v>2024년 35주차 (8/26~9/01)</v>
      </c>
      <c r="K978" s="6">
        <f t="shared" si="130"/>
        <v>2024</v>
      </c>
      <c r="L978" s="6">
        <f t="shared" si="131"/>
        <v>35</v>
      </c>
    </row>
    <row r="979" spans="1:12" x14ac:dyDescent="0.45">
      <c r="A979" s="6">
        <f t="shared" si="134"/>
        <v>2024</v>
      </c>
      <c r="B979" s="6">
        <f t="shared" si="129"/>
        <v>8</v>
      </c>
      <c r="C979" s="7">
        <v>45532</v>
      </c>
      <c r="D979" s="6">
        <f t="shared" si="127"/>
        <v>3</v>
      </c>
      <c r="E979" s="6">
        <f t="shared" si="128"/>
        <v>35</v>
      </c>
      <c r="F979" s="6">
        <v>5</v>
      </c>
      <c r="G979" s="6" t="str">
        <f t="shared" si="132"/>
        <v>08</v>
      </c>
      <c r="H979" s="6" t="str">
        <f t="shared" si="133"/>
        <v>08월 5주차</v>
      </c>
      <c r="I979" s="6" t="str">
        <f>H979&amp;" ("&amp;TEXT(C977,"m/dd")&amp;"~"&amp;TEXT(C983,"m/dd")&amp;")"</f>
        <v>08월 5주차 (8/26~9/01)</v>
      </c>
      <c r="J979" s="6" t="str">
        <f>A977&amp;"년 "&amp;WEEKNUM(C977,2)&amp;"주차"&amp;" ("&amp;TEXT(C977,"m/dd")&amp;"~"&amp;TEXT(C983,"m/dd")&amp;")"</f>
        <v>2024년 35주차 (8/26~9/01)</v>
      </c>
      <c r="K979" s="6">
        <f t="shared" si="130"/>
        <v>2024</v>
      </c>
      <c r="L979" s="6">
        <f t="shared" si="131"/>
        <v>35</v>
      </c>
    </row>
    <row r="980" spans="1:12" x14ac:dyDescent="0.45">
      <c r="A980" s="6">
        <f t="shared" si="134"/>
        <v>2024</v>
      </c>
      <c r="B980" s="6">
        <f t="shared" si="129"/>
        <v>8</v>
      </c>
      <c r="C980" s="7">
        <v>45533</v>
      </c>
      <c r="D980" s="6">
        <f t="shared" si="127"/>
        <v>4</v>
      </c>
      <c r="E980" s="6">
        <f t="shared" si="128"/>
        <v>35</v>
      </c>
      <c r="F980" s="6">
        <v>5</v>
      </c>
      <c r="G980" s="6" t="str">
        <f t="shared" si="132"/>
        <v>08</v>
      </c>
      <c r="H980" s="6" t="str">
        <f t="shared" si="133"/>
        <v>08월 5주차</v>
      </c>
      <c r="I980" s="6" t="str">
        <f>H980&amp;" ("&amp;TEXT(C977,"m/dd")&amp;"~"&amp;TEXT(C983,"m/dd")&amp;")"</f>
        <v>08월 5주차 (8/26~9/01)</v>
      </c>
      <c r="J980" s="6" t="str">
        <f>A977&amp;"년 "&amp;WEEKNUM(C977,2)&amp;"주차"&amp;" ("&amp;TEXT(C977,"m/dd")&amp;"~"&amp;TEXT(C983,"m/dd")&amp;")"</f>
        <v>2024년 35주차 (8/26~9/01)</v>
      </c>
      <c r="K980" s="6">
        <f t="shared" si="130"/>
        <v>2024</v>
      </c>
      <c r="L980" s="6">
        <f t="shared" si="131"/>
        <v>35</v>
      </c>
    </row>
    <row r="981" spans="1:12" x14ac:dyDescent="0.45">
      <c r="A981" s="6">
        <f t="shared" si="134"/>
        <v>2024</v>
      </c>
      <c r="B981" s="6">
        <f t="shared" si="129"/>
        <v>8</v>
      </c>
      <c r="C981" s="7">
        <v>45534</v>
      </c>
      <c r="D981" s="6">
        <f t="shared" si="127"/>
        <v>5</v>
      </c>
      <c r="E981" s="6">
        <f t="shared" si="128"/>
        <v>35</v>
      </c>
      <c r="F981" s="6">
        <v>5</v>
      </c>
      <c r="G981" s="6" t="str">
        <f t="shared" si="132"/>
        <v>08</v>
      </c>
      <c r="H981" s="6" t="str">
        <f t="shared" si="133"/>
        <v>08월 5주차</v>
      </c>
      <c r="I981" s="6" t="str">
        <f>H981&amp;" ("&amp;TEXT(C977,"m/dd")&amp;"~"&amp;TEXT(C983,"m/dd")&amp;")"</f>
        <v>08월 5주차 (8/26~9/01)</v>
      </c>
      <c r="J981" s="6" t="str">
        <f>A977&amp;"년 "&amp;WEEKNUM(C977,2)&amp;"주차"&amp;" ("&amp;TEXT(C977,"m/dd")&amp;"~"&amp;TEXT(C983,"m/dd")&amp;")"</f>
        <v>2024년 35주차 (8/26~9/01)</v>
      </c>
      <c r="K981" s="6">
        <f t="shared" si="130"/>
        <v>2024</v>
      </c>
      <c r="L981" s="6">
        <f t="shared" si="131"/>
        <v>35</v>
      </c>
    </row>
    <row r="982" spans="1:12" x14ac:dyDescent="0.45">
      <c r="A982" s="6">
        <f t="shared" si="134"/>
        <v>2024</v>
      </c>
      <c r="B982" s="6">
        <f t="shared" si="129"/>
        <v>8</v>
      </c>
      <c r="C982" s="7">
        <v>45535</v>
      </c>
      <c r="D982" s="6">
        <f t="shared" si="127"/>
        <v>6</v>
      </c>
      <c r="E982" s="6">
        <f t="shared" si="128"/>
        <v>35</v>
      </c>
      <c r="F982" s="6">
        <v>5</v>
      </c>
      <c r="G982" s="6" t="str">
        <f t="shared" si="132"/>
        <v>08</v>
      </c>
      <c r="H982" s="6" t="str">
        <f t="shared" si="133"/>
        <v>08월 5주차</v>
      </c>
      <c r="I982" s="6" t="str">
        <f>H982&amp;" ("&amp;TEXT(C977,"m/dd")&amp;"~"&amp;TEXT(C983,"m/dd")&amp;")"</f>
        <v>08월 5주차 (8/26~9/01)</v>
      </c>
      <c r="J982" s="6" t="str">
        <f>A977&amp;"년 "&amp;WEEKNUM(C977,2)&amp;"주차"&amp;" ("&amp;TEXT(C977,"m/dd")&amp;"~"&amp;TEXT(C983,"m/dd")&amp;")"</f>
        <v>2024년 35주차 (8/26~9/01)</v>
      </c>
      <c r="K982" s="6">
        <f t="shared" si="130"/>
        <v>2024</v>
      </c>
      <c r="L982" s="6">
        <f t="shared" si="131"/>
        <v>35</v>
      </c>
    </row>
    <row r="983" spans="1:12" x14ac:dyDescent="0.45">
      <c r="A983" s="6">
        <f t="shared" si="134"/>
        <v>2024</v>
      </c>
      <c r="B983" s="6">
        <v>8</v>
      </c>
      <c r="C983" s="7">
        <v>45536</v>
      </c>
      <c r="D983" s="6">
        <f t="shared" ref="D983:D1046" si="135">WEEKDAY(C983,2)</f>
        <v>7</v>
      </c>
      <c r="E983" s="6">
        <f t="shared" ref="E983:E1046" si="136">WEEKNUM(C983,2)</f>
        <v>35</v>
      </c>
      <c r="F983" s="6">
        <v>5</v>
      </c>
      <c r="G983" s="6" t="str">
        <f t="shared" si="132"/>
        <v>08</v>
      </c>
      <c r="H983" s="6" t="str">
        <f t="shared" si="133"/>
        <v>08월 5주차</v>
      </c>
      <c r="I983" s="6" t="str">
        <f>H983&amp;" ("&amp;TEXT(C977,"m/dd")&amp;"~"&amp;TEXT(C983,"m/dd")&amp;")"</f>
        <v>08월 5주차 (8/26~9/01)</v>
      </c>
      <c r="J983" s="6" t="str">
        <f>A977&amp;"년 "&amp;WEEKNUM(C977,2)&amp;"주차"&amp;" ("&amp;TEXT(C977,"m/dd")&amp;"~"&amp;TEXT(C983,"m/dd")&amp;")"</f>
        <v>2024년 35주차 (8/26~9/01)</v>
      </c>
      <c r="K983" s="6">
        <f t="shared" si="130"/>
        <v>2024</v>
      </c>
      <c r="L983" s="6">
        <f t="shared" si="131"/>
        <v>35</v>
      </c>
    </row>
    <row r="984" spans="1:12" x14ac:dyDescent="0.45">
      <c r="A984" s="6">
        <f t="shared" si="134"/>
        <v>2024</v>
      </c>
      <c r="B984" s="6">
        <f t="shared" si="129"/>
        <v>9</v>
      </c>
      <c r="C984" s="7">
        <v>45537</v>
      </c>
      <c r="D984" s="6">
        <f t="shared" si="135"/>
        <v>1</v>
      </c>
      <c r="E984" s="6">
        <f t="shared" si="136"/>
        <v>36</v>
      </c>
      <c r="F984" s="6">
        <f t="shared" ref="F984:F1011" si="137">WEEKNUM(DATE(YEAR(C984),1,DAY(C984-WEEKDAY(C984,2)+1)),WEEKDAY(DATE(YEAR(C984),1,1),11)+10)</f>
        <v>1</v>
      </c>
      <c r="G984" s="6" t="str">
        <f t="shared" si="132"/>
        <v>09</v>
      </c>
      <c r="H984" s="6" t="str">
        <f t="shared" si="133"/>
        <v>09월 1주차</v>
      </c>
      <c r="I984" s="6" t="str">
        <f>H984&amp;" ("&amp;TEXT(C984,"m/dd")&amp;"~"&amp;TEXT(C990,"m/dd")&amp;")"</f>
        <v>09월 1주차 (9/02~9/08)</v>
      </c>
      <c r="J984" s="6" t="str">
        <f>A984&amp;"년 "&amp;WEEKNUM(C984,2)&amp;"주차"&amp;" ("&amp;TEXT(C984,"m/dd")&amp;"~"&amp;TEXT(C990,"m/dd")&amp;")"</f>
        <v>2024년 36주차 (9/02~9/08)</v>
      </c>
      <c r="K984" s="6">
        <f t="shared" si="130"/>
        <v>2024</v>
      </c>
      <c r="L984" s="6">
        <f t="shared" si="131"/>
        <v>36</v>
      </c>
    </row>
    <row r="985" spans="1:12" x14ac:dyDescent="0.45">
      <c r="A985" s="6">
        <f t="shared" si="134"/>
        <v>2024</v>
      </c>
      <c r="B985" s="6">
        <f t="shared" si="129"/>
        <v>9</v>
      </c>
      <c r="C985" s="7">
        <v>45538</v>
      </c>
      <c r="D985" s="6">
        <f t="shared" si="135"/>
        <v>2</v>
      </c>
      <c r="E985" s="6">
        <f t="shared" si="136"/>
        <v>36</v>
      </c>
      <c r="F985" s="6">
        <f t="shared" si="137"/>
        <v>1</v>
      </c>
      <c r="G985" s="6" t="str">
        <f t="shared" si="132"/>
        <v>09</v>
      </c>
      <c r="H985" s="6" t="str">
        <f t="shared" si="133"/>
        <v>09월 1주차</v>
      </c>
      <c r="I985" s="6" t="str">
        <f>H985&amp;" ("&amp;TEXT(C984,"m/dd")&amp;"~"&amp;TEXT(C990,"m/dd")&amp;")"</f>
        <v>09월 1주차 (9/02~9/08)</v>
      </c>
      <c r="J985" s="6" t="str">
        <f>A984&amp;"년 "&amp;WEEKNUM(C984,2)&amp;"주차"&amp;" ("&amp;TEXT(C984,"m/dd")&amp;"~"&amp;TEXT(C990,"m/dd")&amp;")"</f>
        <v>2024년 36주차 (9/02~9/08)</v>
      </c>
      <c r="K985" s="6">
        <f t="shared" si="130"/>
        <v>2024</v>
      </c>
      <c r="L985" s="6">
        <f t="shared" si="131"/>
        <v>36</v>
      </c>
    </row>
    <row r="986" spans="1:12" x14ac:dyDescent="0.45">
      <c r="A986" s="6">
        <f t="shared" si="134"/>
        <v>2024</v>
      </c>
      <c r="B986" s="6">
        <f t="shared" si="129"/>
        <v>9</v>
      </c>
      <c r="C986" s="7">
        <v>45539</v>
      </c>
      <c r="D986" s="6">
        <f t="shared" si="135"/>
        <v>3</v>
      </c>
      <c r="E986" s="6">
        <f t="shared" si="136"/>
        <v>36</v>
      </c>
      <c r="F986" s="6">
        <f t="shared" si="137"/>
        <v>1</v>
      </c>
      <c r="G986" s="6" t="str">
        <f t="shared" si="132"/>
        <v>09</v>
      </c>
      <c r="H986" s="6" t="str">
        <f t="shared" si="133"/>
        <v>09월 1주차</v>
      </c>
      <c r="I986" s="6" t="str">
        <f>H986&amp;" ("&amp;TEXT(C984,"m/dd")&amp;"~"&amp;TEXT(C990,"m/dd")&amp;")"</f>
        <v>09월 1주차 (9/02~9/08)</v>
      </c>
      <c r="J986" s="6" t="str">
        <f>A984&amp;"년 "&amp;WEEKNUM(C984,2)&amp;"주차"&amp;" ("&amp;TEXT(C984,"m/dd")&amp;"~"&amp;TEXT(C990,"m/dd")&amp;")"</f>
        <v>2024년 36주차 (9/02~9/08)</v>
      </c>
      <c r="K986" s="6">
        <f t="shared" si="130"/>
        <v>2024</v>
      </c>
      <c r="L986" s="6">
        <f t="shared" si="131"/>
        <v>36</v>
      </c>
    </row>
    <row r="987" spans="1:12" x14ac:dyDescent="0.45">
      <c r="A987" s="6">
        <f t="shared" si="134"/>
        <v>2024</v>
      </c>
      <c r="B987" s="6">
        <f t="shared" si="129"/>
        <v>9</v>
      </c>
      <c r="C987" s="7">
        <v>45540</v>
      </c>
      <c r="D987" s="6">
        <f t="shared" si="135"/>
        <v>4</v>
      </c>
      <c r="E987" s="6">
        <f t="shared" si="136"/>
        <v>36</v>
      </c>
      <c r="F987" s="6">
        <f t="shared" si="137"/>
        <v>1</v>
      </c>
      <c r="G987" s="6" t="str">
        <f t="shared" si="132"/>
        <v>09</v>
      </c>
      <c r="H987" s="6" t="str">
        <f t="shared" si="133"/>
        <v>09월 1주차</v>
      </c>
      <c r="I987" s="6" t="str">
        <f>H987&amp;" ("&amp;TEXT(C984,"m/dd")&amp;"~"&amp;TEXT(C990,"m/dd")&amp;")"</f>
        <v>09월 1주차 (9/02~9/08)</v>
      </c>
      <c r="J987" s="6" t="str">
        <f>A984&amp;"년 "&amp;WEEKNUM(C984,2)&amp;"주차"&amp;" ("&amp;TEXT(C984,"m/dd")&amp;"~"&amp;TEXT(C990,"m/dd")&amp;")"</f>
        <v>2024년 36주차 (9/02~9/08)</v>
      </c>
      <c r="K987" s="6">
        <f t="shared" si="130"/>
        <v>2024</v>
      </c>
      <c r="L987" s="6">
        <f t="shared" si="131"/>
        <v>36</v>
      </c>
    </row>
    <row r="988" spans="1:12" x14ac:dyDescent="0.45">
      <c r="A988" s="6">
        <f t="shared" si="134"/>
        <v>2024</v>
      </c>
      <c r="B988" s="6">
        <f t="shared" si="129"/>
        <v>9</v>
      </c>
      <c r="C988" s="7">
        <v>45541</v>
      </c>
      <c r="D988" s="6">
        <f t="shared" si="135"/>
        <v>5</v>
      </c>
      <c r="E988" s="6">
        <f t="shared" si="136"/>
        <v>36</v>
      </c>
      <c r="F988" s="6">
        <f t="shared" si="137"/>
        <v>1</v>
      </c>
      <c r="G988" s="6" t="str">
        <f t="shared" si="132"/>
        <v>09</v>
      </c>
      <c r="H988" s="6" t="str">
        <f t="shared" si="133"/>
        <v>09월 1주차</v>
      </c>
      <c r="I988" s="6" t="str">
        <f>H988&amp;" ("&amp;TEXT(C984,"m/dd")&amp;"~"&amp;TEXT(C990,"m/dd")&amp;")"</f>
        <v>09월 1주차 (9/02~9/08)</v>
      </c>
      <c r="J988" s="6" t="str">
        <f>A984&amp;"년 "&amp;WEEKNUM(C984,2)&amp;"주차"&amp;" ("&amp;TEXT(C984,"m/dd")&amp;"~"&amp;TEXT(C990,"m/dd")&amp;")"</f>
        <v>2024년 36주차 (9/02~9/08)</v>
      </c>
      <c r="K988" s="6">
        <f t="shared" si="130"/>
        <v>2024</v>
      </c>
      <c r="L988" s="6">
        <f t="shared" si="131"/>
        <v>36</v>
      </c>
    </row>
    <row r="989" spans="1:12" x14ac:dyDescent="0.45">
      <c r="A989" s="6">
        <f t="shared" si="134"/>
        <v>2024</v>
      </c>
      <c r="B989" s="6">
        <f t="shared" si="129"/>
        <v>9</v>
      </c>
      <c r="C989" s="7">
        <v>45542</v>
      </c>
      <c r="D989" s="6">
        <f t="shared" si="135"/>
        <v>6</v>
      </c>
      <c r="E989" s="6">
        <f t="shared" si="136"/>
        <v>36</v>
      </c>
      <c r="F989" s="6">
        <f t="shared" si="137"/>
        <v>1</v>
      </c>
      <c r="G989" s="6" t="str">
        <f t="shared" si="132"/>
        <v>09</v>
      </c>
      <c r="H989" s="6" t="str">
        <f t="shared" si="133"/>
        <v>09월 1주차</v>
      </c>
      <c r="I989" s="6" t="str">
        <f>H989&amp;" ("&amp;TEXT(C984,"m/dd")&amp;"~"&amp;TEXT(C990,"m/dd")&amp;")"</f>
        <v>09월 1주차 (9/02~9/08)</v>
      </c>
      <c r="J989" s="6" t="str">
        <f>A984&amp;"년 "&amp;WEEKNUM(C984,2)&amp;"주차"&amp;" ("&amp;TEXT(C984,"m/dd")&amp;"~"&amp;TEXT(C990,"m/dd")&amp;")"</f>
        <v>2024년 36주차 (9/02~9/08)</v>
      </c>
      <c r="K989" s="6">
        <f t="shared" si="130"/>
        <v>2024</v>
      </c>
      <c r="L989" s="6">
        <f t="shared" si="131"/>
        <v>36</v>
      </c>
    </row>
    <row r="990" spans="1:12" x14ac:dyDescent="0.45">
      <c r="A990" s="6">
        <f t="shared" si="134"/>
        <v>2024</v>
      </c>
      <c r="B990" s="6">
        <f t="shared" si="129"/>
        <v>9</v>
      </c>
      <c r="C990" s="7">
        <v>45543</v>
      </c>
      <c r="D990" s="6">
        <f t="shared" si="135"/>
        <v>7</v>
      </c>
      <c r="E990" s="6">
        <f t="shared" si="136"/>
        <v>36</v>
      </c>
      <c r="F990" s="6">
        <f t="shared" si="137"/>
        <v>1</v>
      </c>
      <c r="G990" s="6" t="str">
        <f t="shared" si="132"/>
        <v>09</v>
      </c>
      <c r="H990" s="6" t="str">
        <f t="shared" si="133"/>
        <v>09월 1주차</v>
      </c>
      <c r="I990" s="6" t="str">
        <f>H990&amp;" ("&amp;TEXT(C984,"m/dd")&amp;"~"&amp;TEXT(C990,"m/dd")&amp;")"</f>
        <v>09월 1주차 (9/02~9/08)</v>
      </c>
      <c r="J990" s="6" t="str">
        <f>A984&amp;"년 "&amp;WEEKNUM(C984,2)&amp;"주차"&amp;" ("&amp;TEXT(C984,"m/dd")&amp;"~"&amp;TEXT(C990,"m/dd")&amp;")"</f>
        <v>2024년 36주차 (9/02~9/08)</v>
      </c>
      <c r="K990" s="6">
        <f t="shared" si="130"/>
        <v>2024</v>
      </c>
      <c r="L990" s="6">
        <f t="shared" si="131"/>
        <v>36</v>
      </c>
    </row>
    <row r="991" spans="1:12" x14ac:dyDescent="0.45">
      <c r="A991" s="6">
        <f t="shared" si="134"/>
        <v>2024</v>
      </c>
      <c r="B991" s="6">
        <f t="shared" si="129"/>
        <v>9</v>
      </c>
      <c r="C991" s="7">
        <v>45544</v>
      </c>
      <c r="D991" s="6">
        <f t="shared" si="135"/>
        <v>1</v>
      </c>
      <c r="E991" s="6">
        <f t="shared" si="136"/>
        <v>37</v>
      </c>
      <c r="F991" s="6">
        <f t="shared" si="137"/>
        <v>2</v>
      </c>
      <c r="G991" s="6" t="str">
        <f t="shared" si="132"/>
        <v>09</v>
      </c>
      <c r="H991" s="6" t="str">
        <f t="shared" si="133"/>
        <v>09월 2주차</v>
      </c>
      <c r="I991" s="6" t="str">
        <f>H991&amp;" ("&amp;TEXT(C991,"m/dd")&amp;"~"&amp;TEXT(C997,"m/dd")&amp;")"</f>
        <v>09월 2주차 (9/09~9/15)</v>
      </c>
      <c r="J991" s="6" t="str">
        <f>A991&amp;"년 "&amp;WEEKNUM(C991,2)&amp;"주차"&amp;" ("&amp;TEXT(C991,"m/dd")&amp;"~"&amp;TEXT(C997,"m/dd")&amp;")"</f>
        <v>2024년 37주차 (9/09~9/15)</v>
      </c>
      <c r="K991" s="6">
        <f t="shared" si="130"/>
        <v>2024</v>
      </c>
      <c r="L991" s="6">
        <f t="shared" si="131"/>
        <v>37</v>
      </c>
    </row>
    <row r="992" spans="1:12" x14ac:dyDescent="0.45">
      <c r="A992" s="6">
        <f t="shared" si="134"/>
        <v>2024</v>
      </c>
      <c r="B992" s="6">
        <f t="shared" si="129"/>
        <v>9</v>
      </c>
      <c r="C992" s="7">
        <v>45545</v>
      </c>
      <c r="D992" s="6">
        <f t="shared" si="135"/>
        <v>2</v>
      </c>
      <c r="E992" s="6">
        <f t="shared" si="136"/>
        <v>37</v>
      </c>
      <c r="F992" s="6">
        <f t="shared" si="137"/>
        <v>2</v>
      </c>
      <c r="G992" s="6" t="str">
        <f t="shared" si="132"/>
        <v>09</v>
      </c>
      <c r="H992" s="6" t="str">
        <f t="shared" si="133"/>
        <v>09월 2주차</v>
      </c>
      <c r="I992" s="6" t="str">
        <f>H992&amp;" ("&amp;TEXT(C991,"m/dd")&amp;"~"&amp;TEXT(C997,"m/dd")&amp;")"</f>
        <v>09월 2주차 (9/09~9/15)</v>
      </c>
      <c r="J992" s="6" t="str">
        <f>A991&amp;"년 "&amp;WEEKNUM(C991,2)&amp;"주차"&amp;" ("&amp;TEXT(C991,"m/dd")&amp;"~"&amp;TEXT(C997,"m/dd")&amp;")"</f>
        <v>2024년 37주차 (9/09~9/15)</v>
      </c>
      <c r="K992" s="6">
        <f t="shared" si="130"/>
        <v>2024</v>
      </c>
      <c r="L992" s="6">
        <f t="shared" si="131"/>
        <v>37</v>
      </c>
    </row>
    <row r="993" spans="1:12" x14ac:dyDescent="0.45">
      <c r="A993" s="6">
        <f t="shared" si="134"/>
        <v>2024</v>
      </c>
      <c r="B993" s="6">
        <f t="shared" si="129"/>
        <v>9</v>
      </c>
      <c r="C993" s="7">
        <v>45546</v>
      </c>
      <c r="D993" s="6">
        <f t="shared" si="135"/>
        <v>3</v>
      </c>
      <c r="E993" s="6">
        <f t="shared" si="136"/>
        <v>37</v>
      </c>
      <c r="F993" s="6">
        <f t="shared" si="137"/>
        <v>2</v>
      </c>
      <c r="G993" s="6" t="str">
        <f t="shared" si="132"/>
        <v>09</v>
      </c>
      <c r="H993" s="6" t="str">
        <f t="shared" si="133"/>
        <v>09월 2주차</v>
      </c>
      <c r="I993" s="6" t="str">
        <f>H993&amp;" ("&amp;TEXT(C991,"m/dd")&amp;"~"&amp;TEXT(C997,"m/dd")&amp;")"</f>
        <v>09월 2주차 (9/09~9/15)</v>
      </c>
      <c r="J993" s="6" t="str">
        <f>A991&amp;"년 "&amp;WEEKNUM(C991,2)&amp;"주차"&amp;" ("&amp;TEXT(C991,"m/dd")&amp;"~"&amp;TEXT(C997,"m/dd")&amp;")"</f>
        <v>2024년 37주차 (9/09~9/15)</v>
      </c>
      <c r="K993" s="6">
        <f t="shared" si="130"/>
        <v>2024</v>
      </c>
      <c r="L993" s="6">
        <f t="shared" si="131"/>
        <v>37</v>
      </c>
    </row>
    <row r="994" spans="1:12" x14ac:dyDescent="0.45">
      <c r="A994" s="6">
        <f t="shared" si="134"/>
        <v>2024</v>
      </c>
      <c r="B994" s="6">
        <f t="shared" si="129"/>
        <v>9</v>
      </c>
      <c r="C994" s="7">
        <v>45547</v>
      </c>
      <c r="D994" s="6">
        <f t="shared" si="135"/>
        <v>4</v>
      </c>
      <c r="E994" s="6">
        <f t="shared" si="136"/>
        <v>37</v>
      </c>
      <c r="F994" s="6">
        <f t="shared" si="137"/>
        <v>2</v>
      </c>
      <c r="G994" s="6" t="str">
        <f t="shared" si="132"/>
        <v>09</v>
      </c>
      <c r="H994" s="6" t="str">
        <f t="shared" si="133"/>
        <v>09월 2주차</v>
      </c>
      <c r="I994" s="6" t="str">
        <f>H994&amp;" ("&amp;TEXT(C991,"m/dd")&amp;"~"&amp;TEXT(C997,"m/dd")&amp;")"</f>
        <v>09월 2주차 (9/09~9/15)</v>
      </c>
      <c r="J994" s="6" t="str">
        <f>A991&amp;"년 "&amp;WEEKNUM(C991,2)&amp;"주차"&amp;" ("&amp;TEXT(C991,"m/dd")&amp;"~"&amp;TEXT(C997,"m/dd")&amp;")"</f>
        <v>2024년 37주차 (9/09~9/15)</v>
      </c>
      <c r="K994" s="6">
        <f t="shared" si="130"/>
        <v>2024</v>
      </c>
      <c r="L994" s="6">
        <f t="shared" si="131"/>
        <v>37</v>
      </c>
    </row>
    <row r="995" spans="1:12" x14ac:dyDescent="0.45">
      <c r="A995" s="6">
        <f t="shared" si="134"/>
        <v>2024</v>
      </c>
      <c r="B995" s="6">
        <f t="shared" si="129"/>
        <v>9</v>
      </c>
      <c r="C995" s="7">
        <v>45548</v>
      </c>
      <c r="D995" s="6">
        <f t="shared" si="135"/>
        <v>5</v>
      </c>
      <c r="E995" s="6">
        <f t="shared" si="136"/>
        <v>37</v>
      </c>
      <c r="F995" s="6">
        <f t="shared" si="137"/>
        <v>2</v>
      </c>
      <c r="G995" s="6" t="str">
        <f t="shared" si="132"/>
        <v>09</v>
      </c>
      <c r="H995" s="6" t="str">
        <f t="shared" si="133"/>
        <v>09월 2주차</v>
      </c>
      <c r="I995" s="6" t="str">
        <f>H995&amp;" ("&amp;TEXT(C991,"m/dd")&amp;"~"&amp;TEXT(C997,"m/dd")&amp;")"</f>
        <v>09월 2주차 (9/09~9/15)</v>
      </c>
      <c r="J995" s="6" t="str">
        <f>A991&amp;"년 "&amp;WEEKNUM(C991,2)&amp;"주차"&amp;" ("&amp;TEXT(C991,"m/dd")&amp;"~"&amp;TEXT(C997,"m/dd")&amp;")"</f>
        <v>2024년 37주차 (9/09~9/15)</v>
      </c>
      <c r="K995" s="6">
        <f t="shared" si="130"/>
        <v>2024</v>
      </c>
      <c r="L995" s="6">
        <f t="shared" si="131"/>
        <v>37</v>
      </c>
    </row>
    <row r="996" spans="1:12" x14ac:dyDescent="0.45">
      <c r="A996" s="6">
        <f t="shared" si="134"/>
        <v>2024</v>
      </c>
      <c r="B996" s="6">
        <f t="shared" si="129"/>
        <v>9</v>
      </c>
      <c r="C996" s="7">
        <v>45549</v>
      </c>
      <c r="D996" s="6">
        <f t="shared" si="135"/>
        <v>6</v>
      </c>
      <c r="E996" s="6">
        <f t="shared" si="136"/>
        <v>37</v>
      </c>
      <c r="F996" s="6">
        <f t="shared" si="137"/>
        <v>2</v>
      </c>
      <c r="G996" s="6" t="str">
        <f t="shared" si="132"/>
        <v>09</v>
      </c>
      <c r="H996" s="6" t="str">
        <f t="shared" si="133"/>
        <v>09월 2주차</v>
      </c>
      <c r="I996" s="6" t="str">
        <f>H996&amp;" ("&amp;TEXT(C991,"m/dd")&amp;"~"&amp;TEXT(C997,"m/dd")&amp;")"</f>
        <v>09월 2주차 (9/09~9/15)</v>
      </c>
      <c r="J996" s="6" t="str">
        <f>A991&amp;"년 "&amp;WEEKNUM(C991,2)&amp;"주차"&amp;" ("&amp;TEXT(C991,"m/dd")&amp;"~"&amp;TEXT(C997,"m/dd")&amp;")"</f>
        <v>2024년 37주차 (9/09~9/15)</v>
      </c>
      <c r="K996" s="6">
        <f t="shared" si="130"/>
        <v>2024</v>
      </c>
      <c r="L996" s="6">
        <f t="shared" si="131"/>
        <v>37</v>
      </c>
    </row>
    <row r="997" spans="1:12" x14ac:dyDescent="0.45">
      <c r="A997" s="6">
        <f t="shared" si="134"/>
        <v>2024</v>
      </c>
      <c r="B997" s="6">
        <f t="shared" si="129"/>
        <v>9</v>
      </c>
      <c r="C997" s="7">
        <v>45550</v>
      </c>
      <c r="D997" s="6">
        <f t="shared" si="135"/>
        <v>7</v>
      </c>
      <c r="E997" s="6">
        <f t="shared" si="136"/>
        <v>37</v>
      </c>
      <c r="F997" s="6">
        <f t="shared" si="137"/>
        <v>2</v>
      </c>
      <c r="G997" s="6" t="str">
        <f t="shared" si="132"/>
        <v>09</v>
      </c>
      <c r="H997" s="6" t="str">
        <f t="shared" si="133"/>
        <v>09월 2주차</v>
      </c>
      <c r="I997" s="6" t="str">
        <f>H997&amp;" ("&amp;TEXT(C991,"m/dd")&amp;"~"&amp;TEXT(C997,"m/dd")&amp;")"</f>
        <v>09월 2주차 (9/09~9/15)</v>
      </c>
      <c r="J997" s="6" t="str">
        <f>A991&amp;"년 "&amp;WEEKNUM(C991,2)&amp;"주차"&amp;" ("&amp;TEXT(C991,"m/dd")&amp;"~"&amp;TEXT(C997,"m/dd")&amp;")"</f>
        <v>2024년 37주차 (9/09~9/15)</v>
      </c>
      <c r="K997" s="6">
        <f t="shared" si="130"/>
        <v>2024</v>
      </c>
      <c r="L997" s="6">
        <f t="shared" si="131"/>
        <v>37</v>
      </c>
    </row>
    <row r="998" spans="1:12" x14ac:dyDescent="0.45">
      <c r="A998" s="6">
        <f t="shared" si="134"/>
        <v>2024</v>
      </c>
      <c r="B998" s="6">
        <f t="shared" ref="B998:B1061" si="138">MONTH(C998)</f>
        <v>9</v>
      </c>
      <c r="C998" s="7">
        <v>45551</v>
      </c>
      <c r="D998" s="6">
        <f t="shared" si="135"/>
        <v>1</v>
      </c>
      <c r="E998" s="6">
        <f t="shared" si="136"/>
        <v>38</v>
      </c>
      <c r="F998" s="6">
        <f t="shared" si="137"/>
        <v>3</v>
      </c>
      <c r="G998" s="6" t="str">
        <f t="shared" si="132"/>
        <v>09</v>
      </c>
      <c r="H998" s="6" t="str">
        <f t="shared" si="133"/>
        <v>09월 3주차</v>
      </c>
      <c r="I998" s="6" t="str">
        <f>H998&amp;" ("&amp;TEXT(C998,"m/dd")&amp;"~"&amp;TEXT(C1004,"m/dd")&amp;")"</f>
        <v>09월 3주차 (9/16~9/22)</v>
      </c>
      <c r="J998" s="6" t="str">
        <f>A998&amp;"년 "&amp;WEEKNUM(C998,2)&amp;"주차"&amp;" ("&amp;TEXT(C998,"m/dd")&amp;"~"&amp;TEXT(C1004,"m/dd")&amp;")"</f>
        <v>2024년 38주차 (9/16~9/22)</v>
      </c>
      <c r="K998" s="6">
        <f t="shared" si="130"/>
        <v>2024</v>
      </c>
      <c r="L998" s="6">
        <f t="shared" si="131"/>
        <v>38</v>
      </c>
    </row>
    <row r="999" spans="1:12" x14ac:dyDescent="0.45">
      <c r="A999" s="6">
        <f t="shared" si="134"/>
        <v>2024</v>
      </c>
      <c r="B999" s="6">
        <f t="shared" si="138"/>
        <v>9</v>
      </c>
      <c r="C999" s="7">
        <v>45552</v>
      </c>
      <c r="D999" s="6">
        <f t="shared" si="135"/>
        <v>2</v>
      </c>
      <c r="E999" s="6">
        <f t="shared" si="136"/>
        <v>38</v>
      </c>
      <c r="F999" s="6">
        <f t="shared" si="137"/>
        <v>3</v>
      </c>
      <c r="G999" s="6" t="str">
        <f t="shared" si="132"/>
        <v>09</v>
      </c>
      <c r="H999" s="6" t="str">
        <f t="shared" si="133"/>
        <v>09월 3주차</v>
      </c>
      <c r="I999" s="6" t="str">
        <f>H999&amp;" ("&amp;TEXT(C998,"m/dd")&amp;"~"&amp;TEXT(C1004,"m/dd")&amp;")"</f>
        <v>09월 3주차 (9/16~9/22)</v>
      </c>
      <c r="J999" s="6" t="str">
        <f>A998&amp;"년 "&amp;WEEKNUM(C998,2)&amp;"주차"&amp;" ("&amp;TEXT(C998,"m/dd")&amp;"~"&amp;TEXT(C1004,"m/dd")&amp;")"</f>
        <v>2024년 38주차 (9/16~9/22)</v>
      </c>
      <c r="K999" s="6">
        <f t="shared" si="130"/>
        <v>2024</v>
      </c>
      <c r="L999" s="6">
        <f t="shared" si="131"/>
        <v>38</v>
      </c>
    </row>
    <row r="1000" spans="1:12" x14ac:dyDescent="0.45">
      <c r="A1000" s="6">
        <f t="shared" si="134"/>
        <v>2024</v>
      </c>
      <c r="B1000" s="6">
        <f t="shared" si="138"/>
        <v>9</v>
      </c>
      <c r="C1000" s="7">
        <v>45553</v>
      </c>
      <c r="D1000" s="6">
        <f t="shared" si="135"/>
        <v>3</v>
      </c>
      <c r="E1000" s="6">
        <f t="shared" si="136"/>
        <v>38</v>
      </c>
      <c r="F1000" s="6">
        <f t="shared" si="137"/>
        <v>3</v>
      </c>
      <c r="G1000" s="6" t="str">
        <f t="shared" si="132"/>
        <v>09</v>
      </c>
      <c r="H1000" s="6" t="str">
        <f t="shared" si="133"/>
        <v>09월 3주차</v>
      </c>
      <c r="I1000" s="6" t="str">
        <f>H1000&amp;" ("&amp;TEXT(C998,"m/dd")&amp;"~"&amp;TEXT(C1004,"m/dd")&amp;")"</f>
        <v>09월 3주차 (9/16~9/22)</v>
      </c>
      <c r="J1000" s="6" t="str">
        <f>A998&amp;"년 "&amp;WEEKNUM(C998,2)&amp;"주차"&amp;" ("&amp;TEXT(C998,"m/dd")&amp;"~"&amp;TEXT(C1004,"m/dd")&amp;")"</f>
        <v>2024년 38주차 (9/16~9/22)</v>
      </c>
      <c r="K1000" s="6">
        <f t="shared" si="130"/>
        <v>2024</v>
      </c>
      <c r="L1000" s="6">
        <f t="shared" si="131"/>
        <v>38</v>
      </c>
    </row>
    <row r="1001" spans="1:12" x14ac:dyDescent="0.45">
      <c r="A1001" s="6">
        <f t="shared" si="134"/>
        <v>2024</v>
      </c>
      <c r="B1001" s="6">
        <f t="shared" si="138"/>
        <v>9</v>
      </c>
      <c r="C1001" s="7">
        <v>45554</v>
      </c>
      <c r="D1001" s="6">
        <f t="shared" si="135"/>
        <v>4</v>
      </c>
      <c r="E1001" s="6">
        <f t="shared" si="136"/>
        <v>38</v>
      </c>
      <c r="F1001" s="6">
        <f t="shared" si="137"/>
        <v>3</v>
      </c>
      <c r="G1001" s="6" t="str">
        <f t="shared" si="132"/>
        <v>09</v>
      </c>
      <c r="H1001" s="6" t="str">
        <f t="shared" si="133"/>
        <v>09월 3주차</v>
      </c>
      <c r="I1001" s="6" t="str">
        <f>H1001&amp;" ("&amp;TEXT(C998,"m/dd")&amp;"~"&amp;TEXT(C1004,"m/dd")&amp;")"</f>
        <v>09월 3주차 (9/16~9/22)</v>
      </c>
      <c r="J1001" s="6" t="str">
        <f>A998&amp;"년 "&amp;WEEKNUM(C998,2)&amp;"주차"&amp;" ("&amp;TEXT(C998,"m/dd")&amp;"~"&amp;TEXT(C1004,"m/dd")&amp;")"</f>
        <v>2024년 38주차 (9/16~9/22)</v>
      </c>
      <c r="K1001" s="6">
        <f t="shared" si="130"/>
        <v>2024</v>
      </c>
      <c r="L1001" s="6">
        <f t="shared" si="131"/>
        <v>38</v>
      </c>
    </row>
    <row r="1002" spans="1:12" x14ac:dyDescent="0.45">
      <c r="A1002" s="6">
        <f t="shared" si="134"/>
        <v>2024</v>
      </c>
      <c r="B1002" s="6">
        <f t="shared" si="138"/>
        <v>9</v>
      </c>
      <c r="C1002" s="7">
        <v>45555</v>
      </c>
      <c r="D1002" s="6">
        <f t="shared" si="135"/>
        <v>5</v>
      </c>
      <c r="E1002" s="6">
        <f t="shared" si="136"/>
        <v>38</v>
      </c>
      <c r="F1002" s="6">
        <f t="shared" si="137"/>
        <v>3</v>
      </c>
      <c r="G1002" s="6" t="str">
        <f t="shared" si="132"/>
        <v>09</v>
      </c>
      <c r="H1002" s="6" t="str">
        <f t="shared" si="133"/>
        <v>09월 3주차</v>
      </c>
      <c r="I1002" s="6" t="str">
        <f>H1002&amp;" ("&amp;TEXT(C998,"m/dd")&amp;"~"&amp;TEXT(C1004,"m/dd")&amp;")"</f>
        <v>09월 3주차 (9/16~9/22)</v>
      </c>
      <c r="J1002" s="6" t="str">
        <f>A998&amp;"년 "&amp;WEEKNUM(C998,2)&amp;"주차"&amp;" ("&amp;TEXT(C998,"m/dd")&amp;"~"&amp;TEXT(C1004,"m/dd")&amp;")"</f>
        <v>2024년 38주차 (9/16~9/22)</v>
      </c>
      <c r="K1002" s="6">
        <f t="shared" si="130"/>
        <v>2024</v>
      </c>
      <c r="L1002" s="6">
        <f t="shared" si="131"/>
        <v>38</v>
      </c>
    </row>
    <row r="1003" spans="1:12" x14ac:dyDescent="0.45">
      <c r="A1003" s="6">
        <f t="shared" si="134"/>
        <v>2024</v>
      </c>
      <c r="B1003" s="6">
        <f t="shared" si="138"/>
        <v>9</v>
      </c>
      <c r="C1003" s="7">
        <v>45556</v>
      </c>
      <c r="D1003" s="6">
        <f t="shared" si="135"/>
        <v>6</v>
      </c>
      <c r="E1003" s="6">
        <f t="shared" si="136"/>
        <v>38</v>
      </c>
      <c r="F1003" s="6">
        <f t="shared" si="137"/>
        <v>3</v>
      </c>
      <c r="G1003" s="6" t="str">
        <f t="shared" si="132"/>
        <v>09</v>
      </c>
      <c r="H1003" s="6" t="str">
        <f t="shared" si="133"/>
        <v>09월 3주차</v>
      </c>
      <c r="I1003" s="6" t="str">
        <f>H1003&amp;" ("&amp;TEXT(C998,"m/dd")&amp;"~"&amp;TEXT(C1004,"m/dd")&amp;")"</f>
        <v>09월 3주차 (9/16~9/22)</v>
      </c>
      <c r="J1003" s="6" t="str">
        <f>A998&amp;"년 "&amp;WEEKNUM(C998,2)&amp;"주차"&amp;" ("&amp;TEXT(C998,"m/dd")&amp;"~"&amp;TEXT(C1004,"m/dd")&amp;")"</f>
        <v>2024년 38주차 (9/16~9/22)</v>
      </c>
      <c r="K1003" s="6">
        <f t="shared" si="130"/>
        <v>2024</v>
      </c>
      <c r="L1003" s="6">
        <f t="shared" si="131"/>
        <v>38</v>
      </c>
    </row>
    <row r="1004" spans="1:12" x14ac:dyDescent="0.45">
      <c r="A1004" s="6">
        <f t="shared" si="134"/>
        <v>2024</v>
      </c>
      <c r="B1004" s="6">
        <f t="shared" si="138"/>
        <v>9</v>
      </c>
      <c r="C1004" s="7">
        <v>45557</v>
      </c>
      <c r="D1004" s="6">
        <f t="shared" si="135"/>
        <v>7</v>
      </c>
      <c r="E1004" s="6">
        <f t="shared" si="136"/>
        <v>38</v>
      </c>
      <c r="F1004" s="6">
        <f t="shared" si="137"/>
        <v>3</v>
      </c>
      <c r="G1004" s="6" t="str">
        <f t="shared" si="132"/>
        <v>09</v>
      </c>
      <c r="H1004" s="6" t="str">
        <f t="shared" si="133"/>
        <v>09월 3주차</v>
      </c>
      <c r="I1004" s="6" t="str">
        <f>H1004&amp;" ("&amp;TEXT(C998,"m/dd")&amp;"~"&amp;TEXT(C1004,"m/dd")&amp;")"</f>
        <v>09월 3주차 (9/16~9/22)</v>
      </c>
      <c r="J1004" s="6" t="str">
        <f>A998&amp;"년 "&amp;WEEKNUM(C998,2)&amp;"주차"&amp;" ("&amp;TEXT(C998,"m/dd")&amp;"~"&amp;TEXT(C1004,"m/dd")&amp;")"</f>
        <v>2024년 38주차 (9/16~9/22)</v>
      </c>
      <c r="K1004" s="6">
        <f t="shared" si="130"/>
        <v>2024</v>
      </c>
      <c r="L1004" s="6">
        <f t="shared" si="131"/>
        <v>38</v>
      </c>
    </row>
    <row r="1005" spans="1:12" x14ac:dyDescent="0.45">
      <c r="A1005" s="6">
        <f t="shared" si="134"/>
        <v>2024</v>
      </c>
      <c r="B1005" s="6">
        <f t="shared" si="138"/>
        <v>9</v>
      </c>
      <c r="C1005" s="7">
        <v>45558</v>
      </c>
      <c r="D1005" s="6">
        <f t="shared" si="135"/>
        <v>1</v>
      </c>
      <c r="E1005" s="6">
        <f t="shared" si="136"/>
        <v>39</v>
      </c>
      <c r="F1005" s="6">
        <f t="shared" si="137"/>
        <v>4</v>
      </c>
      <c r="G1005" s="6" t="str">
        <f t="shared" si="132"/>
        <v>09</v>
      </c>
      <c r="H1005" s="6" t="str">
        <f t="shared" si="133"/>
        <v>09월 4주차</v>
      </c>
      <c r="I1005" s="6" t="str">
        <f>H1005&amp;" ("&amp;TEXT(C1005,"m/dd")&amp;"~"&amp;TEXT(C1011,"m/dd")&amp;")"</f>
        <v>09월 4주차 (9/23~9/29)</v>
      </c>
      <c r="J1005" s="6" t="str">
        <f>A1005&amp;"년 "&amp;WEEKNUM(C1005,2)&amp;"주차"&amp;" ("&amp;TEXT(C1005,"m/dd")&amp;"~"&amp;TEXT(C1011,"m/dd")&amp;")"</f>
        <v>2024년 39주차 (9/23~9/29)</v>
      </c>
      <c r="K1005" s="6">
        <f t="shared" si="130"/>
        <v>2024</v>
      </c>
      <c r="L1005" s="6">
        <f t="shared" si="131"/>
        <v>39</v>
      </c>
    </row>
    <row r="1006" spans="1:12" x14ac:dyDescent="0.45">
      <c r="A1006" s="6">
        <f t="shared" si="134"/>
        <v>2024</v>
      </c>
      <c r="B1006" s="6">
        <f t="shared" si="138"/>
        <v>9</v>
      </c>
      <c r="C1006" s="7">
        <v>45559</v>
      </c>
      <c r="D1006" s="6">
        <f t="shared" si="135"/>
        <v>2</v>
      </c>
      <c r="E1006" s="6">
        <f t="shared" si="136"/>
        <v>39</v>
      </c>
      <c r="F1006" s="6">
        <f t="shared" si="137"/>
        <v>4</v>
      </c>
      <c r="G1006" s="6" t="str">
        <f t="shared" si="132"/>
        <v>09</v>
      </c>
      <c r="H1006" s="6" t="str">
        <f t="shared" si="133"/>
        <v>09월 4주차</v>
      </c>
      <c r="I1006" s="6" t="str">
        <f>H1006&amp;" ("&amp;TEXT(C1005,"m/dd")&amp;"~"&amp;TEXT(C1011,"m/dd")&amp;")"</f>
        <v>09월 4주차 (9/23~9/29)</v>
      </c>
      <c r="J1006" s="6" t="str">
        <f>A1005&amp;"년 "&amp;WEEKNUM(C1005,2)&amp;"주차"&amp;" ("&amp;TEXT(C1005,"m/dd")&amp;"~"&amp;TEXT(C1011,"m/dd")&amp;")"</f>
        <v>2024년 39주차 (9/23~9/29)</v>
      </c>
      <c r="K1006" s="6">
        <f t="shared" si="130"/>
        <v>2024</v>
      </c>
      <c r="L1006" s="6">
        <f t="shared" si="131"/>
        <v>39</v>
      </c>
    </row>
    <row r="1007" spans="1:12" x14ac:dyDescent="0.45">
      <c r="A1007" s="6">
        <f t="shared" si="134"/>
        <v>2024</v>
      </c>
      <c r="B1007" s="6">
        <f t="shared" si="138"/>
        <v>9</v>
      </c>
      <c r="C1007" s="7">
        <v>45560</v>
      </c>
      <c r="D1007" s="6">
        <f t="shared" si="135"/>
        <v>3</v>
      </c>
      <c r="E1007" s="6">
        <f t="shared" si="136"/>
        <v>39</v>
      </c>
      <c r="F1007" s="6">
        <f t="shared" si="137"/>
        <v>4</v>
      </c>
      <c r="G1007" s="6" t="str">
        <f t="shared" si="132"/>
        <v>09</v>
      </c>
      <c r="H1007" s="6" t="str">
        <f t="shared" si="133"/>
        <v>09월 4주차</v>
      </c>
      <c r="I1007" s="6" t="str">
        <f>H1007&amp;" ("&amp;TEXT(C1005,"m/dd")&amp;"~"&amp;TEXT(C1011,"m/dd")&amp;")"</f>
        <v>09월 4주차 (9/23~9/29)</v>
      </c>
      <c r="J1007" s="6" t="str">
        <f>A1005&amp;"년 "&amp;WEEKNUM(C1005,2)&amp;"주차"&amp;" ("&amp;TEXT(C1005,"m/dd")&amp;"~"&amp;TEXT(C1011,"m/dd")&amp;")"</f>
        <v>2024년 39주차 (9/23~9/29)</v>
      </c>
      <c r="K1007" s="6">
        <f t="shared" ref="K1007:K1070" si="139">YEAR(C1007)</f>
        <v>2024</v>
      </c>
      <c r="L1007" s="6">
        <f t="shared" ref="L1007:L1070" si="140">WEEKNUM(C1007,2)</f>
        <v>39</v>
      </c>
    </row>
    <row r="1008" spans="1:12" x14ac:dyDescent="0.45">
      <c r="A1008" s="6">
        <f t="shared" si="134"/>
        <v>2024</v>
      </c>
      <c r="B1008" s="6">
        <f t="shared" si="138"/>
        <v>9</v>
      </c>
      <c r="C1008" s="7">
        <v>45561</v>
      </c>
      <c r="D1008" s="6">
        <f t="shared" si="135"/>
        <v>4</v>
      </c>
      <c r="E1008" s="6">
        <f t="shared" si="136"/>
        <v>39</v>
      </c>
      <c r="F1008" s="6">
        <f t="shared" si="137"/>
        <v>4</v>
      </c>
      <c r="G1008" s="6" t="str">
        <f t="shared" si="132"/>
        <v>09</v>
      </c>
      <c r="H1008" s="6" t="str">
        <f t="shared" si="133"/>
        <v>09월 4주차</v>
      </c>
      <c r="I1008" s="6" t="str">
        <f>H1008&amp;" ("&amp;TEXT(C1005,"m/dd")&amp;"~"&amp;TEXT(C1011,"m/dd")&amp;")"</f>
        <v>09월 4주차 (9/23~9/29)</v>
      </c>
      <c r="J1008" s="6" t="str">
        <f>A1005&amp;"년 "&amp;WEEKNUM(C1005,2)&amp;"주차"&amp;" ("&amp;TEXT(C1005,"m/dd")&amp;"~"&amp;TEXT(C1011,"m/dd")&amp;")"</f>
        <v>2024년 39주차 (9/23~9/29)</v>
      </c>
      <c r="K1008" s="6">
        <f t="shared" si="139"/>
        <v>2024</v>
      </c>
      <c r="L1008" s="6">
        <f t="shared" si="140"/>
        <v>39</v>
      </c>
    </row>
    <row r="1009" spans="1:12" x14ac:dyDescent="0.45">
      <c r="A1009" s="6">
        <f t="shared" si="134"/>
        <v>2024</v>
      </c>
      <c r="B1009" s="6">
        <f t="shared" si="138"/>
        <v>9</v>
      </c>
      <c r="C1009" s="7">
        <v>45562</v>
      </c>
      <c r="D1009" s="6">
        <f t="shared" si="135"/>
        <v>5</v>
      </c>
      <c r="E1009" s="6">
        <f t="shared" si="136"/>
        <v>39</v>
      </c>
      <c r="F1009" s="6">
        <f t="shared" si="137"/>
        <v>4</v>
      </c>
      <c r="G1009" s="6" t="str">
        <f t="shared" si="132"/>
        <v>09</v>
      </c>
      <c r="H1009" s="6" t="str">
        <f t="shared" si="133"/>
        <v>09월 4주차</v>
      </c>
      <c r="I1009" s="6" t="str">
        <f>H1009&amp;" ("&amp;TEXT(C1005,"m/dd")&amp;"~"&amp;TEXT(C1011,"m/dd")&amp;")"</f>
        <v>09월 4주차 (9/23~9/29)</v>
      </c>
      <c r="J1009" s="6" t="str">
        <f>A1005&amp;"년 "&amp;WEEKNUM(C1005,2)&amp;"주차"&amp;" ("&amp;TEXT(C1005,"m/dd")&amp;"~"&amp;TEXT(C1011,"m/dd")&amp;")"</f>
        <v>2024년 39주차 (9/23~9/29)</v>
      </c>
      <c r="K1009" s="6">
        <f t="shared" si="139"/>
        <v>2024</v>
      </c>
      <c r="L1009" s="6">
        <f t="shared" si="140"/>
        <v>39</v>
      </c>
    </row>
    <row r="1010" spans="1:12" x14ac:dyDescent="0.45">
      <c r="A1010" s="6">
        <f t="shared" si="134"/>
        <v>2024</v>
      </c>
      <c r="B1010" s="6">
        <f t="shared" si="138"/>
        <v>9</v>
      </c>
      <c r="C1010" s="7">
        <v>45563</v>
      </c>
      <c r="D1010" s="6">
        <f t="shared" si="135"/>
        <v>6</v>
      </c>
      <c r="E1010" s="6">
        <f t="shared" si="136"/>
        <v>39</v>
      </c>
      <c r="F1010" s="6">
        <f t="shared" si="137"/>
        <v>4</v>
      </c>
      <c r="G1010" s="6" t="str">
        <f t="shared" si="132"/>
        <v>09</v>
      </c>
      <c r="H1010" s="6" t="str">
        <f t="shared" si="133"/>
        <v>09월 4주차</v>
      </c>
      <c r="I1010" s="6" t="str">
        <f>H1010&amp;" ("&amp;TEXT(C1005,"m/dd")&amp;"~"&amp;TEXT(C1011,"m/dd")&amp;")"</f>
        <v>09월 4주차 (9/23~9/29)</v>
      </c>
      <c r="J1010" s="6" t="str">
        <f>A1005&amp;"년 "&amp;WEEKNUM(C1005,2)&amp;"주차"&amp;" ("&amp;TEXT(C1005,"m/dd")&amp;"~"&amp;TEXT(C1011,"m/dd")&amp;")"</f>
        <v>2024년 39주차 (9/23~9/29)</v>
      </c>
      <c r="K1010" s="6">
        <f t="shared" si="139"/>
        <v>2024</v>
      </c>
      <c r="L1010" s="6">
        <f t="shared" si="140"/>
        <v>39</v>
      </c>
    </row>
    <row r="1011" spans="1:12" x14ac:dyDescent="0.45">
      <c r="A1011" s="6">
        <f t="shared" si="134"/>
        <v>2024</v>
      </c>
      <c r="B1011" s="6">
        <f t="shared" si="138"/>
        <v>9</v>
      </c>
      <c r="C1011" s="7">
        <v>45564</v>
      </c>
      <c r="D1011" s="6">
        <f t="shared" si="135"/>
        <v>7</v>
      </c>
      <c r="E1011" s="6">
        <f t="shared" si="136"/>
        <v>39</v>
      </c>
      <c r="F1011" s="6">
        <f t="shared" si="137"/>
        <v>4</v>
      </c>
      <c r="G1011" s="6" t="str">
        <f t="shared" si="132"/>
        <v>09</v>
      </c>
      <c r="H1011" s="6" t="str">
        <f t="shared" si="133"/>
        <v>09월 4주차</v>
      </c>
      <c r="I1011" s="6" t="str">
        <f>H1011&amp;" ("&amp;TEXT(C1005,"m/dd")&amp;"~"&amp;TEXT(C1011,"m/dd")&amp;")"</f>
        <v>09월 4주차 (9/23~9/29)</v>
      </c>
      <c r="J1011" s="6" t="str">
        <f>A1005&amp;"년 "&amp;WEEKNUM(C1005,2)&amp;"주차"&amp;" ("&amp;TEXT(C1005,"m/dd")&amp;"~"&amp;TEXT(C1011,"m/dd")&amp;")"</f>
        <v>2024년 39주차 (9/23~9/29)</v>
      </c>
      <c r="K1011" s="6">
        <f t="shared" si="139"/>
        <v>2024</v>
      </c>
      <c r="L1011" s="6">
        <f t="shared" si="140"/>
        <v>39</v>
      </c>
    </row>
    <row r="1012" spans="1:12" x14ac:dyDescent="0.45">
      <c r="A1012" s="6">
        <f t="shared" si="134"/>
        <v>2024</v>
      </c>
      <c r="B1012" s="6">
        <v>10</v>
      </c>
      <c r="C1012" s="7">
        <v>45565</v>
      </c>
      <c r="D1012" s="6">
        <f t="shared" si="135"/>
        <v>1</v>
      </c>
      <c r="E1012" s="6">
        <f t="shared" si="136"/>
        <v>40</v>
      </c>
      <c r="F1012" s="6">
        <v>1</v>
      </c>
      <c r="G1012" s="6">
        <f t="shared" si="132"/>
        <v>10</v>
      </c>
      <c r="H1012" s="6" t="str">
        <f t="shared" si="133"/>
        <v>10월 1주차</v>
      </c>
      <c r="I1012" s="6" t="str">
        <f>H1012&amp;" ("&amp;TEXT(C1012,"m/dd")&amp;"~"&amp;TEXT(C1018,"m/dd")&amp;")"</f>
        <v>10월 1주차 (9/30~10/06)</v>
      </c>
      <c r="J1012" s="6" t="str">
        <f>A1012&amp;"년 "&amp;WEEKNUM(C1012,2)&amp;"주차"&amp;" ("&amp;TEXT(C1012,"m/dd")&amp;"~"&amp;TEXT(C1018,"m/dd")&amp;")"</f>
        <v>2024년 40주차 (9/30~10/06)</v>
      </c>
      <c r="K1012" s="6">
        <f t="shared" si="139"/>
        <v>2024</v>
      </c>
      <c r="L1012" s="6">
        <f t="shared" si="140"/>
        <v>40</v>
      </c>
    </row>
    <row r="1013" spans="1:12" x14ac:dyDescent="0.45">
      <c r="A1013" s="6">
        <f t="shared" si="134"/>
        <v>2024</v>
      </c>
      <c r="B1013" s="6">
        <f t="shared" si="138"/>
        <v>10</v>
      </c>
      <c r="C1013" s="7">
        <v>45566</v>
      </c>
      <c r="D1013" s="6">
        <f t="shared" si="135"/>
        <v>2</v>
      </c>
      <c r="E1013" s="6">
        <f t="shared" si="136"/>
        <v>40</v>
      </c>
      <c r="F1013" s="6">
        <v>1</v>
      </c>
      <c r="G1013" s="6">
        <f t="shared" si="132"/>
        <v>10</v>
      </c>
      <c r="H1013" s="6" t="str">
        <f t="shared" si="133"/>
        <v>10월 1주차</v>
      </c>
      <c r="I1013" s="6" t="str">
        <f>H1013&amp;" ("&amp;TEXT(C1012,"m/dd")&amp;"~"&amp;TEXT(C1018,"m/dd")&amp;")"</f>
        <v>10월 1주차 (9/30~10/06)</v>
      </c>
      <c r="J1013" s="6" t="str">
        <f>A1012&amp;"년 "&amp;WEEKNUM(C1012,2)&amp;"주차"&amp;" ("&amp;TEXT(C1012,"m/dd")&amp;"~"&amp;TEXT(C1018,"m/dd")&amp;")"</f>
        <v>2024년 40주차 (9/30~10/06)</v>
      </c>
      <c r="K1013" s="6">
        <f t="shared" si="139"/>
        <v>2024</v>
      </c>
      <c r="L1013" s="6">
        <f t="shared" si="140"/>
        <v>40</v>
      </c>
    </row>
    <row r="1014" spans="1:12" x14ac:dyDescent="0.45">
      <c r="A1014" s="6">
        <f t="shared" si="134"/>
        <v>2024</v>
      </c>
      <c r="B1014" s="6">
        <f t="shared" si="138"/>
        <v>10</v>
      </c>
      <c r="C1014" s="7">
        <v>45567</v>
      </c>
      <c r="D1014" s="6">
        <f t="shared" si="135"/>
        <v>3</v>
      </c>
      <c r="E1014" s="6">
        <f t="shared" si="136"/>
        <v>40</v>
      </c>
      <c r="F1014" s="6">
        <v>1</v>
      </c>
      <c r="G1014" s="6">
        <f t="shared" si="132"/>
        <v>10</v>
      </c>
      <c r="H1014" s="6" t="str">
        <f t="shared" si="133"/>
        <v>10월 1주차</v>
      </c>
      <c r="I1014" s="6" t="str">
        <f>H1014&amp;" ("&amp;TEXT(C1012,"m/dd")&amp;"~"&amp;TEXT(C1018,"m/dd")&amp;")"</f>
        <v>10월 1주차 (9/30~10/06)</v>
      </c>
      <c r="J1014" s="6" t="str">
        <f>A1012&amp;"년 "&amp;WEEKNUM(C1012,2)&amp;"주차"&amp;" ("&amp;TEXT(C1012,"m/dd")&amp;"~"&amp;TEXT(C1018,"m/dd")&amp;")"</f>
        <v>2024년 40주차 (9/30~10/06)</v>
      </c>
      <c r="K1014" s="6">
        <f t="shared" si="139"/>
        <v>2024</v>
      </c>
      <c r="L1014" s="6">
        <f t="shared" si="140"/>
        <v>40</v>
      </c>
    </row>
    <row r="1015" spans="1:12" x14ac:dyDescent="0.45">
      <c r="A1015" s="6">
        <f t="shared" si="134"/>
        <v>2024</v>
      </c>
      <c r="B1015" s="6">
        <f t="shared" si="138"/>
        <v>10</v>
      </c>
      <c r="C1015" s="7">
        <v>45568</v>
      </c>
      <c r="D1015" s="6">
        <f t="shared" si="135"/>
        <v>4</v>
      </c>
      <c r="E1015" s="6">
        <f t="shared" si="136"/>
        <v>40</v>
      </c>
      <c r="F1015" s="6">
        <v>1</v>
      </c>
      <c r="G1015" s="6">
        <f t="shared" si="132"/>
        <v>10</v>
      </c>
      <c r="H1015" s="6" t="str">
        <f t="shared" si="133"/>
        <v>10월 1주차</v>
      </c>
      <c r="I1015" s="6" t="str">
        <f>H1015&amp;" ("&amp;TEXT(C1012,"m/dd")&amp;"~"&amp;TEXT(C1018,"m/dd")&amp;")"</f>
        <v>10월 1주차 (9/30~10/06)</v>
      </c>
      <c r="J1015" s="6" t="str">
        <f>A1012&amp;"년 "&amp;WEEKNUM(C1012,2)&amp;"주차"&amp;" ("&amp;TEXT(C1012,"m/dd")&amp;"~"&amp;TEXT(C1018,"m/dd")&amp;")"</f>
        <v>2024년 40주차 (9/30~10/06)</v>
      </c>
      <c r="K1015" s="6">
        <f t="shared" si="139"/>
        <v>2024</v>
      </c>
      <c r="L1015" s="6">
        <f t="shared" si="140"/>
        <v>40</v>
      </c>
    </row>
    <row r="1016" spans="1:12" x14ac:dyDescent="0.45">
      <c r="A1016" s="6">
        <f t="shared" si="134"/>
        <v>2024</v>
      </c>
      <c r="B1016" s="6">
        <f t="shared" si="138"/>
        <v>10</v>
      </c>
      <c r="C1016" s="7">
        <v>45569</v>
      </c>
      <c r="D1016" s="6">
        <f t="shared" si="135"/>
        <v>5</v>
      </c>
      <c r="E1016" s="6">
        <f t="shared" si="136"/>
        <v>40</v>
      </c>
      <c r="F1016" s="6">
        <v>1</v>
      </c>
      <c r="G1016" s="6">
        <f t="shared" si="132"/>
        <v>10</v>
      </c>
      <c r="H1016" s="6" t="str">
        <f t="shared" si="133"/>
        <v>10월 1주차</v>
      </c>
      <c r="I1016" s="6" t="str">
        <f>H1016&amp;" ("&amp;TEXT(C1012,"m/dd")&amp;"~"&amp;TEXT(C1018,"m/dd")&amp;")"</f>
        <v>10월 1주차 (9/30~10/06)</v>
      </c>
      <c r="J1016" s="6" t="str">
        <f>A1012&amp;"년 "&amp;WEEKNUM(C1012,2)&amp;"주차"&amp;" ("&amp;TEXT(C1012,"m/dd")&amp;"~"&amp;TEXT(C1018,"m/dd")&amp;")"</f>
        <v>2024년 40주차 (9/30~10/06)</v>
      </c>
      <c r="K1016" s="6">
        <f t="shared" si="139"/>
        <v>2024</v>
      </c>
      <c r="L1016" s="6">
        <f t="shared" si="140"/>
        <v>40</v>
      </c>
    </row>
    <row r="1017" spans="1:12" x14ac:dyDescent="0.45">
      <c r="A1017" s="6">
        <f t="shared" si="134"/>
        <v>2024</v>
      </c>
      <c r="B1017" s="6">
        <f t="shared" si="138"/>
        <v>10</v>
      </c>
      <c r="C1017" s="7">
        <v>45570</v>
      </c>
      <c r="D1017" s="6">
        <f t="shared" si="135"/>
        <v>6</v>
      </c>
      <c r="E1017" s="6">
        <f t="shared" si="136"/>
        <v>40</v>
      </c>
      <c r="F1017" s="6">
        <v>1</v>
      </c>
      <c r="G1017" s="6">
        <f t="shared" si="132"/>
        <v>10</v>
      </c>
      <c r="H1017" s="6" t="str">
        <f t="shared" si="133"/>
        <v>10월 1주차</v>
      </c>
      <c r="I1017" s="6" t="str">
        <f>H1017&amp;" ("&amp;TEXT(C1012,"m/dd")&amp;"~"&amp;TEXT(C1018,"m/dd")&amp;")"</f>
        <v>10월 1주차 (9/30~10/06)</v>
      </c>
      <c r="J1017" s="6" t="str">
        <f>A1012&amp;"년 "&amp;WEEKNUM(C1012,2)&amp;"주차"&amp;" ("&amp;TEXT(C1012,"m/dd")&amp;"~"&amp;TEXT(C1018,"m/dd")&amp;")"</f>
        <v>2024년 40주차 (9/30~10/06)</v>
      </c>
      <c r="K1017" s="6">
        <f t="shared" si="139"/>
        <v>2024</v>
      </c>
      <c r="L1017" s="6">
        <f t="shared" si="140"/>
        <v>40</v>
      </c>
    </row>
    <row r="1018" spans="1:12" x14ac:dyDescent="0.45">
      <c r="A1018" s="6">
        <f t="shared" si="134"/>
        <v>2024</v>
      </c>
      <c r="B1018" s="6">
        <f t="shared" si="138"/>
        <v>10</v>
      </c>
      <c r="C1018" s="7">
        <v>45571</v>
      </c>
      <c r="D1018" s="6">
        <f t="shared" si="135"/>
        <v>7</v>
      </c>
      <c r="E1018" s="6">
        <f t="shared" si="136"/>
        <v>40</v>
      </c>
      <c r="F1018" s="6">
        <v>1</v>
      </c>
      <c r="G1018" s="6">
        <f t="shared" si="132"/>
        <v>10</v>
      </c>
      <c r="H1018" s="6" t="str">
        <f t="shared" si="133"/>
        <v>10월 1주차</v>
      </c>
      <c r="I1018" s="6" t="str">
        <f>H1018&amp;" ("&amp;TEXT(C1012,"m/dd")&amp;"~"&amp;TEXT(C1018,"m/dd")&amp;")"</f>
        <v>10월 1주차 (9/30~10/06)</v>
      </c>
      <c r="J1018" s="6" t="str">
        <f>A1012&amp;"년 "&amp;WEEKNUM(C1012,2)&amp;"주차"&amp;" ("&amp;TEXT(C1012,"m/dd")&amp;"~"&amp;TEXT(C1018,"m/dd")&amp;")"</f>
        <v>2024년 40주차 (9/30~10/06)</v>
      </c>
      <c r="K1018" s="6">
        <f t="shared" si="139"/>
        <v>2024</v>
      </c>
      <c r="L1018" s="6">
        <f t="shared" si="140"/>
        <v>40</v>
      </c>
    </row>
    <row r="1019" spans="1:12" x14ac:dyDescent="0.45">
      <c r="A1019" s="6">
        <f t="shared" si="134"/>
        <v>2024</v>
      </c>
      <c r="B1019" s="6">
        <f t="shared" si="138"/>
        <v>10</v>
      </c>
      <c r="C1019" s="7">
        <v>45572</v>
      </c>
      <c r="D1019" s="6">
        <f t="shared" si="135"/>
        <v>1</v>
      </c>
      <c r="E1019" s="6">
        <f t="shared" si="136"/>
        <v>41</v>
      </c>
      <c r="F1019" s="6">
        <v>2</v>
      </c>
      <c r="G1019" s="6">
        <f t="shared" si="132"/>
        <v>10</v>
      </c>
      <c r="H1019" s="6" t="str">
        <f t="shared" si="133"/>
        <v>10월 2주차</v>
      </c>
      <c r="I1019" s="6" t="str">
        <f>H1019&amp;" ("&amp;TEXT(C1019,"m/dd")&amp;"~"&amp;TEXT(C1025,"m/dd")&amp;")"</f>
        <v>10월 2주차 (10/07~10/13)</v>
      </c>
      <c r="J1019" s="6" t="str">
        <f>A1019&amp;"년 "&amp;WEEKNUM(C1019,2)&amp;"주차"&amp;" ("&amp;TEXT(C1019,"m/dd")&amp;"~"&amp;TEXT(C1025,"m/dd")&amp;")"</f>
        <v>2024년 41주차 (10/07~10/13)</v>
      </c>
      <c r="K1019" s="6">
        <f t="shared" si="139"/>
        <v>2024</v>
      </c>
      <c r="L1019" s="6">
        <f t="shared" si="140"/>
        <v>41</v>
      </c>
    </row>
    <row r="1020" spans="1:12" x14ac:dyDescent="0.45">
      <c r="A1020" s="6">
        <f t="shared" si="134"/>
        <v>2024</v>
      </c>
      <c r="B1020" s="6">
        <f t="shared" si="138"/>
        <v>10</v>
      </c>
      <c r="C1020" s="7">
        <v>45573</v>
      </c>
      <c r="D1020" s="6">
        <f t="shared" si="135"/>
        <v>2</v>
      </c>
      <c r="E1020" s="6">
        <f t="shared" si="136"/>
        <v>41</v>
      </c>
      <c r="F1020" s="6">
        <v>2</v>
      </c>
      <c r="G1020" s="6">
        <f t="shared" si="132"/>
        <v>10</v>
      </c>
      <c r="H1020" s="6" t="str">
        <f t="shared" si="133"/>
        <v>10월 2주차</v>
      </c>
      <c r="I1020" s="6" t="str">
        <f>H1020&amp;" ("&amp;TEXT(C1019,"m/dd")&amp;"~"&amp;TEXT(C1025,"m/dd")&amp;")"</f>
        <v>10월 2주차 (10/07~10/13)</v>
      </c>
      <c r="J1020" s="6" t="str">
        <f>A1019&amp;"년 "&amp;WEEKNUM(C1019,2)&amp;"주차"&amp;" ("&amp;TEXT(C1019,"m/dd")&amp;"~"&amp;TEXT(C1025,"m/dd")&amp;")"</f>
        <v>2024년 41주차 (10/07~10/13)</v>
      </c>
      <c r="K1020" s="6">
        <f t="shared" si="139"/>
        <v>2024</v>
      </c>
      <c r="L1020" s="6">
        <f t="shared" si="140"/>
        <v>41</v>
      </c>
    </row>
    <row r="1021" spans="1:12" x14ac:dyDescent="0.45">
      <c r="A1021" s="6">
        <f t="shared" si="134"/>
        <v>2024</v>
      </c>
      <c r="B1021" s="6">
        <f t="shared" si="138"/>
        <v>10</v>
      </c>
      <c r="C1021" s="7">
        <v>45574</v>
      </c>
      <c r="D1021" s="6">
        <f t="shared" si="135"/>
        <v>3</v>
      </c>
      <c r="E1021" s="6">
        <f t="shared" si="136"/>
        <v>41</v>
      </c>
      <c r="F1021" s="6">
        <v>2</v>
      </c>
      <c r="G1021" s="6">
        <f t="shared" si="132"/>
        <v>10</v>
      </c>
      <c r="H1021" s="6" t="str">
        <f t="shared" si="133"/>
        <v>10월 2주차</v>
      </c>
      <c r="I1021" s="6" t="str">
        <f>H1021&amp;" ("&amp;TEXT(C1019,"m/dd")&amp;"~"&amp;TEXT(C1025,"m/dd")&amp;")"</f>
        <v>10월 2주차 (10/07~10/13)</v>
      </c>
      <c r="J1021" s="6" t="str">
        <f>A1019&amp;"년 "&amp;WEEKNUM(C1019,2)&amp;"주차"&amp;" ("&amp;TEXT(C1019,"m/dd")&amp;"~"&amp;TEXT(C1025,"m/dd")&amp;")"</f>
        <v>2024년 41주차 (10/07~10/13)</v>
      </c>
      <c r="K1021" s="6">
        <f t="shared" si="139"/>
        <v>2024</v>
      </c>
      <c r="L1021" s="6">
        <f t="shared" si="140"/>
        <v>41</v>
      </c>
    </row>
    <row r="1022" spans="1:12" x14ac:dyDescent="0.45">
      <c r="A1022" s="6">
        <f t="shared" si="134"/>
        <v>2024</v>
      </c>
      <c r="B1022" s="6">
        <f t="shared" si="138"/>
        <v>10</v>
      </c>
      <c r="C1022" s="7">
        <v>45575</v>
      </c>
      <c r="D1022" s="6">
        <f t="shared" si="135"/>
        <v>4</v>
      </c>
      <c r="E1022" s="6">
        <f t="shared" si="136"/>
        <v>41</v>
      </c>
      <c r="F1022" s="6">
        <v>2</v>
      </c>
      <c r="G1022" s="6">
        <f t="shared" si="132"/>
        <v>10</v>
      </c>
      <c r="H1022" s="6" t="str">
        <f t="shared" si="133"/>
        <v>10월 2주차</v>
      </c>
      <c r="I1022" s="6" t="str">
        <f>H1022&amp;" ("&amp;TEXT(C1019,"m/dd")&amp;"~"&amp;TEXT(C1025,"m/dd")&amp;")"</f>
        <v>10월 2주차 (10/07~10/13)</v>
      </c>
      <c r="J1022" s="6" t="str">
        <f>A1019&amp;"년 "&amp;WEEKNUM(C1019,2)&amp;"주차"&amp;" ("&amp;TEXT(C1019,"m/dd")&amp;"~"&amp;TEXT(C1025,"m/dd")&amp;")"</f>
        <v>2024년 41주차 (10/07~10/13)</v>
      </c>
      <c r="K1022" s="6">
        <f t="shared" si="139"/>
        <v>2024</v>
      </c>
      <c r="L1022" s="6">
        <f t="shared" si="140"/>
        <v>41</v>
      </c>
    </row>
    <row r="1023" spans="1:12" x14ac:dyDescent="0.45">
      <c r="A1023" s="6">
        <f t="shared" si="134"/>
        <v>2024</v>
      </c>
      <c r="B1023" s="6">
        <f t="shared" si="138"/>
        <v>10</v>
      </c>
      <c r="C1023" s="7">
        <v>45576</v>
      </c>
      <c r="D1023" s="6">
        <f t="shared" si="135"/>
        <v>5</v>
      </c>
      <c r="E1023" s="6">
        <f t="shared" si="136"/>
        <v>41</v>
      </c>
      <c r="F1023" s="6">
        <v>2</v>
      </c>
      <c r="G1023" s="6">
        <f t="shared" si="132"/>
        <v>10</v>
      </c>
      <c r="H1023" s="6" t="str">
        <f t="shared" si="133"/>
        <v>10월 2주차</v>
      </c>
      <c r="I1023" s="6" t="str">
        <f>H1023&amp;" ("&amp;TEXT(C1019,"m/dd")&amp;"~"&amp;TEXT(C1025,"m/dd")&amp;")"</f>
        <v>10월 2주차 (10/07~10/13)</v>
      </c>
      <c r="J1023" s="6" t="str">
        <f>A1019&amp;"년 "&amp;WEEKNUM(C1019,2)&amp;"주차"&amp;" ("&amp;TEXT(C1019,"m/dd")&amp;"~"&amp;TEXT(C1025,"m/dd")&amp;")"</f>
        <v>2024년 41주차 (10/07~10/13)</v>
      </c>
      <c r="K1023" s="6">
        <f t="shared" si="139"/>
        <v>2024</v>
      </c>
      <c r="L1023" s="6">
        <f t="shared" si="140"/>
        <v>41</v>
      </c>
    </row>
    <row r="1024" spans="1:12" x14ac:dyDescent="0.45">
      <c r="A1024" s="6">
        <f t="shared" si="134"/>
        <v>2024</v>
      </c>
      <c r="B1024" s="6">
        <f t="shared" si="138"/>
        <v>10</v>
      </c>
      <c r="C1024" s="7">
        <v>45577</v>
      </c>
      <c r="D1024" s="6">
        <f t="shared" si="135"/>
        <v>6</v>
      </c>
      <c r="E1024" s="6">
        <f t="shared" si="136"/>
        <v>41</v>
      </c>
      <c r="F1024" s="6">
        <v>2</v>
      </c>
      <c r="G1024" s="6">
        <f t="shared" si="132"/>
        <v>10</v>
      </c>
      <c r="H1024" s="6" t="str">
        <f t="shared" si="133"/>
        <v>10월 2주차</v>
      </c>
      <c r="I1024" s="6" t="str">
        <f>H1024&amp;" ("&amp;TEXT(C1019,"m/dd")&amp;"~"&amp;TEXT(C1025,"m/dd")&amp;")"</f>
        <v>10월 2주차 (10/07~10/13)</v>
      </c>
      <c r="J1024" s="6" t="str">
        <f>A1019&amp;"년 "&amp;WEEKNUM(C1019,2)&amp;"주차"&amp;" ("&amp;TEXT(C1019,"m/dd")&amp;"~"&amp;TEXT(C1025,"m/dd")&amp;")"</f>
        <v>2024년 41주차 (10/07~10/13)</v>
      </c>
      <c r="K1024" s="6">
        <f t="shared" si="139"/>
        <v>2024</v>
      </c>
      <c r="L1024" s="6">
        <f t="shared" si="140"/>
        <v>41</v>
      </c>
    </row>
    <row r="1025" spans="1:12" x14ac:dyDescent="0.45">
      <c r="A1025" s="6">
        <f t="shared" si="134"/>
        <v>2024</v>
      </c>
      <c r="B1025" s="6">
        <f t="shared" si="138"/>
        <v>10</v>
      </c>
      <c r="C1025" s="7">
        <v>45578</v>
      </c>
      <c r="D1025" s="6">
        <f t="shared" si="135"/>
        <v>7</v>
      </c>
      <c r="E1025" s="6">
        <f t="shared" si="136"/>
        <v>41</v>
      </c>
      <c r="F1025" s="6">
        <v>2</v>
      </c>
      <c r="G1025" s="6">
        <f t="shared" si="132"/>
        <v>10</v>
      </c>
      <c r="H1025" s="6" t="str">
        <f t="shared" si="133"/>
        <v>10월 2주차</v>
      </c>
      <c r="I1025" s="6" t="str">
        <f>H1025&amp;" ("&amp;TEXT(C1019,"m/dd")&amp;"~"&amp;TEXT(C1025,"m/dd")&amp;")"</f>
        <v>10월 2주차 (10/07~10/13)</v>
      </c>
      <c r="J1025" s="6" t="str">
        <f>A1019&amp;"년 "&amp;WEEKNUM(C1019,2)&amp;"주차"&amp;" ("&amp;TEXT(C1019,"m/dd")&amp;"~"&amp;TEXT(C1025,"m/dd")&amp;")"</f>
        <v>2024년 41주차 (10/07~10/13)</v>
      </c>
      <c r="K1025" s="6">
        <f t="shared" si="139"/>
        <v>2024</v>
      </c>
      <c r="L1025" s="6">
        <f t="shared" si="140"/>
        <v>41</v>
      </c>
    </row>
    <row r="1026" spans="1:12" x14ac:dyDescent="0.45">
      <c r="A1026" s="6">
        <f t="shared" si="134"/>
        <v>2024</v>
      </c>
      <c r="B1026" s="6">
        <f t="shared" si="138"/>
        <v>10</v>
      </c>
      <c r="C1026" s="7">
        <v>45579</v>
      </c>
      <c r="D1026" s="6">
        <f t="shared" si="135"/>
        <v>1</v>
      </c>
      <c r="E1026" s="6">
        <f t="shared" si="136"/>
        <v>42</v>
      </c>
      <c r="F1026" s="6">
        <v>3</v>
      </c>
      <c r="G1026" s="6">
        <f t="shared" si="132"/>
        <v>10</v>
      </c>
      <c r="H1026" s="6" t="str">
        <f t="shared" si="133"/>
        <v>10월 3주차</v>
      </c>
      <c r="I1026" s="6" t="str">
        <f>H1026&amp;" ("&amp;TEXT(C1026,"m/dd")&amp;"~"&amp;TEXT(C1032,"m/dd")&amp;")"</f>
        <v>10월 3주차 (10/14~10/20)</v>
      </c>
      <c r="J1026" s="6" t="str">
        <f>A1026&amp;"년 "&amp;WEEKNUM(C1026,2)&amp;"주차"&amp;" ("&amp;TEXT(C1026,"m/dd")&amp;"~"&amp;TEXT(C1032,"m/dd")&amp;")"</f>
        <v>2024년 42주차 (10/14~10/20)</v>
      </c>
      <c r="K1026" s="6">
        <f t="shared" si="139"/>
        <v>2024</v>
      </c>
      <c r="L1026" s="6">
        <f t="shared" si="140"/>
        <v>42</v>
      </c>
    </row>
    <row r="1027" spans="1:12" x14ac:dyDescent="0.45">
      <c r="A1027" s="6">
        <f t="shared" si="134"/>
        <v>2024</v>
      </c>
      <c r="B1027" s="6">
        <f t="shared" si="138"/>
        <v>10</v>
      </c>
      <c r="C1027" s="7">
        <v>45580</v>
      </c>
      <c r="D1027" s="6">
        <f t="shared" si="135"/>
        <v>2</v>
      </c>
      <c r="E1027" s="6">
        <f t="shared" si="136"/>
        <v>42</v>
      </c>
      <c r="F1027" s="6">
        <v>3</v>
      </c>
      <c r="G1027" s="6">
        <f t="shared" si="132"/>
        <v>10</v>
      </c>
      <c r="H1027" s="6" t="str">
        <f t="shared" si="133"/>
        <v>10월 3주차</v>
      </c>
      <c r="I1027" s="6" t="str">
        <f>H1027&amp;" ("&amp;TEXT(C1026,"m/dd")&amp;"~"&amp;TEXT(C1032,"m/dd")&amp;")"</f>
        <v>10월 3주차 (10/14~10/20)</v>
      </c>
      <c r="J1027" s="6" t="str">
        <f>A1026&amp;"년 "&amp;WEEKNUM(C1026,2)&amp;"주차"&amp;" ("&amp;TEXT(C1026,"m/dd")&amp;"~"&amp;TEXT(C1032,"m/dd")&amp;")"</f>
        <v>2024년 42주차 (10/14~10/20)</v>
      </c>
      <c r="K1027" s="6">
        <f t="shared" si="139"/>
        <v>2024</v>
      </c>
      <c r="L1027" s="6">
        <f t="shared" si="140"/>
        <v>42</v>
      </c>
    </row>
    <row r="1028" spans="1:12" x14ac:dyDescent="0.45">
      <c r="A1028" s="6">
        <f t="shared" si="134"/>
        <v>2024</v>
      </c>
      <c r="B1028" s="6">
        <f t="shared" si="138"/>
        <v>10</v>
      </c>
      <c r="C1028" s="7">
        <v>45581</v>
      </c>
      <c r="D1028" s="6">
        <f t="shared" si="135"/>
        <v>3</v>
      </c>
      <c r="E1028" s="6">
        <f t="shared" si="136"/>
        <v>42</v>
      </c>
      <c r="F1028" s="6">
        <v>3</v>
      </c>
      <c r="G1028" s="6">
        <f t="shared" si="132"/>
        <v>10</v>
      </c>
      <c r="H1028" s="6" t="str">
        <f t="shared" si="133"/>
        <v>10월 3주차</v>
      </c>
      <c r="I1028" s="6" t="str">
        <f>H1028&amp;" ("&amp;TEXT(C1026,"m/dd")&amp;"~"&amp;TEXT(C1032,"m/dd")&amp;")"</f>
        <v>10월 3주차 (10/14~10/20)</v>
      </c>
      <c r="J1028" s="6" t="str">
        <f>A1026&amp;"년 "&amp;WEEKNUM(C1026,2)&amp;"주차"&amp;" ("&amp;TEXT(C1026,"m/dd")&amp;"~"&amp;TEXT(C1032,"m/dd")&amp;")"</f>
        <v>2024년 42주차 (10/14~10/20)</v>
      </c>
      <c r="K1028" s="6">
        <f t="shared" si="139"/>
        <v>2024</v>
      </c>
      <c r="L1028" s="6">
        <f t="shared" si="140"/>
        <v>42</v>
      </c>
    </row>
    <row r="1029" spans="1:12" x14ac:dyDescent="0.45">
      <c r="A1029" s="6">
        <f t="shared" si="134"/>
        <v>2024</v>
      </c>
      <c r="B1029" s="6">
        <f t="shared" si="138"/>
        <v>10</v>
      </c>
      <c r="C1029" s="7">
        <v>45582</v>
      </c>
      <c r="D1029" s="6">
        <f t="shared" si="135"/>
        <v>4</v>
      </c>
      <c r="E1029" s="6">
        <f t="shared" si="136"/>
        <v>42</v>
      </c>
      <c r="F1029" s="6">
        <v>3</v>
      </c>
      <c r="G1029" s="6">
        <f t="shared" si="132"/>
        <v>10</v>
      </c>
      <c r="H1029" s="6" t="str">
        <f t="shared" si="133"/>
        <v>10월 3주차</v>
      </c>
      <c r="I1029" s="6" t="str">
        <f>H1029&amp;" ("&amp;TEXT(C1026,"m/dd")&amp;"~"&amp;TEXT(C1032,"m/dd")&amp;")"</f>
        <v>10월 3주차 (10/14~10/20)</v>
      </c>
      <c r="J1029" s="6" t="str">
        <f>A1026&amp;"년 "&amp;WEEKNUM(C1026,2)&amp;"주차"&amp;" ("&amp;TEXT(C1026,"m/dd")&amp;"~"&amp;TEXT(C1032,"m/dd")&amp;")"</f>
        <v>2024년 42주차 (10/14~10/20)</v>
      </c>
      <c r="K1029" s="6">
        <f t="shared" si="139"/>
        <v>2024</v>
      </c>
      <c r="L1029" s="6">
        <f t="shared" si="140"/>
        <v>42</v>
      </c>
    </row>
    <row r="1030" spans="1:12" x14ac:dyDescent="0.45">
      <c r="A1030" s="6">
        <f t="shared" si="134"/>
        <v>2024</v>
      </c>
      <c r="B1030" s="6">
        <f t="shared" si="138"/>
        <v>10</v>
      </c>
      <c r="C1030" s="7">
        <v>45583</v>
      </c>
      <c r="D1030" s="6">
        <f t="shared" si="135"/>
        <v>5</v>
      </c>
      <c r="E1030" s="6">
        <f t="shared" si="136"/>
        <v>42</v>
      </c>
      <c r="F1030" s="6">
        <v>3</v>
      </c>
      <c r="G1030" s="6">
        <f t="shared" si="132"/>
        <v>10</v>
      </c>
      <c r="H1030" s="6" t="str">
        <f t="shared" si="133"/>
        <v>10월 3주차</v>
      </c>
      <c r="I1030" s="6" t="str">
        <f>H1030&amp;" ("&amp;TEXT(C1026,"m/dd")&amp;"~"&amp;TEXT(C1032,"m/dd")&amp;")"</f>
        <v>10월 3주차 (10/14~10/20)</v>
      </c>
      <c r="J1030" s="6" t="str">
        <f>A1026&amp;"년 "&amp;WEEKNUM(C1026,2)&amp;"주차"&amp;" ("&amp;TEXT(C1026,"m/dd")&amp;"~"&amp;TEXT(C1032,"m/dd")&amp;")"</f>
        <v>2024년 42주차 (10/14~10/20)</v>
      </c>
      <c r="K1030" s="6">
        <f t="shared" si="139"/>
        <v>2024</v>
      </c>
      <c r="L1030" s="6">
        <f t="shared" si="140"/>
        <v>42</v>
      </c>
    </row>
    <row r="1031" spans="1:12" x14ac:dyDescent="0.45">
      <c r="A1031" s="6">
        <f t="shared" si="134"/>
        <v>2024</v>
      </c>
      <c r="B1031" s="6">
        <f t="shared" si="138"/>
        <v>10</v>
      </c>
      <c r="C1031" s="7">
        <v>45584</v>
      </c>
      <c r="D1031" s="6">
        <f t="shared" si="135"/>
        <v>6</v>
      </c>
      <c r="E1031" s="6">
        <f t="shared" si="136"/>
        <v>42</v>
      </c>
      <c r="F1031" s="6">
        <v>3</v>
      </c>
      <c r="G1031" s="6">
        <f t="shared" si="132"/>
        <v>10</v>
      </c>
      <c r="H1031" s="6" t="str">
        <f t="shared" si="133"/>
        <v>10월 3주차</v>
      </c>
      <c r="I1031" s="6" t="str">
        <f>H1031&amp;" ("&amp;TEXT(C1026,"m/dd")&amp;"~"&amp;TEXT(C1032,"m/dd")&amp;")"</f>
        <v>10월 3주차 (10/14~10/20)</v>
      </c>
      <c r="J1031" s="6" t="str">
        <f>A1026&amp;"년 "&amp;WEEKNUM(C1026,2)&amp;"주차"&amp;" ("&amp;TEXT(C1026,"m/dd")&amp;"~"&amp;TEXT(C1032,"m/dd")&amp;")"</f>
        <v>2024년 42주차 (10/14~10/20)</v>
      </c>
      <c r="K1031" s="6">
        <f t="shared" si="139"/>
        <v>2024</v>
      </c>
      <c r="L1031" s="6">
        <f t="shared" si="140"/>
        <v>42</v>
      </c>
    </row>
    <row r="1032" spans="1:12" x14ac:dyDescent="0.45">
      <c r="A1032" s="6">
        <f t="shared" si="134"/>
        <v>2024</v>
      </c>
      <c r="B1032" s="6">
        <f t="shared" si="138"/>
        <v>10</v>
      </c>
      <c r="C1032" s="7">
        <v>45585</v>
      </c>
      <c r="D1032" s="6">
        <f t="shared" si="135"/>
        <v>7</v>
      </c>
      <c r="E1032" s="6">
        <f t="shared" si="136"/>
        <v>42</v>
      </c>
      <c r="F1032" s="6">
        <v>3</v>
      </c>
      <c r="G1032" s="6">
        <f t="shared" si="132"/>
        <v>10</v>
      </c>
      <c r="H1032" s="6" t="str">
        <f t="shared" si="133"/>
        <v>10월 3주차</v>
      </c>
      <c r="I1032" s="6" t="str">
        <f>H1032&amp;" ("&amp;TEXT(C1026,"m/dd")&amp;"~"&amp;TEXT(C1032,"m/dd")&amp;")"</f>
        <v>10월 3주차 (10/14~10/20)</v>
      </c>
      <c r="J1032" s="6" t="str">
        <f>A1026&amp;"년 "&amp;WEEKNUM(C1026,2)&amp;"주차"&amp;" ("&amp;TEXT(C1026,"m/dd")&amp;"~"&amp;TEXT(C1032,"m/dd")&amp;")"</f>
        <v>2024년 42주차 (10/14~10/20)</v>
      </c>
      <c r="K1032" s="6">
        <f t="shared" si="139"/>
        <v>2024</v>
      </c>
      <c r="L1032" s="6">
        <f t="shared" si="140"/>
        <v>42</v>
      </c>
    </row>
    <row r="1033" spans="1:12" x14ac:dyDescent="0.45">
      <c r="A1033" s="6">
        <f t="shared" si="134"/>
        <v>2024</v>
      </c>
      <c r="B1033" s="6">
        <f t="shared" si="138"/>
        <v>10</v>
      </c>
      <c r="C1033" s="7">
        <v>45586</v>
      </c>
      <c r="D1033" s="6">
        <f t="shared" si="135"/>
        <v>1</v>
      </c>
      <c r="E1033" s="6">
        <f t="shared" si="136"/>
        <v>43</v>
      </c>
      <c r="F1033" s="6">
        <v>4</v>
      </c>
      <c r="G1033" s="6">
        <f t="shared" si="132"/>
        <v>10</v>
      </c>
      <c r="H1033" s="6" t="str">
        <f t="shared" si="133"/>
        <v>10월 4주차</v>
      </c>
      <c r="I1033" s="6" t="str">
        <f>H1033&amp;" ("&amp;TEXT(C1033,"m/dd")&amp;"~"&amp;TEXT(C1039,"m/dd")&amp;")"</f>
        <v>10월 4주차 (10/21~10/27)</v>
      </c>
      <c r="J1033" s="6" t="str">
        <f>A1033&amp;"년 "&amp;WEEKNUM(C1033,2)&amp;"주차"&amp;" ("&amp;TEXT(C1033,"m/dd")&amp;"~"&amp;TEXT(C1039,"m/dd")&amp;")"</f>
        <v>2024년 43주차 (10/21~10/27)</v>
      </c>
      <c r="K1033" s="6">
        <f t="shared" si="139"/>
        <v>2024</v>
      </c>
      <c r="L1033" s="6">
        <f t="shared" si="140"/>
        <v>43</v>
      </c>
    </row>
    <row r="1034" spans="1:12" x14ac:dyDescent="0.45">
      <c r="A1034" s="6">
        <f t="shared" si="134"/>
        <v>2024</v>
      </c>
      <c r="B1034" s="6">
        <f t="shared" si="138"/>
        <v>10</v>
      </c>
      <c r="C1034" s="7">
        <v>45587</v>
      </c>
      <c r="D1034" s="6">
        <f t="shared" si="135"/>
        <v>2</v>
      </c>
      <c r="E1034" s="6">
        <f t="shared" si="136"/>
        <v>43</v>
      </c>
      <c r="F1034" s="6">
        <v>4</v>
      </c>
      <c r="G1034" s="6">
        <f t="shared" si="132"/>
        <v>10</v>
      </c>
      <c r="H1034" s="6" t="str">
        <f t="shared" si="133"/>
        <v>10월 4주차</v>
      </c>
      <c r="I1034" s="6" t="str">
        <f>H1034&amp;" ("&amp;TEXT(C1033,"m/dd")&amp;"~"&amp;TEXT(C1039,"m/dd")&amp;")"</f>
        <v>10월 4주차 (10/21~10/27)</v>
      </c>
      <c r="J1034" s="6" t="str">
        <f>A1033&amp;"년 "&amp;WEEKNUM(C1033,2)&amp;"주차"&amp;" ("&amp;TEXT(C1033,"m/dd")&amp;"~"&amp;TEXT(C1039,"m/dd")&amp;")"</f>
        <v>2024년 43주차 (10/21~10/27)</v>
      </c>
      <c r="K1034" s="6">
        <f t="shared" si="139"/>
        <v>2024</v>
      </c>
      <c r="L1034" s="6">
        <f t="shared" si="140"/>
        <v>43</v>
      </c>
    </row>
    <row r="1035" spans="1:12" x14ac:dyDescent="0.45">
      <c r="A1035" s="6">
        <f t="shared" si="134"/>
        <v>2024</v>
      </c>
      <c r="B1035" s="6">
        <f t="shared" si="138"/>
        <v>10</v>
      </c>
      <c r="C1035" s="7">
        <v>45588</v>
      </c>
      <c r="D1035" s="6">
        <f t="shared" si="135"/>
        <v>3</v>
      </c>
      <c r="E1035" s="6">
        <f t="shared" si="136"/>
        <v>43</v>
      </c>
      <c r="F1035" s="6">
        <v>4</v>
      </c>
      <c r="G1035" s="6">
        <f t="shared" ref="G1035:G1098" si="141">IF(LEN(B1035)=1,_xlfn.CONCAT(0,B1035),B1035)</f>
        <v>10</v>
      </c>
      <c r="H1035" s="6" t="str">
        <f t="shared" ref="H1035:H1098" si="142">G1035&amp;"월 "&amp;F1035&amp;"주차"</f>
        <v>10월 4주차</v>
      </c>
      <c r="I1035" s="6" t="str">
        <f>H1035&amp;" ("&amp;TEXT(C1033,"m/dd")&amp;"~"&amp;TEXT(C1039,"m/dd")&amp;")"</f>
        <v>10월 4주차 (10/21~10/27)</v>
      </c>
      <c r="J1035" s="6" t="str">
        <f>A1033&amp;"년 "&amp;WEEKNUM(C1033,2)&amp;"주차"&amp;" ("&amp;TEXT(C1033,"m/dd")&amp;"~"&amp;TEXT(C1039,"m/dd")&amp;")"</f>
        <v>2024년 43주차 (10/21~10/27)</v>
      </c>
      <c r="K1035" s="6">
        <f t="shared" si="139"/>
        <v>2024</v>
      </c>
      <c r="L1035" s="6">
        <f t="shared" si="140"/>
        <v>43</v>
      </c>
    </row>
    <row r="1036" spans="1:12" x14ac:dyDescent="0.45">
      <c r="A1036" s="6">
        <f t="shared" si="134"/>
        <v>2024</v>
      </c>
      <c r="B1036" s="6">
        <f t="shared" si="138"/>
        <v>10</v>
      </c>
      <c r="C1036" s="7">
        <v>45589</v>
      </c>
      <c r="D1036" s="6">
        <f t="shared" si="135"/>
        <v>4</v>
      </c>
      <c r="E1036" s="6">
        <f t="shared" si="136"/>
        <v>43</v>
      </c>
      <c r="F1036" s="6">
        <v>4</v>
      </c>
      <c r="G1036" s="6">
        <f t="shared" si="141"/>
        <v>10</v>
      </c>
      <c r="H1036" s="6" t="str">
        <f t="shared" si="142"/>
        <v>10월 4주차</v>
      </c>
      <c r="I1036" s="6" t="str">
        <f>H1036&amp;" ("&amp;TEXT(C1033,"m/dd")&amp;"~"&amp;TEXT(C1039,"m/dd")&amp;")"</f>
        <v>10월 4주차 (10/21~10/27)</v>
      </c>
      <c r="J1036" s="6" t="str">
        <f>A1033&amp;"년 "&amp;WEEKNUM(C1033,2)&amp;"주차"&amp;" ("&amp;TEXT(C1033,"m/dd")&amp;"~"&amp;TEXT(C1039,"m/dd")&amp;")"</f>
        <v>2024년 43주차 (10/21~10/27)</v>
      </c>
      <c r="K1036" s="6">
        <f t="shared" si="139"/>
        <v>2024</v>
      </c>
      <c r="L1036" s="6">
        <f t="shared" si="140"/>
        <v>43</v>
      </c>
    </row>
    <row r="1037" spans="1:12" x14ac:dyDescent="0.45">
      <c r="A1037" s="6">
        <f t="shared" si="134"/>
        <v>2024</v>
      </c>
      <c r="B1037" s="6">
        <f t="shared" si="138"/>
        <v>10</v>
      </c>
      <c r="C1037" s="7">
        <v>45590</v>
      </c>
      <c r="D1037" s="6">
        <f t="shared" si="135"/>
        <v>5</v>
      </c>
      <c r="E1037" s="6">
        <f t="shared" si="136"/>
        <v>43</v>
      </c>
      <c r="F1037" s="6">
        <v>4</v>
      </c>
      <c r="G1037" s="6">
        <f t="shared" si="141"/>
        <v>10</v>
      </c>
      <c r="H1037" s="6" t="str">
        <f t="shared" si="142"/>
        <v>10월 4주차</v>
      </c>
      <c r="I1037" s="6" t="str">
        <f>H1037&amp;" ("&amp;TEXT(C1033,"m/dd")&amp;"~"&amp;TEXT(C1039,"m/dd")&amp;")"</f>
        <v>10월 4주차 (10/21~10/27)</v>
      </c>
      <c r="J1037" s="6" t="str">
        <f>A1033&amp;"년 "&amp;WEEKNUM(C1033,2)&amp;"주차"&amp;" ("&amp;TEXT(C1033,"m/dd")&amp;"~"&amp;TEXT(C1039,"m/dd")&amp;")"</f>
        <v>2024년 43주차 (10/21~10/27)</v>
      </c>
      <c r="K1037" s="6">
        <f t="shared" si="139"/>
        <v>2024</v>
      </c>
      <c r="L1037" s="6">
        <f t="shared" si="140"/>
        <v>43</v>
      </c>
    </row>
    <row r="1038" spans="1:12" x14ac:dyDescent="0.45">
      <c r="A1038" s="6">
        <f t="shared" si="134"/>
        <v>2024</v>
      </c>
      <c r="B1038" s="6">
        <f t="shared" si="138"/>
        <v>10</v>
      </c>
      <c r="C1038" s="7">
        <v>45591</v>
      </c>
      <c r="D1038" s="6">
        <f t="shared" si="135"/>
        <v>6</v>
      </c>
      <c r="E1038" s="6">
        <f t="shared" si="136"/>
        <v>43</v>
      </c>
      <c r="F1038" s="6">
        <v>4</v>
      </c>
      <c r="G1038" s="6">
        <f t="shared" si="141"/>
        <v>10</v>
      </c>
      <c r="H1038" s="6" t="str">
        <f t="shared" si="142"/>
        <v>10월 4주차</v>
      </c>
      <c r="I1038" s="6" t="str">
        <f>H1038&amp;" ("&amp;TEXT(C1033,"m/dd")&amp;"~"&amp;TEXT(C1039,"m/dd")&amp;")"</f>
        <v>10월 4주차 (10/21~10/27)</v>
      </c>
      <c r="J1038" s="6" t="str">
        <f>A1033&amp;"년 "&amp;WEEKNUM(C1033,2)&amp;"주차"&amp;" ("&amp;TEXT(C1033,"m/dd")&amp;"~"&amp;TEXT(C1039,"m/dd")&amp;")"</f>
        <v>2024년 43주차 (10/21~10/27)</v>
      </c>
      <c r="K1038" s="6">
        <f t="shared" si="139"/>
        <v>2024</v>
      </c>
      <c r="L1038" s="6">
        <f t="shared" si="140"/>
        <v>43</v>
      </c>
    </row>
    <row r="1039" spans="1:12" x14ac:dyDescent="0.45">
      <c r="A1039" s="6">
        <f t="shared" ref="A1039:A1102" si="143">YEAR(C1039)</f>
        <v>2024</v>
      </c>
      <c r="B1039" s="6">
        <f t="shared" si="138"/>
        <v>10</v>
      </c>
      <c r="C1039" s="7">
        <v>45592</v>
      </c>
      <c r="D1039" s="6">
        <f t="shared" si="135"/>
        <v>7</v>
      </c>
      <c r="E1039" s="6">
        <f t="shared" si="136"/>
        <v>43</v>
      </c>
      <c r="F1039" s="6">
        <v>4</v>
      </c>
      <c r="G1039" s="6">
        <f t="shared" si="141"/>
        <v>10</v>
      </c>
      <c r="H1039" s="6" t="str">
        <f t="shared" si="142"/>
        <v>10월 4주차</v>
      </c>
      <c r="I1039" s="6" t="str">
        <f>H1039&amp;" ("&amp;TEXT(C1033,"m/dd")&amp;"~"&amp;TEXT(C1039,"m/dd")&amp;")"</f>
        <v>10월 4주차 (10/21~10/27)</v>
      </c>
      <c r="J1039" s="6" t="str">
        <f>A1033&amp;"년 "&amp;WEEKNUM(C1033,2)&amp;"주차"&amp;" ("&amp;TEXT(C1033,"m/dd")&amp;"~"&amp;TEXT(C1039,"m/dd")&amp;")"</f>
        <v>2024년 43주차 (10/21~10/27)</v>
      </c>
      <c r="K1039" s="6">
        <f t="shared" si="139"/>
        <v>2024</v>
      </c>
      <c r="L1039" s="6">
        <f t="shared" si="140"/>
        <v>43</v>
      </c>
    </row>
    <row r="1040" spans="1:12" x14ac:dyDescent="0.45">
      <c r="A1040" s="6">
        <f t="shared" si="143"/>
        <v>2024</v>
      </c>
      <c r="B1040" s="6">
        <f t="shared" si="138"/>
        <v>10</v>
      </c>
      <c r="C1040" s="7">
        <v>45593</v>
      </c>
      <c r="D1040" s="6">
        <f t="shared" si="135"/>
        <v>1</v>
      </c>
      <c r="E1040" s="6">
        <f t="shared" si="136"/>
        <v>44</v>
      </c>
      <c r="F1040" s="6">
        <v>5</v>
      </c>
      <c r="G1040" s="6">
        <f t="shared" si="141"/>
        <v>10</v>
      </c>
      <c r="H1040" s="6" t="str">
        <f t="shared" si="142"/>
        <v>10월 5주차</v>
      </c>
      <c r="I1040" s="6" t="str">
        <f>H1040&amp;" ("&amp;TEXT(C1040,"m/dd")&amp;"~"&amp;TEXT(C1046,"m/dd")&amp;")"</f>
        <v>10월 5주차 (10/28~11/03)</v>
      </c>
      <c r="J1040" s="6" t="str">
        <f>A1040&amp;"년 "&amp;WEEKNUM(C1040,2)&amp;"주차"&amp;" ("&amp;TEXT(C1040,"m/dd")&amp;"~"&amp;TEXT(C1046,"m/dd")&amp;")"</f>
        <v>2024년 44주차 (10/28~11/03)</v>
      </c>
      <c r="K1040" s="6">
        <f t="shared" si="139"/>
        <v>2024</v>
      </c>
      <c r="L1040" s="6">
        <f t="shared" si="140"/>
        <v>44</v>
      </c>
    </row>
    <row r="1041" spans="1:12" x14ac:dyDescent="0.45">
      <c r="A1041" s="6">
        <f t="shared" si="143"/>
        <v>2024</v>
      </c>
      <c r="B1041" s="6">
        <f t="shared" si="138"/>
        <v>10</v>
      </c>
      <c r="C1041" s="7">
        <v>45594</v>
      </c>
      <c r="D1041" s="6">
        <f t="shared" si="135"/>
        <v>2</v>
      </c>
      <c r="E1041" s="6">
        <f t="shared" si="136"/>
        <v>44</v>
      </c>
      <c r="F1041" s="6">
        <v>5</v>
      </c>
      <c r="G1041" s="6">
        <f t="shared" si="141"/>
        <v>10</v>
      </c>
      <c r="H1041" s="6" t="str">
        <f t="shared" si="142"/>
        <v>10월 5주차</v>
      </c>
      <c r="I1041" s="6" t="str">
        <f>H1041&amp;" ("&amp;TEXT(C1040,"m/dd")&amp;"~"&amp;TEXT(C1046,"m/dd")&amp;")"</f>
        <v>10월 5주차 (10/28~11/03)</v>
      </c>
      <c r="J1041" s="6" t="str">
        <f>A1040&amp;"년 "&amp;WEEKNUM(C1040,2)&amp;"주차"&amp;" ("&amp;TEXT(C1040,"m/dd")&amp;"~"&amp;TEXT(C1046,"m/dd")&amp;")"</f>
        <v>2024년 44주차 (10/28~11/03)</v>
      </c>
      <c r="K1041" s="6">
        <f t="shared" si="139"/>
        <v>2024</v>
      </c>
      <c r="L1041" s="6">
        <f t="shared" si="140"/>
        <v>44</v>
      </c>
    </row>
    <row r="1042" spans="1:12" x14ac:dyDescent="0.45">
      <c r="A1042" s="6">
        <f t="shared" si="143"/>
        <v>2024</v>
      </c>
      <c r="B1042" s="6">
        <f t="shared" si="138"/>
        <v>10</v>
      </c>
      <c r="C1042" s="7">
        <v>45595</v>
      </c>
      <c r="D1042" s="6">
        <f t="shared" si="135"/>
        <v>3</v>
      </c>
      <c r="E1042" s="6">
        <f t="shared" si="136"/>
        <v>44</v>
      </c>
      <c r="F1042" s="6">
        <v>5</v>
      </c>
      <c r="G1042" s="6">
        <f t="shared" si="141"/>
        <v>10</v>
      </c>
      <c r="H1042" s="6" t="str">
        <f t="shared" si="142"/>
        <v>10월 5주차</v>
      </c>
      <c r="I1042" s="6" t="str">
        <f>H1042&amp;" ("&amp;TEXT(C1040,"m/dd")&amp;"~"&amp;TEXT(C1046,"m/dd")&amp;")"</f>
        <v>10월 5주차 (10/28~11/03)</v>
      </c>
      <c r="J1042" s="6" t="str">
        <f>A1040&amp;"년 "&amp;WEEKNUM(C1040,2)&amp;"주차"&amp;" ("&amp;TEXT(C1040,"m/dd")&amp;"~"&amp;TEXT(C1046,"m/dd")&amp;")"</f>
        <v>2024년 44주차 (10/28~11/03)</v>
      </c>
      <c r="K1042" s="6">
        <f t="shared" si="139"/>
        <v>2024</v>
      </c>
      <c r="L1042" s="6">
        <f t="shared" si="140"/>
        <v>44</v>
      </c>
    </row>
    <row r="1043" spans="1:12" x14ac:dyDescent="0.45">
      <c r="A1043" s="6">
        <f t="shared" si="143"/>
        <v>2024</v>
      </c>
      <c r="B1043" s="6">
        <f t="shared" si="138"/>
        <v>10</v>
      </c>
      <c r="C1043" s="7">
        <v>45596</v>
      </c>
      <c r="D1043" s="6">
        <f t="shared" si="135"/>
        <v>4</v>
      </c>
      <c r="E1043" s="6">
        <f t="shared" si="136"/>
        <v>44</v>
      </c>
      <c r="F1043" s="6">
        <v>5</v>
      </c>
      <c r="G1043" s="6">
        <f t="shared" si="141"/>
        <v>10</v>
      </c>
      <c r="H1043" s="6" t="str">
        <f t="shared" si="142"/>
        <v>10월 5주차</v>
      </c>
      <c r="I1043" s="6" t="str">
        <f>H1043&amp;" ("&amp;TEXT(C1040,"m/dd")&amp;"~"&amp;TEXT(C1046,"m/dd")&amp;")"</f>
        <v>10월 5주차 (10/28~11/03)</v>
      </c>
      <c r="J1043" s="6" t="str">
        <f>A1040&amp;"년 "&amp;WEEKNUM(C1040,2)&amp;"주차"&amp;" ("&amp;TEXT(C1040,"m/dd")&amp;"~"&amp;TEXT(C1046,"m/dd")&amp;")"</f>
        <v>2024년 44주차 (10/28~11/03)</v>
      </c>
      <c r="K1043" s="6">
        <f t="shared" si="139"/>
        <v>2024</v>
      </c>
      <c r="L1043" s="6">
        <f t="shared" si="140"/>
        <v>44</v>
      </c>
    </row>
    <row r="1044" spans="1:12" x14ac:dyDescent="0.45">
      <c r="A1044" s="6">
        <f t="shared" si="143"/>
        <v>2024</v>
      </c>
      <c r="B1044" s="6">
        <v>10</v>
      </c>
      <c r="C1044" s="7">
        <v>45597</v>
      </c>
      <c r="D1044" s="6">
        <f t="shared" si="135"/>
        <v>5</v>
      </c>
      <c r="E1044" s="6">
        <f t="shared" si="136"/>
        <v>44</v>
      </c>
      <c r="F1044" s="6">
        <v>5</v>
      </c>
      <c r="G1044" s="6">
        <f t="shared" si="141"/>
        <v>10</v>
      </c>
      <c r="H1044" s="6" t="str">
        <f t="shared" si="142"/>
        <v>10월 5주차</v>
      </c>
      <c r="I1044" s="6" t="str">
        <f>H1044&amp;" ("&amp;TEXT(C1040,"m/dd")&amp;"~"&amp;TEXT(C1046,"m/dd")&amp;")"</f>
        <v>10월 5주차 (10/28~11/03)</v>
      </c>
      <c r="J1044" s="6" t="str">
        <f>A1040&amp;"년 "&amp;WEEKNUM(C1040,2)&amp;"주차"&amp;" ("&amp;TEXT(C1040,"m/dd")&amp;"~"&amp;TEXT(C1046,"m/dd")&amp;")"</f>
        <v>2024년 44주차 (10/28~11/03)</v>
      </c>
      <c r="K1044" s="6">
        <f t="shared" si="139"/>
        <v>2024</v>
      </c>
      <c r="L1044" s="6">
        <f t="shared" si="140"/>
        <v>44</v>
      </c>
    </row>
    <row r="1045" spans="1:12" x14ac:dyDescent="0.45">
      <c r="A1045" s="6">
        <f t="shared" si="143"/>
        <v>2024</v>
      </c>
      <c r="B1045" s="6">
        <v>10</v>
      </c>
      <c r="C1045" s="7">
        <v>45598</v>
      </c>
      <c r="D1045" s="6">
        <f t="shared" si="135"/>
        <v>6</v>
      </c>
      <c r="E1045" s="6">
        <f t="shared" si="136"/>
        <v>44</v>
      </c>
      <c r="F1045" s="6">
        <v>5</v>
      </c>
      <c r="G1045" s="6">
        <f t="shared" si="141"/>
        <v>10</v>
      </c>
      <c r="H1045" s="6" t="str">
        <f t="shared" si="142"/>
        <v>10월 5주차</v>
      </c>
      <c r="I1045" s="6" t="str">
        <f>H1045&amp;" ("&amp;TEXT(C1040,"m/dd")&amp;"~"&amp;TEXT(C1046,"m/dd")&amp;")"</f>
        <v>10월 5주차 (10/28~11/03)</v>
      </c>
      <c r="J1045" s="6" t="str">
        <f>A1040&amp;"년 "&amp;WEEKNUM(C1040,2)&amp;"주차"&amp;" ("&amp;TEXT(C1040,"m/dd")&amp;"~"&amp;TEXT(C1046,"m/dd")&amp;")"</f>
        <v>2024년 44주차 (10/28~11/03)</v>
      </c>
      <c r="K1045" s="6">
        <f t="shared" si="139"/>
        <v>2024</v>
      </c>
      <c r="L1045" s="6">
        <f t="shared" si="140"/>
        <v>44</v>
      </c>
    </row>
    <row r="1046" spans="1:12" x14ac:dyDescent="0.45">
      <c r="A1046" s="6">
        <f t="shared" si="143"/>
        <v>2024</v>
      </c>
      <c r="B1046" s="6">
        <v>10</v>
      </c>
      <c r="C1046" s="7">
        <v>45599</v>
      </c>
      <c r="D1046" s="6">
        <f t="shared" si="135"/>
        <v>7</v>
      </c>
      <c r="E1046" s="6">
        <f t="shared" si="136"/>
        <v>44</v>
      </c>
      <c r="F1046" s="6">
        <v>5</v>
      </c>
      <c r="G1046" s="6">
        <f t="shared" si="141"/>
        <v>10</v>
      </c>
      <c r="H1046" s="6" t="str">
        <f t="shared" si="142"/>
        <v>10월 5주차</v>
      </c>
      <c r="I1046" s="6" t="str">
        <f>H1046&amp;" ("&amp;TEXT(C1040,"m/dd")&amp;"~"&amp;TEXT(C1046,"m/dd")&amp;")"</f>
        <v>10월 5주차 (10/28~11/03)</v>
      </c>
      <c r="J1046" s="6" t="str">
        <f>A1040&amp;"년 "&amp;WEEKNUM(C1040,2)&amp;"주차"&amp;" ("&amp;TEXT(C1040,"m/dd")&amp;"~"&amp;TEXT(C1046,"m/dd")&amp;")"</f>
        <v>2024년 44주차 (10/28~11/03)</v>
      </c>
      <c r="K1046" s="6">
        <f t="shared" si="139"/>
        <v>2024</v>
      </c>
      <c r="L1046" s="6">
        <f t="shared" si="140"/>
        <v>44</v>
      </c>
    </row>
    <row r="1047" spans="1:12" x14ac:dyDescent="0.45">
      <c r="A1047" s="6">
        <f t="shared" si="143"/>
        <v>2024</v>
      </c>
      <c r="B1047" s="6">
        <f t="shared" si="138"/>
        <v>11</v>
      </c>
      <c r="C1047" s="7">
        <v>45600</v>
      </c>
      <c r="D1047" s="6">
        <f t="shared" ref="D1047:D1110" si="144">WEEKDAY(C1047,2)</f>
        <v>1</v>
      </c>
      <c r="E1047" s="6">
        <f t="shared" ref="E1047:E1110" si="145">WEEKNUM(C1047,2)</f>
        <v>45</v>
      </c>
      <c r="F1047" s="6">
        <f t="shared" ref="F1047:F1110" si="146">WEEKNUM(DATE(YEAR(C1047),1,DAY(C1047-WEEKDAY(C1047,2)+1)),WEEKDAY(DATE(YEAR(C1047),1,1),11)+10)</f>
        <v>1</v>
      </c>
      <c r="G1047" s="6">
        <f t="shared" si="141"/>
        <v>11</v>
      </c>
      <c r="H1047" s="6" t="str">
        <f t="shared" si="142"/>
        <v>11월 1주차</v>
      </c>
      <c r="I1047" s="6" t="str">
        <f>H1047&amp;" ("&amp;TEXT(C1047,"m/dd")&amp;"~"&amp;TEXT(C1053,"m/dd")&amp;")"</f>
        <v>11월 1주차 (11/04~11/10)</v>
      </c>
      <c r="J1047" s="6" t="str">
        <f>A1047&amp;"년 "&amp;WEEKNUM(C1047,2)&amp;"주차"&amp;" ("&amp;TEXT(C1047,"m/dd")&amp;"~"&amp;TEXT(C1053,"m/dd")&amp;")"</f>
        <v>2024년 45주차 (11/04~11/10)</v>
      </c>
      <c r="K1047" s="6">
        <f t="shared" si="139"/>
        <v>2024</v>
      </c>
      <c r="L1047" s="6">
        <f t="shared" si="140"/>
        <v>45</v>
      </c>
    </row>
    <row r="1048" spans="1:12" x14ac:dyDescent="0.45">
      <c r="A1048" s="6">
        <f t="shared" si="143"/>
        <v>2024</v>
      </c>
      <c r="B1048" s="6">
        <f t="shared" si="138"/>
        <v>11</v>
      </c>
      <c r="C1048" s="7">
        <v>45601</v>
      </c>
      <c r="D1048" s="6">
        <f t="shared" si="144"/>
        <v>2</v>
      </c>
      <c r="E1048" s="6">
        <f t="shared" si="145"/>
        <v>45</v>
      </c>
      <c r="F1048" s="6">
        <f t="shared" si="146"/>
        <v>1</v>
      </c>
      <c r="G1048" s="6">
        <f t="shared" si="141"/>
        <v>11</v>
      </c>
      <c r="H1048" s="6" t="str">
        <f t="shared" si="142"/>
        <v>11월 1주차</v>
      </c>
      <c r="I1048" s="6" t="str">
        <f>H1048&amp;" ("&amp;TEXT(C1047,"m/dd")&amp;"~"&amp;TEXT(C1053,"m/dd")&amp;")"</f>
        <v>11월 1주차 (11/04~11/10)</v>
      </c>
      <c r="J1048" s="6" t="str">
        <f>A1047&amp;"년 "&amp;WEEKNUM(C1047,2)&amp;"주차"&amp;" ("&amp;TEXT(C1047,"m/dd")&amp;"~"&amp;TEXT(C1053,"m/dd")&amp;")"</f>
        <v>2024년 45주차 (11/04~11/10)</v>
      </c>
      <c r="K1048" s="6">
        <f t="shared" si="139"/>
        <v>2024</v>
      </c>
      <c r="L1048" s="6">
        <f t="shared" si="140"/>
        <v>45</v>
      </c>
    </row>
    <row r="1049" spans="1:12" x14ac:dyDescent="0.45">
      <c r="A1049" s="6">
        <f t="shared" si="143"/>
        <v>2024</v>
      </c>
      <c r="B1049" s="6">
        <f t="shared" si="138"/>
        <v>11</v>
      </c>
      <c r="C1049" s="7">
        <v>45602</v>
      </c>
      <c r="D1049" s="6">
        <f t="shared" si="144"/>
        <v>3</v>
      </c>
      <c r="E1049" s="6">
        <f t="shared" si="145"/>
        <v>45</v>
      </c>
      <c r="F1049" s="6">
        <f t="shared" si="146"/>
        <v>1</v>
      </c>
      <c r="G1049" s="6">
        <f t="shared" si="141"/>
        <v>11</v>
      </c>
      <c r="H1049" s="6" t="str">
        <f t="shared" si="142"/>
        <v>11월 1주차</v>
      </c>
      <c r="I1049" s="6" t="str">
        <f>H1049&amp;" ("&amp;TEXT(C1047,"m/dd")&amp;"~"&amp;TEXT(C1053,"m/dd")&amp;")"</f>
        <v>11월 1주차 (11/04~11/10)</v>
      </c>
      <c r="J1049" s="6" t="str">
        <f>A1047&amp;"년 "&amp;WEEKNUM(C1047,2)&amp;"주차"&amp;" ("&amp;TEXT(C1047,"m/dd")&amp;"~"&amp;TEXT(C1053,"m/dd")&amp;")"</f>
        <v>2024년 45주차 (11/04~11/10)</v>
      </c>
      <c r="K1049" s="6">
        <f t="shared" si="139"/>
        <v>2024</v>
      </c>
      <c r="L1049" s="6">
        <f t="shared" si="140"/>
        <v>45</v>
      </c>
    </row>
    <row r="1050" spans="1:12" x14ac:dyDescent="0.45">
      <c r="A1050" s="6">
        <f t="shared" si="143"/>
        <v>2024</v>
      </c>
      <c r="B1050" s="6">
        <f t="shared" si="138"/>
        <v>11</v>
      </c>
      <c r="C1050" s="7">
        <v>45603</v>
      </c>
      <c r="D1050" s="6">
        <f t="shared" si="144"/>
        <v>4</v>
      </c>
      <c r="E1050" s="6">
        <f t="shared" si="145"/>
        <v>45</v>
      </c>
      <c r="F1050" s="6">
        <f t="shared" si="146"/>
        <v>1</v>
      </c>
      <c r="G1050" s="6">
        <f t="shared" si="141"/>
        <v>11</v>
      </c>
      <c r="H1050" s="6" t="str">
        <f t="shared" si="142"/>
        <v>11월 1주차</v>
      </c>
      <c r="I1050" s="6" t="str">
        <f>H1050&amp;" ("&amp;TEXT(C1047,"m/dd")&amp;"~"&amp;TEXT(C1053,"m/dd")&amp;")"</f>
        <v>11월 1주차 (11/04~11/10)</v>
      </c>
      <c r="J1050" s="6" t="str">
        <f>A1047&amp;"년 "&amp;WEEKNUM(C1047,2)&amp;"주차"&amp;" ("&amp;TEXT(C1047,"m/dd")&amp;"~"&amp;TEXT(C1053,"m/dd")&amp;")"</f>
        <v>2024년 45주차 (11/04~11/10)</v>
      </c>
      <c r="K1050" s="6">
        <f t="shared" si="139"/>
        <v>2024</v>
      </c>
      <c r="L1050" s="6">
        <f t="shared" si="140"/>
        <v>45</v>
      </c>
    </row>
    <row r="1051" spans="1:12" x14ac:dyDescent="0.45">
      <c r="A1051" s="6">
        <f t="shared" si="143"/>
        <v>2024</v>
      </c>
      <c r="B1051" s="6">
        <f t="shared" si="138"/>
        <v>11</v>
      </c>
      <c r="C1051" s="7">
        <v>45604</v>
      </c>
      <c r="D1051" s="6">
        <f t="shared" si="144"/>
        <v>5</v>
      </c>
      <c r="E1051" s="6">
        <f t="shared" si="145"/>
        <v>45</v>
      </c>
      <c r="F1051" s="6">
        <f t="shared" si="146"/>
        <v>1</v>
      </c>
      <c r="G1051" s="6">
        <f t="shared" si="141"/>
        <v>11</v>
      </c>
      <c r="H1051" s="6" t="str">
        <f t="shared" si="142"/>
        <v>11월 1주차</v>
      </c>
      <c r="I1051" s="6" t="str">
        <f>H1051&amp;" ("&amp;TEXT(C1047,"m/dd")&amp;"~"&amp;TEXT(C1053,"m/dd")&amp;")"</f>
        <v>11월 1주차 (11/04~11/10)</v>
      </c>
      <c r="J1051" s="6" t="str">
        <f>A1047&amp;"년 "&amp;WEEKNUM(C1047,2)&amp;"주차"&amp;" ("&amp;TEXT(C1047,"m/dd")&amp;"~"&amp;TEXT(C1053,"m/dd")&amp;")"</f>
        <v>2024년 45주차 (11/04~11/10)</v>
      </c>
      <c r="K1051" s="6">
        <f t="shared" si="139"/>
        <v>2024</v>
      </c>
      <c r="L1051" s="6">
        <f t="shared" si="140"/>
        <v>45</v>
      </c>
    </row>
    <row r="1052" spans="1:12" x14ac:dyDescent="0.45">
      <c r="A1052" s="6">
        <f t="shared" si="143"/>
        <v>2024</v>
      </c>
      <c r="B1052" s="6">
        <f t="shared" si="138"/>
        <v>11</v>
      </c>
      <c r="C1052" s="7">
        <v>45605</v>
      </c>
      <c r="D1052" s="6">
        <f t="shared" si="144"/>
        <v>6</v>
      </c>
      <c r="E1052" s="6">
        <f t="shared" si="145"/>
        <v>45</v>
      </c>
      <c r="F1052" s="6">
        <f t="shared" si="146"/>
        <v>1</v>
      </c>
      <c r="G1052" s="6">
        <f t="shared" si="141"/>
        <v>11</v>
      </c>
      <c r="H1052" s="6" t="str">
        <f t="shared" si="142"/>
        <v>11월 1주차</v>
      </c>
      <c r="I1052" s="6" t="str">
        <f>H1052&amp;" ("&amp;TEXT(C1047,"m/dd")&amp;"~"&amp;TEXT(C1053,"m/dd")&amp;")"</f>
        <v>11월 1주차 (11/04~11/10)</v>
      </c>
      <c r="J1052" s="6" t="str">
        <f>A1047&amp;"년 "&amp;WEEKNUM(C1047,2)&amp;"주차"&amp;" ("&amp;TEXT(C1047,"m/dd")&amp;"~"&amp;TEXT(C1053,"m/dd")&amp;")"</f>
        <v>2024년 45주차 (11/04~11/10)</v>
      </c>
      <c r="K1052" s="6">
        <f t="shared" si="139"/>
        <v>2024</v>
      </c>
      <c r="L1052" s="6">
        <f t="shared" si="140"/>
        <v>45</v>
      </c>
    </row>
    <row r="1053" spans="1:12" x14ac:dyDescent="0.45">
      <c r="A1053" s="6">
        <f t="shared" si="143"/>
        <v>2024</v>
      </c>
      <c r="B1053" s="6">
        <f t="shared" si="138"/>
        <v>11</v>
      </c>
      <c r="C1053" s="7">
        <v>45606</v>
      </c>
      <c r="D1053" s="6">
        <f t="shared" si="144"/>
        <v>7</v>
      </c>
      <c r="E1053" s="6">
        <f t="shared" si="145"/>
        <v>45</v>
      </c>
      <c r="F1053" s="6">
        <f t="shared" si="146"/>
        <v>1</v>
      </c>
      <c r="G1053" s="6">
        <f t="shared" si="141"/>
        <v>11</v>
      </c>
      <c r="H1053" s="6" t="str">
        <f t="shared" si="142"/>
        <v>11월 1주차</v>
      </c>
      <c r="I1053" s="6" t="str">
        <f>H1053&amp;" ("&amp;TEXT(C1047,"m/dd")&amp;"~"&amp;TEXT(C1053,"m/dd")&amp;")"</f>
        <v>11월 1주차 (11/04~11/10)</v>
      </c>
      <c r="J1053" s="6" t="str">
        <f>A1047&amp;"년 "&amp;WEEKNUM(C1047,2)&amp;"주차"&amp;" ("&amp;TEXT(C1047,"m/dd")&amp;"~"&amp;TEXT(C1053,"m/dd")&amp;")"</f>
        <v>2024년 45주차 (11/04~11/10)</v>
      </c>
      <c r="K1053" s="6">
        <f t="shared" si="139"/>
        <v>2024</v>
      </c>
      <c r="L1053" s="6">
        <f t="shared" si="140"/>
        <v>45</v>
      </c>
    </row>
    <row r="1054" spans="1:12" x14ac:dyDescent="0.45">
      <c r="A1054" s="6">
        <f t="shared" si="143"/>
        <v>2024</v>
      </c>
      <c r="B1054" s="6">
        <f t="shared" si="138"/>
        <v>11</v>
      </c>
      <c r="C1054" s="7">
        <v>45607</v>
      </c>
      <c r="D1054" s="6">
        <f t="shared" si="144"/>
        <v>1</v>
      </c>
      <c r="E1054" s="6">
        <f t="shared" si="145"/>
        <v>46</v>
      </c>
      <c r="F1054" s="6">
        <f t="shared" si="146"/>
        <v>2</v>
      </c>
      <c r="G1054" s="6">
        <f t="shared" si="141"/>
        <v>11</v>
      </c>
      <c r="H1054" s="6" t="str">
        <f t="shared" si="142"/>
        <v>11월 2주차</v>
      </c>
      <c r="I1054" s="6" t="str">
        <f>H1054&amp;" ("&amp;TEXT(C1054,"m/dd")&amp;"~"&amp;TEXT(C1060,"m/dd")&amp;")"</f>
        <v>11월 2주차 (11/11~11/17)</v>
      </c>
      <c r="J1054" s="6" t="str">
        <f>A1054&amp;"년 "&amp;WEEKNUM(C1054,2)&amp;"주차"&amp;" ("&amp;TEXT(C1054,"m/dd")&amp;"~"&amp;TEXT(C1060,"m/dd")&amp;")"</f>
        <v>2024년 46주차 (11/11~11/17)</v>
      </c>
      <c r="K1054" s="6">
        <f t="shared" si="139"/>
        <v>2024</v>
      </c>
      <c r="L1054" s="6">
        <f t="shared" si="140"/>
        <v>46</v>
      </c>
    </row>
    <row r="1055" spans="1:12" x14ac:dyDescent="0.45">
      <c r="A1055" s="6">
        <f t="shared" si="143"/>
        <v>2024</v>
      </c>
      <c r="B1055" s="6">
        <f t="shared" si="138"/>
        <v>11</v>
      </c>
      <c r="C1055" s="7">
        <v>45608</v>
      </c>
      <c r="D1055" s="6">
        <f t="shared" si="144"/>
        <v>2</v>
      </c>
      <c r="E1055" s="6">
        <f t="shared" si="145"/>
        <v>46</v>
      </c>
      <c r="F1055" s="6">
        <f t="shared" si="146"/>
        <v>2</v>
      </c>
      <c r="G1055" s="6">
        <f t="shared" si="141"/>
        <v>11</v>
      </c>
      <c r="H1055" s="6" t="str">
        <f t="shared" si="142"/>
        <v>11월 2주차</v>
      </c>
      <c r="I1055" s="6" t="str">
        <f>H1055&amp;" ("&amp;TEXT(C1054,"m/dd")&amp;"~"&amp;TEXT(C1060,"m/dd")&amp;")"</f>
        <v>11월 2주차 (11/11~11/17)</v>
      </c>
      <c r="J1055" s="6" t="str">
        <f>A1054&amp;"년 "&amp;WEEKNUM(C1054,2)&amp;"주차"&amp;" ("&amp;TEXT(C1054,"m/dd")&amp;"~"&amp;TEXT(C1060,"m/dd")&amp;")"</f>
        <v>2024년 46주차 (11/11~11/17)</v>
      </c>
      <c r="K1055" s="6">
        <f t="shared" si="139"/>
        <v>2024</v>
      </c>
      <c r="L1055" s="6">
        <f t="shared" si="140"/>
        <v>46</v>
      </c>
    </row>
    <row r="1056" spans="1:12" x14ac:dyDescent="0.45">
      <c r="A1056" s="6">
        <f t="shared" si="143"/>
        <v>2024</v>
      </c>
      <c r="B1056" s="6">
        <f t="shared" si="138"/>
        <v>11</v>
      </c>
      <c r="C1056" s="7">
        <v>45609</v>
      </c>
      <c r="D1056" s="6">
        <f t="shared" si="144"/>
        <v>3</v>
      </c>
      <c r="E1056" s="6">
        <f t="shared" si="145"/>
        <v>46</v>
      </c>
      <c r="F1056" s="6">
        <f t="shared" si="146"/>
        <v>2</v>
      </c>
      <c r="G1056" s="6">
        <f t="shared" si="141"/>
        <v>11</v>
      </c>
      <c r="H1056" s="6" t="str">
        <f t="shared" si="142"/>
        <v>11월 2주차</v>
      </c>
      <c r="I1056" s="6" t="str">
        <f>H1056&amp;" ("&amp;TEXT(C1054,"m/dd")&amp;"~"&amp;TEXT(C1060,"m/dd")&amp;")"</f>
        <v>11월 2주차 (11/11~11/17)</v>
      </c>
      <c r="J1056" s="6" t="str">
        <f>A1054&amp;"년 "&amp;WEEKNUM(C1054,2)&amp;"주차"&amp;" ("&amp;TEXT(C1054,"m/dd")&amp;"~"&amp;TEXT(C1060,"m/dd")&amp;")"</f>
        <v>2024년 46주차 (11/11~11/17)</v>
      </c>
      <c r="K1056" s="6">
        <f t="shared" si="139"/>
        <v>2024</v>
      </c>
      <c r="L1056" s="6">
        <f t="shared" si="140"/>
        <v>46</v>
      </c>
    </row>
    <row r="1057" spans="1:12" x14ac:dyDescent="0.45">
      <c r="A1057" s="6">
        <f t="shared" si="143"/>
        <v>2024</v>
      </c>
      <c r="B1057" s="6">
        <f t="shared" si="138"/>
        <v>11</v>
      </c>
      <c r="C1057" s="7">
        <v>45610</v>
      </c>
      <c r="D1057" s="6">
        <f t="shared" si="144"/>
        <v>4</v>
      </c>
      <c r="E1057" s="6">
        <f t="shared" si="145"/>
        <v>46</v>
      </c>
      <c r="F1057" s="6">
        <f t="shared" si="146"/>
        <v>2</v>
      </c>
      <c r="G1057" s="6">
        <f t="shared" si="141"/>
        <v>11</v>
      </c>
      <c r="H1057" s="6" t="str">
        <f t="shared" si="142"/>
        <v>11월 2주차</v>
      </c>
      <c r="I1057" s="6" t="str">
        <f>H1057&amp;" ("&amp;TEXT(C1054,"m/dd")&amp;"~"&amp;TEXT(C1060,"m/dd")&amp;")"</f>
        <v>11월 2주차 (11/11~11/17)</v>
      </c>
      <c r="J1057" s="6" t="str">
        <f>A1054&amp;"년 "&amp;WEEKNUM(C1054,2)&amp;"주차"&amp;" ("&amp;TEXT(C1054,"m/dd")&amp;"~"&amp;TEXT(C1060,"m/dd")&amp;")"</f>
        <v>2024년 46주차 (11/11~11/17)</v>
      </c>
      <c r="K1057" s="6">
        <f t="shared" si="139"/>
        <v>2024</v>
      </c>
      <c r="L1057" s="6">
        <f t="shared" si="140"/>
        <v>46</v>
      </c>
    </row>
    <row r="1058" spans="1:12" x14ac:dyDescent="0.45">
      <c r="A1058" s="6">
        <f t="shared" si="143"/>
        <v>2024</v>
      </c>
      <c r="B1058" s="6">
        <f t="shared" si="138"/>
        <v>11</v>
      </c>
      <c r="C1058" s="7">
        <v>45611</v>
      </c>
      <c r="D1058" s="6">
        <f t="shared" si="144"/>
        <v>5</v>
      </c>
      <c r="E1058" s="6">
        <f t="shared" si="145"/>
        <v>46</v>
      </c>
      <c r="F1058" s="6">
        <f t="shared" si="146"/>
        <v>2</v>
      </c>
      <c r="G1058" s="6">
        <f t="shared" si="141"/>
        <v>11</v>
      </c>
      <c r="H1058" s="6" t="str">
        <f t="shared" si="142"/>
        <v>11월 2주차</v>
      </c>
      <c r="I1058" s="6" t="str">
        <f>H1058&amp;" ("&amp;TEXT(C1054,"m/dd")&amp;"~"&amp;TEXT(C1060,"m/dd")&amp;")"</f>
        <v>11월 2주차 (11/11~11/17)</v>
      </c>
      <c r="J1058" s="6" t="str">
        <f>A1054&amp;"년 "&amp;WEEKNUM(C1054,2)&amp;"주차"&amp;" ("&amp;TEXT(C1054,"m/dd")&amp;"~"&amp;TEXT(C1060,"m/dd")&amp;")"</f>
        <v>2024년 46주차 (11/11~11/17)</v>
      </c>
      <c r="K1058" s="6">
        <f t="shared" si="139"/>
        <v>2024</v>
      </c>
      <c r="L1058" s="6">
        <f t="shared" si="140"/>
        <v>46</v>
      </c>
    </row>
    <row r="1059" spans="1:12" x14ac:dyDescent="0.45">
      <c r="A1059" s="6">
        <f t="shared" si="143"/>
        <v>2024</v>
      </c>
      <c r="B1059" s="6">
        <f t="shared" si="138"/>
        <v>11</v>
      </c>
      <c r="C1059" s="7">
        <v>45612</v>
      </c>
      <c r="D1059" s="6">
        <f t="shared" si="144"/>
        <v>6</v>
      </c>
      <c r="E1059" s="6">
        <f t="shared" si="145"/>
        <v>46</v>
      </c>
      <c r="F1059" s="6">
        <f t="shared" si="146"/>
        <v>2</v>
      </c>
      <c r="G1059" s="6">
        <f t="shared" si="141"/>
        <v>11</v>
      </c>
      <c r="H1059" s="6" t="str">
        <f t="shared" si="142"/>
        <v>11월 2주차</v>
      </c>
      <c r="I1059" s="6" t="str">
        <f>H1059&amp;" ("&amp;TEXT(C1054,"m/dd")&amp;"~"&amp;TEXT(C1060,"m/dd")&amp;")"</f>
        <v>11월 2주차 (11/11~11/17)</v>
      </c>
      <c r="J1059" s="6" t="str">
        <f>A1054&amp;"년 "&amp;WEEKNUM(C1054,2)&amp;"주차"&amp;" ("&amp;TEXT(C1054,"m/dd")&amp;"~"&amp;TEXT(C1060,"m/dd")&amp;")"</f>
        <v>2024년 46주차 (11/11~11/17)</v>
      </c>
      <c r="K1059" s="6">
        <f t="shared" si="139"/>
        <v>2024</v>
      </c>
      <c r="L1059" s="6">
        <f t="shared" si="140"/>
        <v>46</v>
      </c>
    </row>
    <row r="1060" spans="1:12" x14ac:dyDescent="0.45">
      <c r="A1060" s="6">
        <f t="shared" si="143"/>
        <v>2024</v>
      </c>
      <c r="B1060" s="6">
        <f t="shared" si="138"/>
        <v>11</v>
      </c>
      <c r="C1060" s="7">
        <v>45613</v>
      </c>
      <c r="D1060" s="6">
        <f t="shared" si="144"/>
        <v>7</v>
      </c>
      <c r="E1060" s="6">
        <f t="shared" si="145"/>
        <v>46</v>
      </c>
      <c r="F1060" s="6">
        <f t="shared" si="146"/>
        <v>2</v>
      </c>
      <c r="G1060" s="6">
        <f t="shared" si="141"/>
        <v>11</v>
      </c>
      <c r="H1060" s="6" t="str">
        <f t="shared" si="142"/>
        <v>11월 2주차</v>
      </c>
      <c r="I1060" s="6" t="str">
        <f>H1060&amp;" ("&amp;TEXT(C1054,"m/dd")&amp;"~"&amp;TEXT(C1060,"m/dd")&amp;")"</f>
        <v>11월 2주차 (11/11~11/17)</v>
      </c>
      <c r="J1060" s="6" t="str">
        <f>A1054&amp;"년 "&amp;WEEKNUM(C1054,2)&amp;"주차"&amp;" ("&amp;TEXT(C1054,"m/dd")&amp;"~"&amp;TEXT(C1060,"m/dd")&amp;")"</f>
        <v>2024년 46주차 (11/11~11/17)</v>
      </c>
      <c r="K1060" s="6">
        <f t="shared" si="139"/>
        <v>2024</v>
      </c>
      <c r="L1060" s="6">
        <f t="shared" si="140"/>
        <v>46</v>
      </c>
    </row>
    <row r="1061" spans="1:12" x14ac:dyDescent="0.45">
      <c r="A1061" s="6">
        <f t="shared" si="143"/>
        <v>2024</v>
      </c>
      <c r="B1061" s="6">
        <f t="shared" si="138"/>
        <v>11</v>
      </c>
      <c r="C1061" s="7">
        <v>45614</v>
      </c>
      <c r="D1061" s="6">
        <f t="shared" si="144"/>
        <v>1</v>
      </c>
      <c r="E1061" s="6">
        <f t="shared" si="145"/>
        <v>47</v>
      </c>
      <c r="F1061" s="6">
        <f t="shared" si="146"/>
        <v>3</v>
      </c>
      <c r="G1061" s="6">
        <f t="shared" si="141"/>
        <v>11</v>
      </c>
      <c r="H1061" s="6" t="str">
        <f t="shared" si="142"/>
        <v>11월 3주차</v>
      </c>
      <c r="I1061" s="6" t="str">
        <f>H1061&amp;" ("&amp;TEXT(C1061,"m/dd")&amp;"~"&amp;TEXT(C1067,"m/dd")&amp;")"</f>
        <v>11월 3주차 (11/18~11/24)</v>
      </c>
      <c r="J1061" s="6" t="str">
        <f>A1061&amp;"년 "&amp;WEEKNUM(C1061,2)&amp;"주차"&amp;" ("&amp;TEXT(C1061,"m/dd")&amp;"~"&amp;TEXT(C1067,"m/dd")&amp;")"</f>
        <v>2024년 47주차 (11/18~11/24)</v>
      </c>
      <c r="K1061" s="6">
        <f t="shared" si="139"/>
        <v>2024</v>
      </c>
      <c r="L1061" s="6">
        <f t="shared" si="140"/>
        <v>47</v>
      </c>
    </row>
    <row r="1062" spans="1:12" x14ac:dyDescent="0.45">
      <c r="A1062" s="6">
        <f t="shared" si="143"/>
        <v>2024</v>
      </c>
      <c r="B1062" s="6">
        <f t="shared" ref="B1062:B1125" si="147">MONTH(C1062)</f>
        <v>11</v>
      </c>
      <c r="C1062" s="7">
        <v>45615</v>
      </c>
      <c r="D1062" s="6">
        <f t="shared" si="144"/>
        <v>2</v>
      </c>
      <c r="E1062" s="6">
        <f t="shared" si="145"/>
        <v>47</v>
      </c>
      <c r="F1062" s="6">
        <f t="shared" si="146"/>
        <v>3</v>
      </c>
      <c r="G1062" s="6">
        <f t="shared" si="141"/>
        <v>11</v>
      </c>
      <c r="H1062" s="6" t="str">
        <f t="shared" si="142"/>
        <v>11월 3주차</v>
      </c>
      <c r="I1062" s="6" t="str">
        <f>H1062&amp;" ("&amp;TEXT(C1061,"m/dd")&amp;"~"&amp;TEXT(C1067,"m/dd")&amp;")"</f>
        <v>11월 3주차 (11/18~11/24)</v>
      </c>
      <c r="J1062" s="6" t="str">
        <f>A1061&amp;"년 "&amp;WEEKNUM(C1061,2)&amp;"주차"&amp;" ("&amp;TEXT(C1061,"m/dd")&amp;"~"&amp;TEXT(C1067,"m/dd")&amp;")"</f>
        <v>2024년 47주차 (11/18~11/24)</v>
      </c>
      <c r="K1062" s="6">
        <f t="shared" si="139"/>
        <v>2024</v>
      </c>
      <c r="L1062" s="6">
        <f t="shared" si="140"/>
        <v>47</v>
      </c>
    </row>
    <row r="1063" spans="1:12" x14ac:dyDescent="0.45">
      <c r="A1063" s="6">
        <f t="shared" si="143"/>
        <v>2024</v>
      </c>
      <c r="B1063" s="6">
        <f t="shared" si="147"/>
        <v>11</v>
      </c>
      <c r="C1063" s="7">
        <v>45616</v>
      </c>
      <c r="D1063" s="6">
        <f t="shared" si="144"/>
        <v>3</v>
      </c>
      <c r="E1063" s="6">
        <f t="shared" si="145"/>
        <v>47</v>
      </c>
      <c r="F1063" s="6">
        <f t="shared" si="146"/>
        <v>3</v>
      </c>
      <c r="G1063" s="6">
        <f t="shared" si="141"/>
        <v>11</v>
      </c>
      <c r="H1063" s="6" t="str">
        <f t="shared" si="142"/>
        <v>11월 3주차</v>
      </c>
      <c r="I1063" s="6" t="str">
        <f>H1063&amp;" ("&amp;TEXT(C1061,"m/dd")&amp;"~"&amp;TEXT(C1067,"m/dd")&amp;")"</f>
        <v>11월 3주차 (11/18~11/24)</v>
      </c>
      <c r="J1063" s="6" t="str">
        <f>A1061&amp;"년 "&amp;WEEKNUM(C1061,2)&amp;"주차"&amp;" ("&amp;TEXT(C1061,"m/dd")&amp;"~"&amp;TEXT(C1067,"m/dd")&amp;")"</f>
        <v>2024년 47주차 (11/18~11/24)</v>
      </c>
      <c r="K1063" s="6">
        <f t="shared" si="139"/>
        <v>2024</v>
      </c>
      <c r="L1063" s="6">
        <f t="shared" si="140"/>
        <v>47</v>
      </c>
    </row>
    <row r="1064" spans="1:12" x14ac:dyDescent="0.45">
      <c r="A1064" s="6">
        <f t="shared" si="143"/>
        <v>2024</v>
      </c>
      <c r="B1064" s="6">
        <f t="shared" si="147"/>
        <v>11</v>
      </c>
      <c r="C1064" s="7">
        <v>45617</v>
      </c>
      <c r="D1064" s="6">
        <f t="shared" si="144"/>
        <v>4</v>
      </c>
      <c r="E1064" s="6">
        <f t="shared" si="145"/>
        <v>47</v>
      </c>
      <c r="F1064" s="6">
        <f t="shared" si="146"/>
        <v>3</v>
      </c>
      <c r="G1064" s="6">
        <f t="shared" si="141"/>
        <v>11</v>
      </c>
      <c r="H1064" s="6" t="str">
        <f t="shared" si="142"/>
        <v>11월 3주차</v>
      </c>
      <c r="I1064" s="6" t="str">
        <f>H1064&amp;" ("&amp;TEXT(C1061,"m/dd")&amp;"~"&amp;TEXT(C1067,"m/dd")&amp;")"</f>
        <v>11월 3주차 (11/18~11/24)</v>
      </c>
      <c r="J1064" s="6" t="str">
        <f>A1061&amp;"년 "&amp;WEEKNUM(C1061,2)&amp;"주차"&amp;" ("&amp;TEXT(C1061,"m/dd")&amp;"~"&amp;TEXT(C1067,"m/dd")&amp;")"</f>
        <v>2024년 47주차 (11/18~11/24)</v>
      </c>
      <c r="K1064" s="6">
        <f t="shared" si="139"/>
        <v>2024</v>
      </c>
      <c r="L1064" s="6">
        <f t="shared" si="140"/>
        <v>47</v>
      </c>
    </row>
    <row r="1065" spans="1:12" x14ac:dyDescent="0.45">
      <c r="A1065" s="6">
        <f t="shared" si="143"/>
        <v>2024</v>
      </c>
      <c r="B1065" s="6">
        <f t="shared" si="147"/>
        <v>11</v>
      </c>
      <c r="C1065" s="7">
        <v>45618</v>
      </c>
      <c r="D1065" s="6">
        <f t="shared" si="144"/>
        <v>5</v>
      </c>
      <c r="E1065" s="6">
        <f t="shared" si="145"/>
        <v>47</v>
      </c>
      <c r="F1065" s="6">
        <f t="shared" si="146"/>
        <v>3</v>
      </c>
      <c r="G1065" s="6">
        <f t="shared" si="141"/>
        <v>11</v>
      </c>
      <c r="H1065" s="6" t="str">
        <f t="shared" si="142"/>
        <v>11월 3주차</v>
      </c>
      <c r="I1065" s="6" t="str">
        <f>H1065&amp;" ("&amp;TEXT(C1061,"m/dd")&amp;"~"&amp;TEXT(C1067,"m/dd")&amp;")"</f>
        <v>11월 3주차 (11/18~11/24)</v>
      </c>
      <c r="J1065" s="6" t="str">
        <f>A1061&amp;"년 "&amp;WEEKNUM(C1061,2)&amp;"주차"&amp;" ("&amp;TEXT(C1061,"m/dd")&amp;"~"&amp;TEXT(C1067,"m/dd")&amp;")"</f>
        <v>2024년 47주차 (11/18~11/24)</v>
      </c>
      <c r="K1065" s="6">
        <f t="shared" si="139"/>
        <v>2024</v>
      </c>
      <c r="L1065" s="6">
        <f t="shared" si="140"/>
        <v>47</v>
      </c>
    </row>
    <row r="1066" spans="1:12" x14ac:dyDescent="0.45">
      <c r="A1066" s="6">
        <f t="shared" si="143"/>
        <v>2024</v>
      </c>
      <c r="B1066" s="6">
        <f t="shared" si="147"/>
        <v>11</v>
      </c>
      <c r="C1066" s="7">
        <v>45619</v>
      </c>
      <c r="D1066" s="6">
        <f t="shared" si="144"/>
        <v>6</v>
      </c>
      <c r="E1066" s="6">
        <f t="shared" si="145"/>
        <v>47</v>
      </c>
      <c r="F1066" s="6">
        <f t="shared" si="146"/>
        <v>3</v>
      </c>
      <c r="G1066" s="6">
        <f t="shared" si="141"/>
        <v>11</v>
      </c>
      <c r="H1066" s="6" t="str">
        <f t="shared" si="142"/>
        <v>11월 3주차</v>
      </c>
      <c r="I1066" s="6" t="str">
        <f>H1066&amp;" ("&amp;TEXT(C1061,"m/dd")&amp;"~"&amp;TEXT(C1067,"m/dd")&amp;")"</f>
        <v>11월 3주차 (11/18~11/24)</v>
      </c>
      <c r="J1066" s="6" t="str">
        <f>A1061&amp;"년 "&amp;WEEKNUM(C1061,2)&amp;"주차"&amp;" ("&amp;TEXT(C1061,"m/dd")&amp;"~"&amp;TEXT(C1067,"m/dd")&amp;")"</f>
        <v>2024년 47주차 (11/18~11/24)</v>
      </c>
      <c r="K1066" s="6">
        <f t="shared" si="139"/>
        <v>2024</v>
      </c>
      <c r="L1066" s="6">
        <f t="shared" si="140"/>
        <v>47</v>
      </c>
    </row>
    <row r="1067" spans="1:12" x14ac:dyDescent="0.45">
      <c r="A1067" s="6">
        <f t="shared" si="143"/>
        <v>2024</v>
      </c>
      <c r="B1067" s="6">
        <f t="shared" si="147"/>
        <v>11</v>
      </c>
      <c r="C1067" s="7">
        <v>45620</v>
      </c>
      <c r="D1067" s="6">
        <f t="shared" si="144"/>
        <v>7</v>
      </c>
      <c r="E1067" s="6">
        <f t="shared" si="145"/>
        <v>47</v>
      </c>
      <c r="F1067" s="6">
        <f t="shared" si="146"/>
        <v>3</v>
      </c>
      <c r="G1067" s="6">
        <f t="shared" si="141"/>
        <v>11</v>
      </c>
      <c r="H1067" s="6" t="str">
        <f t="shared" si="142"/>
        <v>11월 3주차</v>
      </c>
      <c r="I1067" s="6" t="str">
        <f>H1067&amp;" ("&amp;TEXT(C1061,"m/dd")&amp;"~"&amp;TEXT(C1067,"m/dd")&amp;")"</f>
        <v>11월 3주차 (11/18~11/24)</v>
      </c>
      <c r="J1067" s="6" t="str">
        <f>A1061&amp;"년 "&amp;WEEKNUM(C1061,2)&amp;"주차"&amp;" ("&amp;TEXT(C1061,"m/dd")&amp;"~"&amp;TEXT(C1067,"m/dd")&amp;")"</f>
        <v>2024년 47주차 (11/18~11/24)</v>
      </c>
      <c r="K1067" s="6">
        <f t="shared" si="139"/>
        <v>2024</v>
      </c>
      <c r="L1067" s="6">
        <f t="shared" si="140"/>
        <v>47</v>
      </c>
    </row>
    <row r="1068" spans="1:12" x14ac:dyDescent="0.45">
      <c r="A1068" s="6">
        <f t="shared" si="143"/>
        <v>2024</v>
      </c>
      <c r="B1068" s="6">
        <f t="shared" si="147"/>
        <v>11</v>
      </c>
      <c r="C1068" s="7">
        <v>45621</v>
      </c>
      <c r="D1068" s="6">
        <f t="shared" si="144"/>
        <v>1</v>
      </c>
      <c r="E1068" s="6">
        <f t="shared" si="145"/>
        <v>48</v>
      </c>
      <c r="F1068" s="6">
        <f t="shared" si="146"/>
        <v>4</v>
      </c>
      <c r="G1068" s="6">
        <f t="shared" si="141"/>
        <v>11</v>
      </c>
      <c r="H1068" s="6" t="str">
        <f t="shared" si="142"/>
        <v>11월 4주차</v>
      </c>
      <c r="I1068" s="6" t="str">
        <f>H1068&amp;" ("&amp;TEXT(C1068,"m/dd")&amp;"~"&amp;TEXT(C1074,"m/dd")&amp;")"</f>
        <v>11월 4주차 (11/25~12/01)</v>
      </c>
      <c r="J1068" s="6" t="str">
        <f>A1068&amp;"년 "&amp;WEEKNUM(C1068,2)&amp;"주차"&amp;" ("&amp;TEXT(C1068,"m/dd")&amp;"~"&amp;TEXT(C1074,"m/dd")&amp;")"</f>
        <v>2024년 48주차 (11/25~12/01)</v>
      </c>
      <c r="K1068" s="6">
        <f t="shared" si="139"/>
        <v>2024</v>
      </c>
      <c r="L1068" s="6">
        <f t="shared" si="140"/>
        <v>48</v>
      </c>
    </row>
    <row r="1069" spans="1:12" x14ac:dyDescent="0.45">
      <c r="A1069" s="6">
        <f t="shared" si="143"/>
        <v>2024</v>
      </c>
      <c r="B1069" s="6">
        <f t="shared" si="147"/>
        <v>11</v>
      </c>
      <c r="C1069" s="7">
        <v>45622</v>
      </c>
      <c r="D1069" s="6">
        <f t="shared" si="144"/>
        <v>2</v>
      </c>
      <c r="E1069" s="6">
        <f t="shared" si="145"/>
        <v>48</v>
      </c>
      <c r="F1069" s="6">
        <f t="shared" si="146"/>
        <v>4</v>
      </c>
      <c r="G1069" s="6">
        <f t="shared" si="141"/>
        <v>11</v>
      </c>
      <c r="H1069" s="6" t="str">
        <f t="shared" si="142"/>
        <v>11월 4주차</v>
      </c>
      <c r="I1069" s="6" t="str">
        <f>H1069&amp;" ("&amp;TEXT(C1068,"m/dd")&amp;"~"&amp;TEXT(C1074,"m/dd")&amp;")"</f>
        <v>11월 4주차 (11/25~12/01)</v>
      </c>
      <c r="J1069" s="6" t="str">
        <f>A1068&amp;"년 "&amp;WEEKNUM(C1068,2)&amp;"주차"&amp;" ("&amp;TEXT(C1068,"m/dd")&amp;"~"&amp;TEXT(C1074,"m/dd")&amp;")"</f>
        <v>2024년 48주차 (11/25~12/01)</v>
      </c>
      <c r="K1069" s="6">
        <f t="shared" si="139"/>
        <v>2024</v>
      </c>
      <c r="L1069" s="6">
        <f t="shared" si="140"/>
        <v>48</v>
      </c>
    </row>
    <row r="1070" spans="1:12" x14ac:dyDescent="0.45">
      <c r="A1070" s="6">
        <f t="shared" si="143"/>
        <v>2024</v>
      </c>
      <c r="B1070" s="6">
        <f t="shared" si="147"/>
        <v>11</v>
      </c>
      <c r="C1070" s="7">
        <v>45623</v>
      </c>
      <c r="D1070" s="6">
        <f t="shared" si="144"/>
        <v>3</v>
      </c>
      <c r="E1070" s="6">
        <f t="shared" si="145"/>
        <v>48</v>
      </c>
      <c r="F1070" s="6">
        <f t="shared" si="146"/>
        <v>4</v>
      </c>
      <c r="G1070" s="6">
        <f t="shared" si="141"/>
        <v>11</v>
      </c>
      <c r="H1070" s="6" t="str">
        <f t="shared" si="142"/>
        <v>11월 4주차</v>
      </c>
      <c r="I1070" s="6" t="str">
        <f>H1070&amp;" ("&amp;TEXT(C1068,"m/dd")&amp;"~"&amp;TEXT(C1074,"m/dd")&amp;")"</f>
        <v>11월 4주차 (11/25~12/01)</v>
      </c>
      <c r="J1070" s="6" t="str">
        <f>A1068&amp;"년 "&amp;WEEKNUM(C1068,2)&amp;"주차"&amp;" ("&amp;TEXT(C1068,"m/dd")&amp;"~"&amp;TEXT(C1074,"m/dd")&amp;")"</f>
        <v>2024년 48주차 (11/25~12/01)</v>
      </c>
      <c r="K1070" s="6">
        <f t="shared" si="139"/>
        <v>2024</v>
      </c>
      <c r="L1070" s="6">
        <f t="shared" si="140"/>
        <v>48</v>
      </c>
    </row>
    <row r="1071" spans="1:12" x14ac:dyDescent="0.45">
      <c r="A1071" s="6">
        <f t="shared" si="143"/>
        <v>2024</v>
      </c>
      <c r="B1071" s="6">
        <f t="shared" si="147"/>
        <v>11</v>
      </c>
      <c r="C1071" s="7">
        <v>45624</v>
      </c>
      <c r="D1071" s="6">
        <f t="shared" si="144"/>
        <v>4</v>
      </c>
      <c r="E1071" s="6">
        <f t="shared" si="145"/>
        <v>48</v>
      </c>
      <c r="F1071" s="6">
        <f t="shared" si="146"/>
        <v>4</v>
      </c>
      <c r="G1071" s="6">
        <f t="shared" si="141"/>
        <v>11</v>
      </c>
      <c r="H1071" s="6" t="str">
        <f t="shared" si="142"/>
        <v>11월 4주차</v>
      </c>
      <c r="I1071" s="6" t="str">
        <f>H1071&amp;" ("&amp;TEXT(C1068,"m/dd")&amp;"~"&amp;TEXT(C1074,"m/dd")&amp;")"</f>
        <v>11월 4주차 (11/25~12/01)</v>
      </c>
      <c r="J1071" s="6" t="str">
        <f>A1068&amp;"년 "&amp;WEEKNUM(C1068,2)&amp;"주차"&amp;" ("&amp;TEXT(C1068,"m/dd")&amp;"~"&amp;TEXT(C1074,"m/dd")&amp;")"</f>
        <v>2024년 48주차 (11/25~12/01)</v>
      </c>
      <c r="K1071" s="6">
        <f t="shared" ref="K1071:K1134" si="148">YEAR(C1071)</f>
        <v>2024</v>
      </c>
      <c r="L1071" s="6">
        <f t="shared" ref="L1071:L1134" si="149">WEEKNUM(C1071,2)</f>
        <v>48</v>
      </c>
    </row>
    <row r="1072" spans="1:12" x14ac:dyDescent="0.45">
      <c r="A1072" s="6">
        <f t="shared" si="143"/>
        <v>2024</v>
      </c>
      <c r="B1072" s="6">
        <f t="shared" si="147"/>
        <v>11</v>
      </c>
      <c r="C1072" s="7">
        <v>45625</v>
      </c>
      <c r="D1072" s="6">
        <f t="shared" si="144"/>
        <v>5</v>
      </c>
      <c r="E1072" s="6">
        <f t="shared" si="145"/>
        <v>48</v>
      </c>
      <c r="F1072" s="6">
        <f t="shared" si="146"/>
        <v>4</v>
      </c>
      <c r="G1072" s="6">
        <f t="shared" si="141"/>
        <v>11</v>
      </c>
      <c r="H1072" s="6" t="str">
        <f t="shared" si="142"/>
        <v>11월 4주차</v>
      </c>
      <c r="I1072" s="6" t="str">
        <f>H1072&amp;" ("&amp;TEXT(C1068,"m/dd")&amp;"~"&amp;TEXT(C1074,"m/dd")&amp;")"</f>
        <v>11월 4주차 (11/25~12/01)</v>
      </c>
      <c r="J1072" s="6" t="str">
        <f>A1068&amp;"년 "&amp;WEEKNUM(C1068,2)&amp;"주차"&amp;" ("&amp;TEXT(C1068,"m/dd")&amp;"~"&amp;TEXT(C1074,"m/dd")&amp;")"</f>
        <v>2024년 48주차 (11/25~12/01)</v>
      </c>
      <c r="K1072" s="6">
        <f t="shared" si="148"/>
        <v>2024</v>
      </c>
      <c r="L1072" s="6">
        <f t="shared" si="149"/>
        <v>48</v>
      </c>
    </row>
    <row r="1073" spans="1:12" x14ac:dyDescent="0.45">
      <c r="A1073" s="6">
        <f t="shared" si="143"/>
        <v>2024</v>
      </c>
      <c r="B1073" s="6">
        <f t="shared" si="147"/>
        <v>11</v>
      </c>
      <c r="C1073" s="7">
        <v>45626</v>
      </c>
      <c r="D1073" s="6">
        <f t="shared" si="144"/>
        <v>6</v>
      </c>
      <c r="E1073" s="6">
        <f t="shared" si="145"/>
        <v>48</v>
      </c>
      <c r="F1073" s="6">
        <f t="shared" si="146"/>
        <v>4</v>
      </c>
      <c r="G1073" s="6">
        <f t="shared" si="141"/>
        <v>11</v>
      </c>
      <c r="H1073" s="6" t="str">
        <f t="shared" si="142"/>
        <v>11월 4주차</v>
      </c>
      <c r="I1073" s="6" t="str">
        <f>H1073&amp;" ("&amp;TEXT(C1068,"m/dd")&amp;"~"&amp;TEXT(C1074,"m/dd")&amp;")"</f>
        <v>11월 4주차 (11/25~12/01)</v>
      </c>
      <c r="J1073" s="6" t="str">
        <f>A1068&amp;"년 "&amp;WEEKNUM(C1068,2)&amp;"주차"&amp;" ("&amp;TEXT(C1068,"m/dd")&amp;"~"&amp;TEXT(C1074,"m/dd")&amp;")"</f>
        <v>2024년 48주차 (11/25~12/01)</v>
      </c>
      <c r="K1073" s="6">
        <f t="shared" si="148"/>
        <v>2024</v>
      </c>
      <c r="L1073" s="6">
        <f t="shared" si="149"/>
        <v>48</v>
      </c>
    </row>
    <row r="1074" spans="1:12" x14ac:dyDescent="0.45">
      <c r="A1074" s="6">
        <f t="shared" si="143"/>
        <v>2024</v>
      </c>
      <c r="B1074" s="6">
        <v>11</v>
      </c>
      <c r="C1074" s="7">
        <v>45627</v>
      </c>
      <c r="D1074" s="6">
        <f t="shared" si="144"/>
        <v>7</v>
      </c>
      <c r="E1074" s="6">
        <f t="shared" si="145"/>
        <v>48</v>
      </c>
      <c r="F1074" s="6">
        <f t="shared" si="146"/>
        <v>4</v>
      </c>
      <c r="G1074" s="6">
        <f t="shared" si="141"/>
        <v>11</v>
      </c>
      <c r="H1074" s="6" t="str">
        <f t="shared" si="142"/>
        <v>11월 4주차</v>
      </c>
      <c r="I1074" s="6" t="str">
        <f>H1074&amp;" ("&amp;TEXT(C1068,"m/dd")&amp;"~"&amp;TEXT(C1074,"m/dd")&amp;")"</f>
        <v>11월 4주차 (11/25~12/01)</v>
      </c>
      <c r="J1074" s="6" t="str">
        <f>A1068&amp;"년 "&amp;WEEKNUM(C1068,2)&amp;"주차"&amp;" ("&amp;TEXT(C1068,"m/dd")&amp;"~"&amp;TEXT(C1074,"m/dd")&amp;")"</f>
        <v>2024년 48주차 (11/25~12/01)</v>
      </c>
      <c r="K1074" s="6">
        <f t="shared" si="148"/>
        <v>2024</v>
      </c>
      <c r="L1074" s="6">
        <f t="shared" si="149"/>
        <v>48</v>
      </c>
    </row>
    <row r="1075" spans="1:12" x14ac:dyDescent="0.45">
      <c r="A1075" s="6">
        <f t="shared" si="143"/>
        <v>2024</v>
      </c>
      <c r="B1075" s="6">
        <f t="shared" si="147"/>
        <v>12</v>
      </c>
      <c r="C1075" s="7">
        <v>45628</v>
      </c>
      <c r="D1075" s="6">
        <f t="shared" si="144"/>
        <v>1</v>
      </c>
      <c r="E1075" s="6">
        <f t="shared" si="145"/>
        <v>49</v>
      </c>
      <c r="F1075" s="6">
        <f t="shared" si="146"/>
        <v>1</v>
      </c>
      <c r="G1075" s="6">
        <f t="shared" si="141"/>
        <v>12</v>
      </c>
      <c r="H1075" s="6" t="str">
        <f t="shared" si="142"/>
        <v>12월 1주차</v>
      </c>
      <c r="I1075" s="6" t="str">
        <f>H1075&amp;" ("&amp;TEXT(C1075,"m/dd")&amp;"~"&amp;TEXT(C1081,"m/dd")&amp;")"</f>
        <v>12월 1주차 (12/02~12/08)</v>
      </c>
      <c r="J1075" s="6" t="str">
        <f>A1075&amp;"년 "&amp;WEEKNUM(C1075,2)&amp;"주차"&amp;" ("&amp;TEXT(C1075,"m/dd")&amp;"~"&amp;TEXT(C1081,"m/dd")&amp;")"</f>
        <v>2024년 49주차 (12/02~12/08)</v>
      </c>
      <c r="K1075" s="6">
        <f t="shared" si="148"/>
        <v>2024</v>
      </c>
      <c r="L1075" s="6">
        <f t="shared" si="149"/>
        <v>49</v>
      </c>
    </row>
    <row r="1076" spans="1:12" x14ac:dyDescent="0.45">
      <c r="A1076" s="6">
        <f t="shared" si="143"/>
        <v>2024</v>
      </c>
      <c r="B1076" s="6">
        <f t="shared" si="147"/>
        <v>12</v>
      </c>
      <c r="C1076" s="7">
        <v>45629</v>
      </c>
      <c r="D1076" s="6">
        <f t="shared" si="144"/>
        <v>2</v>
      </c>
      <c r="E1076" s="6">
        <f t="shared" si="145"/>
        <v>49</v>
      </c>
      <c r="F1076" s="6">
        <f t="shared" si="146"/>
        <v>1</v>
      </c>
      <c r="G1076" s="6">
        <f t="shared" si="141"/>
        <v>12</v>
      </c>
      <c r="H1076" s="6" t="str">
        <f t="shared" si="142"/>
        <v>12월 1주차</v>
      </c>
      <c r="I1076" s="6" t="str">
        <f>H1076&amp;" ("&amp;TEXT(C1075,"m/dd")&amp;"~"&amp;TEXT(C1081,"m/dd")&amp;")"</f>
        <v>12월 1주차 (12/02~12/08)</v>
      </c>
      <c r="J1076" s="6" t="str">
        <f>A1075&amp;"년 "&amp;WEEKNUM(C1075,2)&amp;"주차"&amp;" ("&amp;TEXT(C1075,"m/dd")&amp;"~"&amp;TEXT(C1081,"m/dd")&amp;")"</f>
        <v>2024년 49주차 (12/02~12/08)</v>
      </c>
      <c r="K1076" s="6">
        <f t="shared" si="148"/>
        <v>2024</v>
      </c>
      <c r="L1076" s="6">
        <f t="shared" si="149"/>
        <v>49</v>
      </c>
    </row>
    <row r="1077" spans="1:12" x14ac:dyDescent="0.45">
      <c r="A1077" s="6">
        <f t="shared" si="143"/>
        <v>2024</v>
      </c>
      <c r="B1077" s="6">
        <f t="shared" si="147"/>
        <v>12</v>
      </c>
      <c r="C1077" s="7">
        <v>45630</v>
      </c>
      <c r="D1077" s="6">
        <f t="shared" si="144"/>
        <v>3</v>
      </c>
      <c r="E1077" s="6">
        <f t="shared" si="145"/>
        <v>49</v>
      </c>
      <c r="F1077" s="6">
        <f t="shared" si="146"/>
        <v>1</v>
      </c>
      <c r="G1077" s="6">
        <f t="shared" si="141"/>
        <v>12</v>
      </c>
      <c r="H1077" s="6" t="str">
        <f t="shared" si="142"/>
        <v>12월 1주차</v>
      </c>
      <c r="I1077" s="6" t="str">
        <f>H1077&amp;" ("&amp;TEXT(C1075,"m/dd")&amp;"~"&amp;TEXT(C1081,"m/dd")&amp;")"</f>
        <v>12월 1주차 (12/02~12/08)</v>
      </c>
      <c r="J1077" s="6" t="str">
        <f>A1075&amp;"년 "&amp;WEEKNUM(C1075,2)&amp;"주차"&amp;" ("&amp;TEXT(C1075,"m/dd")&amp;"~"&amp;TEXT(C1081,"m/dd")&amp;")"</f>
        <v>2024년 49주차 (12/02~12/08)</v>
      </c>
      <c r="K1077" s="6">
        <f t="shared" si="148"/>
        <v>2024</v>
      </c>
      <c r="L1077" s="6">
        <f t="shared" si="149"/>
        <v>49</v>
      </c>
    </row>
    <row r="1078" spans="1:12" x14ac:dyDescent="0.45">
      <c r="A1078" s="6">
        <f t="shared" si="143"/>
        <v>2024</v>
      </c>
      <c r="B1078" s="6">
        <f t="shared" si="147"/>
        <v>12</v>
      </c>
      <c r="C1078" s="7">
        <v>45631</v>
      </c>
      <c r="D1078" s="6">
        <f t="shared" si="144"/>
        <v>4</v>
      </c>
      <c r="E1078" s="6">
        <f t="shared" si="145"/>
        <v>49</v>
      </c>
      <c r="F1078" s="6">
        <f t="shared" si="146"/>
        <v>1</v>
      </c>
      <c r="G1078" s="6">
        <f t="shared" si="141"/>
        <v>12</v>
      </c>
      <c r="H1078" s="6" t="str">
        <f t="shared" si="142"/>
        <v>12월 1주차</v>
      </c>
      <c r="I1078" s="6" t="str">
        <f>H1078&amp;" ("&amp;TEXT(C1075,"m/dd")&amp;"~"&amp;TEXT(C1081,"m/dd")&amp;")"</f>
        <v>12월 1주차 (12/02~12/08)</v>
      </c>
      <c r="J1078" s="6" t="str">
        <f>A1075&amp;"년 "&amp;WEEKNUM(C1075,2)&amp;"주차"&amp;" ("&amp;TEXT(C1075,"m/dd")&amp;"~"&amp;TEXT(C1081,"m/dd")&amp;")"</f>
        <v>2024년 49주차 (12/02~12/08)</v>
      </c>
      <c r="K1078" s="6">
        <f t="shared" si="148"/>
        <v>2024</v>
      </c>
      <c r="L1078" s="6">
        <f t="shared" si="149"/>
        <v>49</v>
      </c>
    </row>
    <row r="1079" spans="1:12" x14ac:dyDescent="0.45">
      <c r="A1079" s="6">
        <f t="shared" si="143"/>
        <v>2024</v>
      </c>
      <c r="B1079" s="6">
        <f t="shared" si="147"/>
        <v>12</v>
      </c>
      <c r="C1079" s="7">
        <v>45632</v>
      </c>
      <c r="D1079" s="6">
        <f t="shared" si="144"/>
        <v>5</v>
      </c>
      <c r="E1079" s="6">
        <f t="shared" si="145"/>
        <v>49</v>
      </c>
      <c r="F1079" s="6">
        <f t="shared" si="146"/>
        <v>1</v>
      </c>
      <c r="G1079" s="6">
        <f t="shared" si="141"/>
        <v>12</v>
      </c>
      <c r="H1079" s="6" t="str">
        <f t="shared" si="142"/>
        <v>12월 1주차</v>
      </c>
      <c r="I1079" s="6" t="str">
        <f>H1079&amp;" ("&amp;TEXT(C1075,"m/dd")&amp;"~"&amp;TEXT(C1081,"m/dd")&amp;")"</f>
        <v>12월 1주차 (12/02~12/08)</v>
      </c>
      <c r="J1079" s="6" t="str">
        <f>A1075&amp;"년 "&amp;WEEKNUM(C1075,2)&amp;"주차"&amp;" ("&amp;TEXT(C1075,"m/dd")&amp;"~"&amp;TEXT(C1081,"m/dd")&amp;")"</f>
        <v>2024년 49주차 (12/02~12/08)</v>
      </c>
      <c r="K1079" s="6">
        <f t="shared" si="148"/>
        <v>2024</v>
      </c>
      <c r="L1079" s="6">
        <f t="shared" si="149"/>
        <v>49</v>
      </c>
    </row>
    <row r="1080" spans="1:12" x14ac:dyDescent="0.45">
      <c r="A1080" s="6">
        <f t="shared" si="143"/>
        <v>2024</v>
      </c>
      <c r="B1080" s="6">
        <f t="shared" si="147"/>
        <v>12</v>
      </c>
      <c r="C1080" s="7">
        <v>45633</v>
      </c>
      <c r="D1080" s="6">
        <f t="shared" si="144"/>
        <v>6</v>
      </c>
      <c r="E1080" s="6">
        <f t="shared" si="145"/>
        <v>49</v>
      </c>
      <c r="F1080" s="6">
        <f t="shared" si="146"/>
        <v>1</v>
      </c>
      <c r="G1080" s="6">
        <f t="shared" si="141"/>
        <v>12</v>
      </c>
      <c r="H1080" s="6" t="str">
        <f t="shared" si="142"/>
        <v>12월 1주차</v>
      </c>
      <c r="I1080" s="6" t="str">
        <f>H1080&amp;" ("&amp;TEXT(C1075,"m/dd")&amp;"~"&amp;TEXT(C1081,"m/dd")&amp;")"</f>
        <v>12월 1주차 (12/02~12/08)</v>
      </c>
      <c r="J1080" s="6" t="str">
        <f>A1075&amp;"년 "&amp;WEEKNUM(C1075,2)&amp;"주차"&amp;" ("&amp;TEXT(C1075,"m/dd")&amp;"~"&amp;TEXT(C1081,"m/dd")&amp;")"</f>
        <v>2024년 49주차 (12/02~12/08)</v>
      </c>
      <c r="K1080" s="6">
        <f t="shared" si="148"/>
        <v>2024</v>
      </c>
      <c r="L1080" s="6">
        <f t="shared" si="149"/>
        <v>49</v>
      </c>
    </row>
    <row r="1081" spans="1:12" x14ac:dyDescent="0.45">
      <c r="A1081" s="6">
        <f t="shared" si="143"/>
        <v>2024</v>
      </c>
      <c r="B1081" s="6">
        <f t="shared" si="147"/>
        <v>12</v>
      </c>
      <c r="C1081" s="7">
        <v>45634</v>
      </c>
      <c r="D1081" s="6">
        <f t="shared" si="144"/>
        <v>7</v>
      </c>
      <c r="E1081" s="6">
        <f t="shared" si="145"/>
        <v>49</v>
      </c>
      <c r="F1081" s="6">
        <f t="shared" si="146"/>
        <v>1</v>
      </c>
      <c r="G1081" s="6">
        <f t="shared" si="141"/>
        <v>12</v>
      </c>
      <c r="H1081" s="6" t="str">
        <f t="shared" si="142"/>
        <v>12월 1주차</v>
      </c>
      <c r="I1081" s="6" t="str">
        <f>H1081&amp;" ("&amp;TEXT(C1075,"m/dd")&amp;"~"&amp;TEXT(C1081,"m/dd")&amp;")"</f>
        <v>12월 1주차 (12/02~12/08)</v>
      </c>
      <c r="J1081" s="6" t="str">
        <f>A1075&amp;"년 "&amp;WEEKNUM(C1075,2)&amp;"주차"&amp;" ("&amp;TEXT(C1075,"m/dd")&amp;"~"&amp;TEXT(C1081,"m/dd")&amp;")"</f>
        <v>2024년 49주차 (12/02~12/08)</v>
      </c>
      <c r="K1081" s="6">
        <f t="shared" si="148"/>
        <v>2024</v>
      </c>
      <c r="L1081" s="6">
        <f t="shared" si="149"/>
        <v>49</v>
      </c>
    </row>
    <row r="1082" spans="1:12" x14ac:dyDescent="0.45">
      <c r="A1082" s="6">
        <f t="shared" si="143"/>
        <v>2024</v>
      </c>
      <c r="B1082" s="6">
        <f t="shared" si="147"/>
        <v>12</v>
      </c>
      <c r="C1082" s="7">
        <v>45635</v>
      </c>
      <c r="D1082" s="6">
        <f t="shared" si="144"/>
        <v>1</v>
      </c>
      <c r="E1082" s="6">
        <f t="shared" si="145"/>
        <v>50</v>
      </c>
      <c r="F1082" s="6">
        <f t="shared" si="146"/>
        <v>2</v>
      </c>
      <c r="G1082" s="6">
        <f t="shared" si="141"/>
        <v>12</v>
      </c>
      <c r="H1082" s="6" t="str">
        <f t="shared" si="142"/>
        <v>12월 2주차</v>
      </c>
      <c r="I1082" s="6" t="str">
        <f>H1082&amp;" ("&amp;TEXT(C1082,"m/dd")&amp;"~"&amp;TEXT(C1088,"m/dd")&amp;")"</f>
        <v>12월 2주차 (12/09~12/15)</v>
      </c>
      <c r="J1082" s="6" t="str">
        <f>A1082&amp;"년 "&amp;WEEKNUM(C1082,2)&amp;"주차"&amp;" ("&amp;TEXT(C1082,"m/dd")&amp;"~"&amp;TEXT(C1088,"m/dd")&amp;")"</f>
        <v>2024년 50주차 (12/09~12/15)</v>
      </c>
      <c r="K1082" s="6">
        <f t="shared" si="148"/>
        <v>2024</v>
      </c>
      <c r="L1082" s="6">
        <f t="shared" si="149"/>
        <v>50</v>
      </c>
    </row>
    <row r="1083" spans="1:12" x14ac:dyDescent="0.45">
      <c r="A1083" s="6">
        <f t="shared" si="143"/>
        <v>2024</v>
      </c>
      <c r="B1083" s="6">
        <f t="shared" si="147"/>
        <v>12</v>
      </c>
      <c r="C1083" s="7">
        <v>45636</v>
      </c>
      <c r="D1083" s="6">
        <f t="shared" si="144"/>
        <v>2</v>
      </c>
      <c r="E1083" s="6">
        <f t="shared" si="145"/>
        <v>50</v>
      </c>
      <c r="F1083" s="6">
        <f t="shared" si="146"/>
        <v>2</v>
      </c>
      <c r="G1083" s="6">
        <f t="shared" si="141"/>
        <v>12</v>
      </c>
      <c r="H1083" s="6" t="str">
        <f t="shared" si="142"/>
        <v>12월 2주차</v>
      </c>
      <c r="I1083" s="6" t="str">
        <f>H1083&amp;" ("&amp;TEXT(C1082,"m/dd")&amp;"~"&amp;TEXT(C1088,"m/dd")&amp;")"</f>
        <v>12월 2주차 (12/09~12/15)</v>
      </c>
      <c r="J1083" s="6" t="str">
        <f>A1082&amp;"년 "&amp;WEEKNUM(C1082,2)&amp;"주차"&amp;" ("&amp;TEXT(C1082,"m/dd")&amp;"~"&amp;TEXT(C1088,"m/dd")&amp;")"</f>
        <v>2024년 50주차 (12/09~12/15)</v>
      </c>
      <c r="K1083" s="6">
        <f t="shared" si="148"/>
        <v>2024</v>
      </c>
      <c r="L1083" s="6">
        <f t="shared" si="149"/>
        <v>50</v>
      </c>
    </row>
    <row r="1084" spans="1:12" x14ac:dyDescent="0.45">
      <c r="A1084" s="6">
        <f t="shared" si="143"/>
        <v>2024</v>
      </c>
      <c r="B1084" s="6">
        <f t="shared" si="147"/>
        <v>12</v>
      </c>
      <c r="C1084" s="7">
        <v>45637</v>
      </c>
      <c r="D1084" s="6">
        <f t="shared" si="144"/>
        <v>3</v>
      </c>
      <c r="E1084" s="6">
        <f t="shared" si="145"/>
        <v>50</v>
      </c>
      <c r="F1084" s="6">
        <f t="shared" si="146"/>
        <v>2</v>
      </c>
      <c r="G1084" s="6">
        <f t="shared" si="141"/>
        <v>12</v>
      </c>
      <c r="H1084" s="6" t="str">
        <f t="shared" si="142"/>
        <v>12월 2주차</v>
      </c>
      <c r="I1084" s="6" t="str">
        <f>H1084&amp;" ("&amp;TEXT(C1082,"m/dd")&amp;"~"&amp;TEXT(C1088,"m/dd")&amp;")"</f>
        <v>12월 2주차 (12/09~12/15)</v>
      </c>
      <c r="J1084" s="6" t="str">
        <f>A1082&amp;"년 "&amp;WEEKNUM(C1082,2)&amp;"주차"&amp;" ("&amp;TEXT(C1082,"m/dd")&amp;"~"&amp;TEXT(C1088,"m/dd")&amp;")"</f>
        <v>2024년 50주차 (12/09~12/15)</v>
      </c>
      <c r="K1084" s="6">
        <f t="shared" si="148"/>
        <v>2024</v>
      </c>
      <c r="L1084" s="6">
        <f t="shared" si="149"/>
        <v>50</v>
      </c>
    </row>
    <row r="1085" spans="1:12" x14ac:dyDescent="0.45">
      <c r="A1085" s="6">
        <f t="shared" si="143"/>
        <v>2024</v>
      </c>
      <c r="B1085" s="6">
        <f t="shared" si="147"/>
        <v>12</v>
      </c>
      <c r="C1085" s="7">
        <v>45638</v>
      </c>
      <c r="D1085" s="6">
        <f t="shared" si="144"/>
        <v>4</v>
      </c>
      <c r="E1085" s="6">
        <f t="shared" si="145"/>
        <v>50</v>
      </c>
      <c r="F1085" s="6">
        <f t="shared" si="146"/>
        <v>2</v>
      </c>
      <c r="G1085" s="6">
        <f t="shared" si="141"/>
        <v>12</v>
      </c>
      <c r="H1085" s="6" t="str">
        <f t="shared" si="142"/>
        <v>12월 2주차</v>
      </c>
      <c r="I1085" s="6" t="str">
        <f>H1085&amp;" ("&amp;TEXT(C1082,"m/dd")&amp;"~"&amp;TEXT(C1088,"m/dd")&amp;")"</f>
        <v>12월 2주차 (12/09~12/15)</v>
      </c>
      <c r="J1085" s="6" t="str">
        <f>A1082&amp;"년 "&amp;WEEKNUM(C1082,2)&amp;"주차"&amp;" ("&amp;TEXT(C1082,"m/dd")&amp;"~"&amp;TEXT(C1088,"m/dd")&amp;")"</f>
        <v>2024년 50주차 (12/09~12/15)</v>
      </c>
      <c r="K1085" s="6">
        <f t="shared" si="148"/>
        <v>2024</v>
      </c>
      <c r="L1085" s="6">
        <f t="shared" si="149"/>
        <v>50</v>
      </c>
    </row>
    <row r="1086" spans="1:12" x14ac:dyDescent="0.45">
      <c r="A1086" s="6">
        <f t="shared" si="143"/>
        <v>2024</v>
      </c>
      <c r="B1086" s="6">
        <f t="shared" si="147"/>
        <v>12</v>
      </c>
      <c r="C1086" s="7">
        <v>45639</v>
      </c>
      <c r="D1086" s="6">
        <f t="shared" si="144"/>
        <v>5</v>
      </c>
      <c r="E1086" s="6">
        <f t="shared" si="145"/>
        <v>50</v>
      </c>
      <c r="F1086" s="6">
        <f t="shared" si="146"/>
        <v>2</v>
      </c>
      <c r="G1086" s="6">
        <f t="shared" si="141"/>
        <v>12</v>
      </c>
      <c r="H1086" s="6" t="str">
        <f t="shared" si="142"/>
        <v>12월 2주차</v>
      </c>
      <c r="I1086" s="6" t="str">
        <f>H1086&amp;" ("&amp;TEXT(C1082,"m/dd")&amp;"~"&amp;TEXT(C1088,"m/dd")&amp;")"</f>
        <v>12월 2주차 (12/09~12/15)</v>
      </c>
      <c r="J1086" s="6" t="str">
        <f>A1082&amp;"년 "&amp;WEEKNUM(C1082,2)&amp;"주차"&amp;" ("&amp;TEXT(C1082,"m/dd")&amp;"~"&amp;TEXT(C1088,"m/dd")&amp;")"</f>
        <v>2024년 50주차 (12/09~12/15)</v>
      </c>
      <c r="K1086" s="6">
        <f t="shared" si="148"/>
        <v>2024</v>
      </c>
      <c r="L1086" s="6">
        <f t="shared" si="149"/>
        <v>50</v>
      </c>
    </row>
    <row r="1087" spans="1:12" x14ac:dyDescent="0.45">
      <c r="A1087" s="6">
        <f t="shared" si="143"/>
        <v>2024</v>
      </c>
      <c r="B1087" s="6">
        <f t="shared" si="147"/>
        <v>12</v>
      </c>
      <c r="C1087" s="7">
        <v>45640</v>
      </c>
      <c r="D1087" s="6">
        <f t="shared" si="144"/>
        <v>6</v>
      </c>
      <c r="E1087" s="6">
        <f t="shared" si="145"/>
        <v>50</v>
      </c>
      <c r="F1087" s="6">
        <f t="shared" si="146"/>
        <v>2</v>
      </c>
      <c r="G1087" s="6">
        <f t="shared" si="141"/>
        <v>12</v>
      </c>
      <c r="H1087" s="6" t="str">
        <f t="shared" si="142"/>
        <v>12월 2주차</v>
      </c>
      <c r="I1087" s="6" t="str">
        <f>H1087&amp;" ("&amp;TEXT(C1082,"m/dd")&amp;"~"&amp;TEXT(C1088,"m/dd")&amp;")"</f>
        <v>12월 2주차 (12/09~12/15)</v>
      </c>
      <c r="J1087" s="6" t="str">
        <f>A1082&amp;"년 "&amp;WEEKNUM(C1082,2)&amp;"주차"&amp;" ("&amp;TEXT(C1082,"m/dd")&amp;"~"&amp;TEXT(C1088,"m/dd")&amp;")"</f>
        <v>2024년 50주차 (12/09~12/15)</v>
      </c>
      <c r="K1087" s="6">
        <f t="shared" si="148"/>
        <v>2024</v>
      </c>
      <c r="L1087" s="6">
        <f t="shared" si="149"/>
        <v>50</v>
      </c>
    </row>
    <row r="1088" spans="1:12" x14ac:dyDescent="0.45">
      <c r="A1088" s="6">
        <f t="shared" si="143"/>
        <v>2024</v>
      </c>
      <c r="B1088" s="6">
        <f t="shared" si="147"/>
        <v>12</v>
      </c>
      <c r="C1088" s="7">
        <v>45641</v>
      </c>
      <c r="D1088" s="6">
        <f t="shared" si="144"/>
        <v>7</v>
      </c>
      <c r="E1088" s="6">
        <f t="shared" si="145"/>
        <v>50</v>
      </c>
      <c r="F1088" s="6">
        <f t="shared" si="146"/>
        <v>2</v>
      </c>
      <c r="G1088" s="6">
        <f t="shared" si="141"/>
        <v>12</v>
      </c>
      <c r="H1088" s="6" t="str">
        <f t="shared" si="142"/>
        <v>12월 2주차</v>
      </c>
      <c r="I1088" s="6" t="str">
        <f>H1088&amp;" ("&amp;TEXT(C1082,"m/dd")&amp;"~"&amp;TEXT(C1088,"m/dd")&amp;")"</f>
        <v>12월 2주차 (12/09~12/15)</v>
      </c>
      <c r="J1088" s="6" t="str">
        <f>A1082&amp;"년 "&amp;WEEKNUM(C1082,2)&amp;"주차"&amp;" ("&amp;TEXT(C1082,"m/dd")&amp;"~"&amp;TEXT(C1088,"m/dd")&amp;")"</f>
        <v>2024년 50주차 (12/09~12/15)</v>
      </c>
      <c r="K1088" s="6">
        <f t="shared" si="148"/>
        <v>2024</v>
      </c>
      <c r="L1088" s="6">
        <f t="shared" si="149"/>
        <v>50</v>
      </c>
    </row>
    <row r="1089" spans="1:12" x14ac:dyDescent="0.45">
      <c r="A1089" s="6">
        <f t="shared" si="143"/>
        <v>2024</v>
      </c>
      <c r="B1089" s="6">
        <f t="shared" si="147"/>
        <v>12</v>
      </c>
      <c r="C1089" s="7">
        <v>45642</v>
      </c>
      <c r="D1089" s="6">
        <f t="shared" si="144"/>
        <v>1</v>
      </c>
      <c r="E1089" s="6">
        <f t="shared" si="145"/>
        <v>51</v>
      </c>
      <c r="F1089" s="6">
        <f t="shared" si="146"/>
        <v>3</v>
      </c>
      <c r="G1089" s="6">
        <f t="shared" si="141"/>
        <v>12</v>
      </c>
      <c r="H1089" s="6" t="str">
        <f t="shared" si="142"/>
        <v>12월 3주차</v>
      </c>
      <c r="I1089" s="6" t="str">
        <f>H1089&amp;" ("&amp;TEXT(C1089,"m/dd")&amp;"~"&amp;TEXT(C1095,"m/dd")&amp;")"</f>
        <v>12월 3주차 (12/16~12/22)</v>
      </c>
      <c r="J1089" s="6" t="str">
        <f>A1089&amp;"년 "&amp;WEEKNUM(C1089,2)&amp;"주차"&amp;" ("&amp;TEXT(C1089,"m/dd")&amp;"~"&amp;TEXT(C1095,"m/dd")&amp;")"</f>
        <v>2024년 51주차 (12/16~12/22)</v>
      </c>
      <c r="K1089" s="6">
        <f t="shared" si="148"/>
        <v>2024</v>
      </c>
      <c r="L1089" s="6">
        <f t="shared" si="149"/>
        <v>51</v>
      </c>
    </row>
    <row r="1090" spans="1:12" x14ac:dyDescent="0.45">
      <c r="A1090" s="6">
        <f t="shared" si="143"/>
        <v>2024</v>
      </c>
      <c r="B1090" s="6">
        <f t="shared" si="147"/>
        <v>12</v>
      </c>
      <c r="C1090" s="7">
        <v>45643</v>
      </c>
      <c r="D1090" s="6">
        <f t="shared" si="144"/>
        <v>2</v>
      </c>
      <c r="E1090" s="6">
        <f t="shared" si="145"/>
        <v>51</v>
      </c>
      <c r="F1090" s="6">
        <f t="shared" si="146"/>
        <v>3</v>
      </c>
      <c r="G1090" s="6">
        <f t="shared" si="141"/>
        <v>12</v>
      </c>
      <c r="H1090" s="6" t="str">
        <f t="shared" si="142"/>
        <v>12월 3주차</v>
      </c>
      <c r="I1090" s="6" t="str">
        <f>H1090&amp;" ("&amp;TEXT(C1089,"m/dd")&amp;"~"&amp;TEXT(C1095,"m/dd")&amp;")"</f>
        <v>12월 3주차 (12/16~12/22)</v>
      </c>
      <c r="J1090" s="6" t="str">
        <f>A1089&amp;"년 "&amp;WEEKNUM(C1089,2)&amp;"주차"&amp;" ("&amp;TEXT(C1089,"m/dd")&amp;"~"&amp;TEXT(C1095,"m/dd")&amp;")"</f>
        <v>2024년 51주차 (12/16~12/22)</v>
      </c>
      <c r="K1090" s="6">
        <f t="shared" si="148"/>
        <v>2024</v>
      </c>
      <c r="L1090" s="6">
        <f t="shared" si="149"/>
        <v>51</v>
      </c>
    </row>
    <row r="1091" spans="1:12" x14ac:dyDescent="0.45">
      <c r="A1091" s="6">
        <f t="shared" si="143"/>
        <v>2024</v>
      </c>
      <c r="B1091" s="6">
        <f t="shared" si="147"/>
        <v>12</v>
      </c>
      <c r="C1091" s="7">
        <v>45644</v>
      </c>
      <c r="D1091" s="6">
        <f t="shared" si="144"/>
        <v>3</v>
      </c>
      <c r="E1091" s="6">
        <f t="shared" si="145"/>
        <v>51</v>
      </c>
      <c r="F1091" s="6">
        <f t="shared" si="146"/>
        <v>3</v>
      </c>
      <c r="G1091" s="6">
        <f t="shared" si="141"/>
        <v>12</v>
      </c>
      <c r="H1091" s="6" t="str">
        <f t="shared" si="142"/>
        <v>12월 3주차</v>
      </c>
      <c r="I1091" s="6" t="str">
        <f>H1091&amp;" ("&amp;TEXT(C1089,"m/dd")&amp;"~"&amp;TEXT(C1095,"m/dd")&amp;")"</f>
        <v>12월 3주차 (12/16~12/22)</v>
      </c>
      <c r="J1091" s="6" t="str">
        <f>A1089&amp;"년 "&amp;WEEKNUM(C1089,2)&amp;"주차"&amp;" ("&amp;TEXT(C1089,"m/dd")&amp;"~"&amp;TEXT(C1095,"m/dd")&amp;")"</f>
        <v>2024년 51주차 (12/16~12/22)</v>
      </c>
      <c r="K1091" s="6">
        <f t="shared" si="148"/>
        <v>2024</v>
      </c>
      <c r="L1091" s="6">
        <f t="shared" si="149"/>
        <v>51</v>
      </c>
    </row>
    <row r="1092" spans="1:12" x14ac:dyDescent="0.45">
      <c r="A1092" s="6">
        <f t="shared" si="143"/>
        <v>2024</v>
      </c>
      <c r="B1092" s="6">
        <f t="shared" si="147"/>
        <v>12</v>
      </c>
      <c r="C1092" s="7">
        <v>45645</v>
      </c>
      <c r="D1092" s="6">
        <f t="shared" si="144"/>
        <v>4</v>
      </c>
      <c r="E1092" s="6">
        <f t="shared" si="145"/>
        <v>51</v>
      </c>
      <c r="F1092" s="6">
        <f t="shared" si="146"/>
        <v>3</v>
      </c>
      <c r="G1092" s="6">
        <f t="shared" si="141"/>
        <v>12</v>
      </c>
      <c r="H1092" s="6" t="str">
        <f t="shared" si="142"/>
        <v>12월 3주차</v>
      </c>
      <c r="I1092" s="6" t="str">
        <f>H1092&amp;" ("&amp;TEXT(C1089,"m/dd")&amp;"~"&amp;TEXT(C1095,"m/dd")&amp;")"</f>
        <v>12월 3주차 (12/16~12/22)</v>
      </c>
      <c r="J1092" s="6" t="str">
        <f>A1089&amp;"년 "&amp;WEEKNUM(C1089,2)&amp;"주차"&amp;" ("&amp;TEXT(C1089,"m/dd")&amp;"~"&amp;TEXT(C1095,"m/dd")&amp;")"</f>
        <v>2024년 51주차 (12/16~12/22)</v>
      </c>
      <c r="K1092" s="6">
        <f t="shared" si="148"/>
        <v>2024</v>
      </c>
      <c r="L1092" s="6">
        <f t="shared" si="149"/>
        <v>51</v>
      </c>
    </row>
    <row r="1093" spans="1:12" x14ac:dyDescent="0.45">
      <c r="A1093" s="6">
        <f t="shared" si="143"/>
        <v>2024</v>
      </c>
      <c r="B1093" s="6">
        <f t="shared" si="147"/>
        <v>12</v>
      </c>
      <c r="C1093" s="7">
        <v>45646</v>
      </c>
      <c r="D1093" s="6">
        <f t="shared" si="144"/>
        <v>5</v>
      </c>
      <c r="E1093" s="6">
        <f t="shared" si="145"/>
        <v>51</v>
      </c>
      <c r="F1093" s="6">
        <f t="shared" si="146"/>
        <v>3</v>
      </c>
      <c r="G1093" s="6">
        <f t="shared" si="141"/>
        <v>12</v>
      </c>
      <c r="H1093" s="6" t="str">
        <f t="shared" si="142"/>
        <v>12월 3주차</v>
      </c>
      <c r="I1093" s="6" t="str">
        <f>H1093&amp;" ("&amp;TEXT(C1089,"m/dd")&amp;"~"&amp;TEXT(C1095,"m/dd")&amp;")"</f>
        <v>12월 3주차 (12/16~12/22)</v>
      </c>
      <c r="J1093" s="6" t="str">
        <f>A1089&amp;"년 "&amp;WEEKNUM(C1089,2)&amp;"주차"&amp;" ("&amp;TEXT(C1089,"m/dd")&amp;"~"&amp;TEXT(C1095,"m/dd")&amp;")"</f>
        <v>2024년 51주차 (12/16~12/22)</v>
      </c>
      <c r="K1093" s="6">
        <f t="shared" si="148"/>
        <v>2024</v>
      </c>
      <c r="L1093" s="6">
        <f t="shared" si="149"/>
        <v>51</v>
      </c>
    </row>
    <row r="1094" spans="1:12" x14ac:dyDescent="0.45">
      <c r="A1094" s="6">
        <f t="shared" si="143"/>
        <v>2024</v>
      </c>
      <c r="B1094" s="6">
        <f t="shared" si="147"/>
        <v>12</v>
      </c>
      <c r="C1094" s="7">
        <v>45647</v>
      </c>
      <c r="D1094" s="6">
        <f t="shared" si="144"/>
        <v>6</v>
      </c>
      <c r="E1094" s="6">
        <f t="shared" si="145"/>
        <v>51</v>
      </c>
      <c r="F1094" s="6">
        <f t="shared" si="146"/>
        <v>3</v>
      </c>
      <c r="G1094" s="6">
        <f t="shared" si="141"/>
        <v>12</v>
      </c>
      <c r="H1094" s="6" t="str">
        <f t="shared" si="142"/>
        <v>12월 3주차</v>
      </c>
      <c r="I1094" s="6" t="str">
        <f>H1094&amp;" ("&amp;TEXT(C1089,"m/dd")&amp;"~"&amp;TEXT(C1095,"m/dd")&amp;")"</f>
        <v>12월 3주차 (12/16~12/22)</v>
      </c>
      <c r="J1094" s="6" t="str">
        <f>A1089&amp;"년 "&amp;WEEKNUM(C1089,2)&amp;"주차"&amp;" ("&amp;TEXT(C1089,"m/dd")&amp;"~"&amp;TEXT(C1095,"m/dd")&amp;")"</f>
        <v>2024년 51주차 (12/16~12/22)</v>
      </c>
      <c r="K1094" s="6">
        <f t="shared" si="148"/>
        <v>2024</v>
      </c>
      <c r="L1094" s="6">
        <f t="shared" si="149"/>
        <v>51</v>
      </c>
    </row>
    <row r="1095" spans="1:12" x14ac:dyDescent="0.45">
      <c r="A1095" s="6">
        <f t="shared" si="143"/>
        <v>2024</v>
      </c>
      <c r="B1095" s="6">
        <f t="shared" si="147"/>
        <v>12</v>
      </c>
      <c r="C1095" s="7">
        <v>45648</v>
      </c>
      <c r="D1095" s="6">
        <f t="shared" si="144"/>
        <v>7</v>
      </c>
      <c r="E1095" s="6">
        <f t="shared" si="145"/>
        <v>51</v>
      </c>
      <c r="F1095" s="6">
        <f t="shared" si="146"/>
        <v>3</v>
      </c>
      <c r="G1095" s="6">
        <f t="shared" si="141"/>
        <v>12</v>
      </c>
      <c r="H1095" s="6" t="str">
        <f t="shared" si="142"/>
        <v>12월 3주차</v>
      </c>
      <c r="I1095" s="6" t="str">
        <f>H1095&amp;" ("&amp;TEXT(C1089,"m/dd")&amp;"~"&amp;TEXT(C1095,"m/dd")&amp;")"</f>
        <v>12월 3주차 (12/16~12/22)</v>
      </c>
      <c r="J1095" s="6" t="str">
        <f>A1089&amp;"년 "&amp;WEEKNUM(C1089,2)&amp;"주차"&amp;" ("&amp;TEXT(C1089,"m/dd")&amp;"~"&amp;TEXT(C1095,"m/dd")&amp;")"</f>
        <v>2024년 51주차 (12/16~12/22)</v>
      </c>
      <c r="K1095" s="6">
        <f t="shared" si="148"/>
        <v>2024</v>
      </c>
      <c r="L1095" s="6">
        <f t="shared" si="149"/>
        <v>51</v>
      </c>
    </row>
    <row r="1096" spans="1:12" x14ac:dyDescent="0.45">
      <c r="A1096" s="6">
        <f t="shared" si="143"/>
        <v>2024</v>
      </c>
      <c r="B1096" s="6">
        <f t="shared" si="147"/>
        <v>12</v>
      </c>
      <c r="C1096" s="7">
        <v>45649</v>
      </c>
      <c r="D1096" s="6">
        <f t="shared" si="144"/>
        <v>1</v>
      </c>
      <c r="E1096" s="6">
        <f t="shared" si="145"/>
        <v>52</v>
      </c>
      <c r="F1096" s="6">
        <f t="shared" si="146"/>
        <v>4</v>
      </c>
      <c r="G1096" s="6">
        <f t="shared" si="141"/>
        <v>12</v>
      </c>
      <c r="H1096" s="6" t="str">
        <f t="shared" si="142"/>
        <v>12월 4주차</v>
      </c>
      <c r="I1096" s="6" t="str">
        <f>H1096&amp;" ("&amp;TEXT(C1096,"m/dd")&amp;"~"&amp;TEXT(C1102,"m/dd")&amp;")"</f>
        <v>12월 4주차 (12/23~12/29)</v>
      </c>
      <c r="J1096" s="6" t="str">
        <f>A1096&amp;"년 "&amp;WEEKNUM(C1096,2)&amp;"주차"&amp;" ("&amp;TEXT(C1096,"m/dd")&amp;"~"&amp;TEXT(C1102,"m/dd")&amp;")"</f>
        <v>2024년 52주차 (12/23~12/29)</v>
      </c>
      <c r="K1096" s="6">
        <f t="shared" si="148"/>
        <v>2024</v>
      </c>
      <c r="L1096" s="6">
        <f t="shared" si="149"/>
        <v>52</v>
      </c>
    </row>
    <row r="1097" spans="1:12" x14ac:dyDescent="0.45">
      <c r="A1097" s="6">
        <f t="shared" si="143"/>
        <v>2024</v>
      </c>
      <c r="B1097" s="6">
        <f t="shared" si="147"/>
        <v>12</v>
      </c>
      <c r="C1097" s="7">
        <v>45650</v>
      </c>
      <c r="D1097" s="6">
        <f t="shared" si="144"/>
        <v>2</v>
      </c>
      <c r="E1097" s="6">
        <f t="shared" si="145"/>
        <v>52</v>
      </c>
      <c r="F1097" s="6">
        <f t="shared" si="146"/>
        <v>4</v>
      </c>
      <c r="G1097" s="6">
        <f t="shared" si="141"/>
        <v>12</v>
      </c>
      <c r="H1097" s="6" t="str">
        <f t="shared" si="142"/>
        <v>12월 4주차</v>
      </c>
      <c r="I1097" s="6" t="str">
        <f>H1097&amp;" ("&amp;TEXT(C1096,"m/dd")&amp;"~"&amp;TEXT(C1102,"m/dd")&amp;")"</f>
        <v>12월 4주차 (12/23~12/29)</v>
      </c>
      <c r="J1097" s="6" t="str">
        <f>A1096&amp;"년 "&amp;WEEKNUM(C1096,2)&amp;"주차"&amp;" ("&amp;TEXT(C1096,"m/dd")&amp;"~"&amp;TEXT(C1102,"m/dd")&amp;")"</f>
        <v>2024년 52주차 (12/23~12/29)</v>
      </c>
      <c r="K1097" s="6">
        <f t="shared" si="148"/>
        <v>2024</v>
      </c>
      <c r="L1097" s="6">
        <f t="shared" si="149"/>
        <v>52</v>
      </c>
    </row>
    <row r="1098" spans="1:12" x14ac:dyDescent="0.45">
      <c r="A1098" s="6">
        <f t="shared" si="143"/>
        <v>2024</v>
      </c>
      <c r="B1098" s="6">
        <f t="shared" si="147"/>
        <v>12</v>
      </c>
      <c r="C1098" s="7">
        <v>45651</v>
      </c>
      <c r="D1098" s="6">
        <f t="shared" si="144"/>
        <v>3</v>
      </c>
      <c r="E1098" s="6">
        <f t="shared" si="145"/>
        <v>52</v>
      </c>
      <c r="F1098" s="6">
        <f t="shared" si="146"/>
        <v>4</v>
      </c>
      <c r="G1098" s="6">
        <f t="shared" si="141"/>
        <v>12</v>
      </c>
      <c r="H1098" s="6" t="str">
        <f t="shared" si="142"/>
        <v>12월 4주차</v>
      </c>
      <c r="I1098" s="6" t="str">
        <f>H1098&amp;" ("&amp;TEXT(C1096,"m/dd")&amp;"~"&amp;TEXT(C1102,"m/dd")&amp;")"</f>
        <v>12월 4주차 (12/23~12/29)</v>
      </c>
      <c r="J1098" s="6" t="str">
        <f>A1096&amp;"년 "&amp;WEEKNUM(C1096,2)&amp;"주차"&amp;" ("&amp;TEXT(C1096,"m/dd")&amp;"~"&amp;TEXT(C1102,"m/dd")&amp;")"</f>
        <v>2024년 52주차 (12/23~12/29)</v>
      </c>
      <c r="K1098" s="6">
        <f t="shared" si="148"/>
        <v>2024</v>
      </c>
      <c r="L1098" s="6">
        <f t="shared" si="149"/>
        <v>52</v>
      </c>
    </row>
    <row r="1099" spans="1:12" x14ac:dyDescent="0.45">
      <c r="A1099" s="6">
        <f t="shared" si="143"/>
        <v>2024</v>
      </c>
      <c r="B1099" s="6">
        <f t="shared" si="147"/>
        <v>12</v>
      </c>
      <c r="C1099" s="7">
        <v>45652</v>
      </c>
      <c r="D1099" s="6">
        <f t="shared" si="144"/>
        <v>4</v>
      </c>
      <c r="E1099" s="6">
        <f t="shared" si="145"/>
        <v>52</v>
      </c>
      <c r="F1099" s="6">
        <f t="shared" si="146"/>
        <v>4</v>
      </c>
      <c r="G1099" s="6">
        <f t="shared" ref="G1099:G1162" si="150">IF(LEN(B1099)=1,_xlfn.CONCAT(0,B1099),B1099)</f>
        <v>12</v>
      </c>
      <c r="H1099" s="6" t="str">
        <f t="shared" ref="H1099:H1162" si="151">G1099&amp;"월 "&amp;F1099&amp;"주차"</f>
        <v>12월 4주차</v>
      </c>
      <c r="I1099" s="6" t="str">
        <f>H1099&amp;" ("&amp;TEXT(C1096,"m/dd")&amp;"~"&amp;TEXT(C1102,"m/dd")&amp;")"</f>
        <v>12월 4주차 (12/23~12/29)</v>
      </c>
      <c r="J1099" s="6" t="str">
        <f>A1096&amp;"년 "&amp;WEEKNUM(C1096,2)&amp;"주차"&amp;" ("&amp;TEXT(C1096,"m/dd")&amp;"~"&amp;TEXT(C1102,"m/dd")&amp;")"</f>
        <v>2024년 52주차 (12/23~12/29)</v>
      </c>
      <c r="K1099" s="6">
        <f t="shared" si="148"/>
        <v>2024</v>
      </c>
      <c r="L1099" s="6">
        <f t="shared" si="149"/>
        <v>52</v>
      </c>
    </row>
    <row r="1100" spans="1:12" x14ac:dyDescent="0.45">
      <c r="A1100" s="6">
        <f t="shared" si="143"/>
        <v>2024</v>
      </c>
      <c r="B1100" s="6">
        <f t="shared" si="147"/>
        <v>12</v>
      </c>
      <c r="C1100" s="7">
        <v>45653</v>
      </c>
      <c r="D1100" s="6">
        <f t="shared" si="144"/>
        <v>5</v>
      </c>
      <c r="E1100" s="6">
        <f t="shared" si="145"/>
        <v>52</v>
      </c>
      <c r="F1100" s="6">
        <f t="shared" si="146"/>
        <v>4</v>
      </c>
      <c r="G1100" s="6">
        <f t="shared" si="150"/>
        <v>12</v>
      </c>
      <c r="H1100" s="6" t="str">
        <f t="shared" si="151"/>
        <v>12월 4주차</v>
      </c>
      <c r="I1100" s="6" t="str">
        <f>H1100&amp;" ("&amp;TEXT(C1096,"m/dd")&amp;"~"&amp;TEXT(C1102,"m/dd")&amp;")"</f>
        <v>12월 4주차 (12/23~12/29)</v>
      </c>
      <c r="J1100" s="6" t="str">
        <f>A1096&amp;"년 "&amp;WEEKNUM(C1096,2)&amp;"주차"&amp;" ("&amp;TEXT(C1096,"m/dd")&amp;"~"&amp;TEXT(C1102,"m/dd")&amp;")"</f>
        <v>2024년 52주차 (12/23~12/29)</v>
      </c>
      <c r="K1100" s="6">
        <f t="shared" si="148"/>
        <v>2024</v>
      </c>
      <c r="L1100" s="6">
        <f t="shared" si="149"/>
        <v>52</v>
      </c>
    </row>
    <row r="1101" spans="1:12" x14ac:dyDescent="0.45">
      <c r="A1101" s="6">
        <f t="shared" si="143"/>
        <v>2024</v>
      </c>
      <c r="B1101" s="6">
        <f t="shared" si="147"/>
        <v>12</v>
      </c>
      <c r="C1101" s="7">
        <v>45654</v>
      </c>
      <c r="D1101" s="6">
        <f t="shared" si="144"/>
        <v>6</v>
      </c>
      <c r="E1101" s="6">
        <f t="shared" si="145"/>
        <v>52</v>
      </c>
      <c r="F1101" s="6">
        <f t="shared" si="146"/>
        <v>4</v>
      </c>
      <c r="G1101" s="6">
        <f t="shared" si="150"/>
        <v>12</v>
      </c>
      <c r="H1101" s="6" t="str">
        <f t="shared" si="151"/>
        <v>12월 4주차</v>
      </c>
      <c r="I1101" s="6" t="str">
        <f>H1101&amp;" ("&amp;TEXT(C1096,"m/dd")&amp;"~"&amp;TEXT(C1102,"m/dd")&amp;")"</f>
        <v>12월 4주차 (12/23~12/29)</v>
      </c>
      <c r="J1101" s="6" t="str">
        <f>A1096&amp;"년 "&amp;WEEKNUM(C1096,2)&amp;"주차"&amp;" ("&amp;TEXT(C1096,"m/dd")&amp;"~"&amp;TEXT(C1102,"m/dd")&amp;")"</f>
        <v>2024년 52주차 (12/23~12/29)</v>
      </c>
      <c r="K1101" s="6">
        <f t="shared" si="148"/>
        <v>2024</v>
      </c>
      <c r="L1101" s="6">
        <f t="shared" si="149"/>
        <v>52</v>
      </c>
    </row>
    <row r="1102" spans="1:12" x14ac:dyDescent="0.45">
      <c r="A1102" s="6">
        <f t="shared" si="143"/>
        <v>2024</v>
      </c>
      <c r="B1102" s="6">
        <f t="shared" si="147"/>
        <v>12</v>
      </c>
      <c r="C1102" s="7">
        <v>45655</v>
      </c>
      <c r="D1102" s="6">
        <f t="shared" si="144"/>
        <v>7</v>
      </c>
      <c r="E1102" s="6">
        <f t="shared" si="145"/>
        <v>52</v>
      </c>
      <c r="F1102" s="6">
        <f t="shared" si="146"/>
        <v>4</v>
      </c>
      <c r="G1102" s="6">
        <f t="shared" si="150"/>
        <v>12</v>
      </c>
      <c r="H1102" s="6" t="str">
        <f t="shared" si="151"/>
        <v>12월 4주차</v>
      </c>
      <c r="I1102" s="6" t="str">
        <f>H1102&amp;" ("&amp;TEXT(C1096,"m/dd")&amp;"~"&amp;TEXT(C1102,"m/dd")&amp;")"</f>
        <v>12월 4주차 (12/23~12/29)</v>
      </c>
      <c r="J1102" s="6" t="str">
        <f>A1096&amp;"년 "&amp;WEEKNUM(C1096,2)&amp;"주차"&amp;" ("&amp;TEXT(C1096,"m/dd")&amp;"~"&amp;TEXT(C1102,"m/dd")&amp;")"</f>
        <v>2024년 52주차 (12/23~12/29)</v>
      </c>
      <c r="K1102" s="6">
        <f t="shared" si="148"/>
        <v>2024</v>
      </c>
      <c r="L1102" s="6">
        <f t="shared" si="149"/>
        <v>52</v>
      </c>
    </row>
    <row r="1103" spans="1:12" x14ac:dyDescent="0.45">
      <c r="A1103" s="6">
        <f t="shared" ref="A1103:A1166" si="152">YEAR(C1103)</f>
        <v>2024</v>
      </c>
      <c r="B1103" s="6">
        <f t="shared" si="147"/>
        <v>12</v>
      </c>
      <c r="C1103" s="7">
        <v>45656</v>
      </c>
      <c r="D1103" s="6">
        <f t="shared" si="144"/>
        <v>1</v>
      </c>
      <c r="E1103" s="6">
        <f t="shared" si="145"/>
        <v>53</v>
      </c>
      <c r="F1103" s="6">
        <f t="shared" si="146"/>
        <v>5</v>
      </c>
      <c r="G1103" s="6">
        <f t="shared" si="150"/>
        <v>12</v>
      </c>
      <c r="H1103" s="6" t="str">
        <f t="shared" si="151"/>
        <v>12월 5주차</v>
      </c>
      <c r="I1103" s="6" t="str">
        <f>H1103&amp;" ("&amp;TEXT(C1103,"m/dd")&amp;"~"&amp;TEXT(C1109,"m/dd")&amp;")"</f>
        <v>12월 5주차 (12/30~1/05)</v>
      </c>
      <c r="J1103" s="6" t="str">
        <f>A1103&amp;"년 "&amp;WEEKNUM(C1103,2)&amp;"주차"&amp;" ("&amp;TEXT(C1103,"m/dd")&amp;"~"&amp;TEXT(C1109,"m/dd")&amp;")"</f>
        <v>2024년 53주차 (12/30~1/05)</v>
      </c>
      <c r="K1103" s="6">
        <f t="shared" si="148"/>
        <v>2024</v>
      </c>
      <c r="L1103" s="6">
        <f t="shared" si="149"/>
        <v>53</v>
      </c>
    </row>
    <row r="1104" spans="1:12" x14ac:dyDescent="0.45">
      <c r="A1104" s="6">
        <f t="shared" si="152"/>
        <v>2024</v>
      </c>
      <c r="B1104" s="6">
        <f t="shared" si="147"/>
        <v>12</v>
      </c>
      <c r="C1104" s="7">
        <v>45657</v>
      </c>
      <c r="D1104" s="6">
        <f t="shared" si="144"/>
        <v>2</v>
      </c>
      <c r="E1104" s="6">
        <f t="shared" si="145"/>
        <v>53</v>
      </c>
      <c r="F1104" s="6">
        <f t="shared" si="146"/>
        <v>5</v>
      </c>
      <c r="G1104" s="6">
        <f t="shared" si="150"/>
        <v>12</v>
      </c>
      <c r="H1104" s="6" t="str">
        <f t="shared" si="151"/>
        <v>12월 5주차</v>
      </c>
      <c r="I1104" s="6" t="str">
        <f>H1104&amp;" ("&amp;TEXT(C1103,"m/dd")&amp;"~"&amp;TEXT(C1109,"m/dd")&amp;")"</f>
        <v>12월 5주차 (12/30~1/05)</v>
      </c>
      <c r="J1104" s="6" t="str">
        <f>A1103&amp;"년 "&amp;WEEKNUM(C1103,2)&amp;"주차"&amp;" ("&amp;TEXT(C1103,"m/dd")&amp;"~"&amp;TEXT(C1109,"m/dd")&amp;")"</f>
        <v>2024년 53주차 (12/30~1/05)</v>
      </c>
      <c r="K1104" s="6">
        <f t="shared" si="148"/>
        <v>2024</v>
      </c>
      <c r="L1104" s="6">
        <f t="shared" si="149"/>
        <v>53</v>
      </c>
    </row>
    <row r="1105" spans="1:12" x14ac:dyDescent="0.45">
      <c r="A1105" s="6">
        <f t="shared" si="152"/>
        <v>2025</v>
      </c>
      <c r="B1105" s="6">
        <v>12</v>
      </c>
      <c r="C1105" s="7">
        <v>45658</v>
      </c>
      <c r="D1105" s="6">
        <f t="shared" si="144"/>
        <v>3</v>
      </c>
      <c r="E1105" s="6">
        <f t="shared" si="145"/>
        <v>1</v>
      </c>
      <c r="F1105" s="6">
        <f t="shared" si="146"/>
        <v>5</v>
      </c>
      <c r="G1105" s="6">
        <f t="shared" si="150"/>
        <v>12</v>
      </c>
      <c r="H1105" s="6" t="str">
        <f t="shared" si="151"/>
        <v>12월 5주차</v>
      </c>
      <c r="I1105" s="6" t="str">
        <f>H1105&amp;" ("&amp;TEXT(C1103,"m/dd")&amp;"~"&amp;TEXT(C1109,"m/dd")&amp;")"</f>
        <v>12월 5주차 (12/30~1/05)</v>
      </c>
      <c r="J1105" s="6" t="str">
        <f>A1103&amp;"년 "&amp;WEEKNUM(C1103,2)&amp;"주차"&amp;" ("&amp;TEXT(C1103,"m/dd")&amp;"~"&amp;TEXT(C1109,"m/dd")&amp;")"</f>
        <v>2024년 53주차 (12/30~1/05)</v>
      </c>
      <c r="K1105" s="6">
        <f t="shared" si="148"/>
        <v>2025</v>
      </c>
      <c r="L1105" s="6">
        <f t="shared" si="149"/>
        <v>1</v>
      </c>
    </row>
    <row r="1106" spans="1:12" x14ac:dyDescent="0.45">
      <c r="A1106" s="6">
        <f t="shared" si="152"/>
        <v>2025</v>
      </c>
      <c r="B1106" s="6">
        <v>12</v>
      </c>
      <c r="C1106" s="7">
        <v>45659</v>
      </c>
      <c r="D1106" s="6">
        <f t="shared" si="144"/>
        <v>4</v>
      </c>
      <c r="E1106" s="6">
        <f t="shared" si="145"/>
        <v>1</v>
      </c>
      <c r="F1106" s="6">
        <f t="shared" si="146"/>
        <v>5</v>
      </c>
      <c r="G1106" s="6">
        <f t="shared" si="150"/>
        <v>12</v>
      </c>
      <c r="H1106" s="6" t="str">
        <f t="shared" si="151"/>
        <v>12월 5주차</v>
      </c>
      <c r="I1106" s="6" t="str">
        <f>H1106&amp;" ("&amp;TEXT(C1103,"m/dd")&amp;"~"&amp;TEXT(C1109,"m/dd")&amp;")"</f>
        <v>12월 5주차 (12/30~1/05)</v>
      </c>
      <c r="J1106" s="6" t="str">
        <f>A1103&amp;"년 "&amp;WEEKNUM(C1103,2)&amp;"주차"&amp;" ("&amp;TEXT(C1103,"m/dd")&amp;"~"&amp;TEXT(C1109,"m/dd")&amp;")"</f>
        <v>2024년 53주차 (12/30~1/05)</v>
      </c>
      <c r="K1106" s="6">
        <f t="shared" si="148"/>
        <v>2025</v>
      </c>
      <c r="L1106" s="6">
        <f t="shared" si="149"/>
        <v>1</v>
      </c>
    </row>
    <row r="1107" spans="1:12" x14ac:dyDescent="0.45">
      <c r="A1107" s="6">
        <f t="shared" si="152"/>
        <v>2025</v>
      </c>
      <c r="B1107" s="6">
        <v>12</v>
      </c>
      <c r="C1107" s="7">
        <v>45660</v>
      </c>
      <c r="D1107" s="6">
        <f t="shared" si="144"/>
        <v>5</v>
      </c>
      <c r="E1107" s="6">
        <f t="shared" si="145"/>
        <v>1</v>
      </c>
      <c r="F1107" s="6">
        <f t="shared" si="146"/>
        <v>5</v>
      </c>
      <c r="G1107" s="6">
        <f t="shared" si="150"/>
        <v>12</v>
      </c>
      <c r="H1107" s="6" t="str">
        <f t="shared" si="151"/>
        <v>12월 5주차</v>
      </c>
      <c r="I1107" s="6" t="str">
        <f>H1107&amp;" ("&amp;TEXT(C1103,"m/dd")&amp;"~"&amp;TEXT(C1109,"m/dd")&amp;")"</f>
        <v>12월 5주차 (12/30~1/05)</v>
      </c>
      <c r="J1107" s="6" t="str">
        <f>A1103&amp;"년 "&amp;WEEKNUM(C1103,2)&amp;"주차"&amp;" ("&amp;TEXT(C1103,"m/dd")&amp;"~"&amp;TEXT(C1109,"m/dd")&amp;")"</f>
        <v>2024년 53주차 (12/30~1/05)</v>
      </c>
      <c r="K1107" s="6">
        <f t="shared" si="148"/>
        <v>2025</v>
      </c>
      <c r="L1107" s="6">
        <f t="shared" si="149"/>
        <v>1</v>
      </c>
    </row>
    <row r="1108" spans="1:12" x14ac:dyDescent="0.45">
      <c r="A1108" s="6">
        <f t="shared" si="152"/>
        <v>2025</v>
      </c>
      <c r="B1108" s="6">
        <v>12</v>
      </c>
      <c r="C1108" s="7">
        <v>45661</v>
      </c>
      <c r="D1108" s="6">
        <f t="shared" si="144"/>
        <v>6</v>
      </c>
      <c r="E1108" s="6">
        <f t="shared" si="145"/>
        <v>1</v>
      </c>
      <c r="F1108" s="6">
        <f t="shared" si="146"/>
        <v>5</v>
      </c>
      <c r="G1108" s="6">
        <f t="shared" si="150"/>
        <v>12</v>
      </c>
      <c r="H1108" s="6" t="str">
        <f t="shared" si="151"/>
        <v>12월 5주차</v>
      </c>
      <c r="I1108" s="6" t="str">
        <f>H1108&amp;" ("&amp;TEXT(C1103,"m/dd")&amp;"~"&amp;TEXT(C1109,"m/dd")&amp;")"</f>
        <v>12월 5주차 (12/30~1/05)</v>
      </c>
      <c r="J1108" s="6" t="str">
        <f>A1103&amp;"년 "&amp;WEEKNUM(C1103,2)&amp;"주차"&amp;" ("&amp;TEXT(C1103,"m/dd")&amp;"~"&amp;TEXT(C1109,"m/dd")&amp;")"</f>
        <v>2024년 53주차 (12/30~1/05)</v>
      </c>
      <c r="K1108" s="6">
        <f t="shared" si="148"/>
        <v>2025</v>
      </c>
      <c r="L1108" s="6">
        <f t="shared" si="149"/>
        <v>1</v>
      </c>
    </row>
    <row r="1109" spans="1:12" x14ac:dyDescent="0.45">
      <c r="A1109" s="6">
        <f t="shared" si="152"/>
        <v>2025</v>
      </c>
      <c r="B1109" s="6">
        <v>12</v>
      </c>
      <c r="C1109" s="7">
        <v>45662</v>
      </c>
      <c r="D1109" s="6">
        <f t="shared" si="144"/>
        <v>7</v>
      </c>
      <c r="E1109" s="6">
        <f t="shared" si="145"/>
        <v>1</v>
      </c>
      <c r="F1109" s="6">
        <f t="shared" si="146"/>
        <v>5</v>
      </c>
      <c r="G1109" s="6">
        <f t="shared" si="150"/>
        <v>12</v>
      </c>
      <c r="H1109" s="6" t="str">
        <f t="shared" si="151"/>
        <v>12월 5주차</v>
      </c>
      <c r="I1109" s="6" t="str">
        <f>H1109&amp;" ("&amp;TEXT(C1103,"m/dd")&amp;"~"&amp;TEXT(C1109,"m/dd")&amp;")"</f>
        <v>12월 5주차 (12/30~1/05)</v>
      </c>
      <c r="J1109" s="6" t="str">
        <f>A1103&amp;"년 "&amp;WEEKNUM(C1103,2)&amp;"주차"&amp;" ("&amp;TEXT(C1103,"m/dd")&amp;"~"&amp;TEXT(C1109,"m/dd")&amp;")"</f>
        <v>2024년 53주차 (12/30~1/05)</v>
      </c>
      <c r="K1109" s="6">
        <f t="shared" si="148"/>
        <v>2025</v>
      </c>
      <c r="L1109" s="6">
        <f t="shared" si="149"/>
        <v>1</v>
      </c>
    </row>
    <row r="1110" spans="1:12" x14ac:dyDescent="0.45">
      <c r="A1110" s="6">
        <f t="shared" si="152"/>
        <v>2025</v>
      </c>
      <c r="B1110" s="6">
        <f t="shared" si="147"/>
        <v>1</v>
      </c>
      <c r="C1110" s="7">
        <v>45663</v>
      </c>
      <c r="D1110" s="6">
        <f t="shared" si="144"/>
        <v>1</v>
      </c>
      <c r="E1110" s="6">
        <f t="shared" si="145"/>
        <v>2</v>
      </c>
      <c r="F1110" s="6">
        <f t="shared" si="146"/>
        <v>1</v>
      </c>
      <c r="G1110" s="6" t="str">
        <f t="shared" si="150"/>
        <v>01</v>
      </c>
      <c r="H1110" s="6" t="str">
        <f t="shared" si="151"/>
        <v>01월 1주차</v>
      </c>
      <c r="I1110" s="6" t="str">
        <f>H1110&amp;" ("&amp;TEXT(C1110,"m/dd")&amp;"~"&amp;TEXT(C1116,"m/dd")&amp;")"</f>
        <v>01월 1주차 (1/06~1/12)</v>
      </c>
      <c r="J1110" s="6" t="str">
        <f>A1110&amp;"년 "&amp;WEEKNUM(C1110,2)&amp;"주차"&amp;" ("&amp;TEXT(C1110,"m/dd")&amp;"~"&amp;TEXT(C1116,"m/dd")&amp;")"</f>
        <v>2025년 2주차 (1/06~1/12)</v>
      </c>
      <c r="K1110" s="6">
        <f t="shared" si="148"/>
        <v>2025</v>
      </c>
      <c r="L1110" s="6">
        <f t="shared" si="149"/>
        <v>2</v>
      </c>
    </row>
    <row r="1111" spans="1:12" x14ac:dyDescent="0.45">
      <c r="A1111" s="6">
        <f t="shared" si="152"/>
        <v>2025</v>
      </c>
      <c r="B1111" s="6">
        <f t="shared" si="147"/>
        <v>1</v>
      </c>
      <c r="C1111" s="7">
        <v>45664</v>
      </c>
      <c r="D1111" s="6">
        <f t="shared" ref="D1111:D1174" si="153">WEEKDAY(C1111,2)</f>
        <v>2</v>
      </c>
      <c r="E1111" s="6">
        <f t="shared" ref="E1111:E1174" si="154">WEEKNUM(C1111,2)</f>
        <v>2</v>
      </c>
      <c r="F1111" s="6">
        <f t="shared" ref="F1111:F1174" si="155">WEEKNUM(DATE(YEAR(C1111),1,DAY(C1111-WEEKDAY(C1111,2)+1)),WEEKDAY(DATE(YEAR(C1111),1,1),11)+10)</f>
        <v>1</v>
      </c>
      <c r="G1111" s="6" t="str">
        <f t="shared" si="150"/>
        <v>01</v>
      </c>
      <c r="H1111" s="6" t="str">
        <f t="shared" si="151"/>
        <v>01월 1주차</v>
      </c>
      <c r="I1111" s="6" t="str">
        <f>H1111&amp;" ("&amp;TEXT(C1110,"m/dd")&amp;"~"&amp;TEXT(C1116,"m/dd")&amp;")"</f>
        <v>01월 1주차 (1/06~1/12)</v>
      </c>
      <c r="J1111" s="6" t="str">
        <f>A1110&amp;"년 "&amp;WEEKNUM(C1110,2)&amp;"주차"&amp;" ("&amp;TEXT(C1110,"m/dd")&amp;"~"&amp;TEXT(C1116,"m/dd")&amp;")"</f>
        <v>2025년 2주차 (1/06~1/12)</v>
      </c>
      <c r="K1111" s="6">
        <f t="shared" si="148"/>
        <v>2025</v>
      </c>
      <c r="L1111" s="6">
        <f t="shared" si="149"/>
        <v>2</v>
      </c>
    </row>
    <row r="1112" spans="1:12" x14ac:dyDescent="0.45">
      <c r="A1112" s="6">
        <f t="shared" si="152"/>
        <v>2025</v>
      </c>
      <c r="B1112" s="6">
        <f t="shared" si="147"/>
        <v>1</v>
      </c>
      <c r="C1112" s="7">
        <v>45665</v>
      </c>
      <c r="D1112" s="6">
        <f t="shared" si="153"/>
        <v>3</v>
      </c>
      <c r="E1112" s="6">
        <f t="shared" si="154"/>
        <v>2</v>
      </c>
      <c r="F1112" s="6">
        <f t="shared" si="155"/>
        <v>1</v>
      </c>
      <c r="G1112" s="6" t="str">
        <f t="shared" si="150"/>
        <v>01</v>
      </c>
      <c r="H1112" s="6" t="str">
        <f t="shared" si="151"/>
        <v>01월 1주차</v>
      </c>
      <c r="I1112" s="6" t="str">
        <f>H1112&amp;" ("&amp;TEXT(C1110,"m/dd")&amp;"~"&amp;TEXT(C1116,"m/dd")&amp;")"</f>
        <v>01월 1주차 (1/06~1/12)</v>
      </c>
      <c r="J1112" s="6" t="str">
        <f>A1110&amp;"년 "&amp;WEEKNUM(C1110,2)&amp;"주차"&amp;" ("&amp;TEXT(C1110,"m/dd")&amp;"~"&amp;TEXT(C1116,"m/dd")&amp;")"</f>
        <v>2025년 2주차 (1/06~1/12)</v>
      </c>
      <c r="K1112" s="6">
        <f t="shared" si="148"/>
        <v>2025</v>
      </c>
      <c r="L1112" s="6">
        <f t="shared" si="149"/>
        <v>2</v>
      </c>
    </row>
    <row r="1113" spans="1:12" x14ac:dyDescent="0.45">
      <c r="A1113" s="6">
        <f t="shared" si="152"/>
        <v>2025</v>
      </c>
      <c r="B1113" s="6">
        <f t="shared" si="147"/>
        <v>1</v>
      </c>
      <c r="C1113" s="7">
        <v>45666</v>
      </c>
      <c r="D1113" s="6">
        <f t="shared" si="153"/>
        <v>4</v>
      </c>
      <c r="E1113" s="6">
        <f t="shared" si="154"/>
        <v>2</v>
      </c>
      <c r="F1113" s="6">
        <f t="shared" si="155"/>
        <v>1</v>
      </c>
      <c r="G1113" s="6" t="str">
        <f t="shared" si="150"/>
        <v>01</v>
      </c>
      <c r="H1113" s="6" t="str">
        <f t="shared" si="151"/>
        <v>01월 1주차</v>
      </c>
      <c r="I1113" s="6" t="str">
        <f>H1113&amp;" ("&amp;TEXT(C1110,"m/dd")&amp;"~"&amp;TEXT(C1116,"m/dd")&amp;")"</f>
        <v>01월 1주차 (1/06~1/12)</v>
      </c>
      <c r="J1113" s="6" t="str">
        <f>A1110&amp;"년 "&amp;WEEKNUM(C1110,2)&amp;"주차"&amp;" ("&amp;TEXT(C1110,"m/dd")&amp;"~"&amp;TEXT(C1116,"m/dd")&amp;")"</f>
        <v>2025년 2주차 (1/06~1/12)</v>
      </c>
      <c r="K1113" s="6">
        <f t="shared" si="148"/>
        <v>2025</v>
      </c>
      <c r="L1113" s="6">
        <f t="shared" si="149"/>
        <v>2</v>
      </c>
    </row>
    <row r="1114" spans="1:12" x14ac:dyDescent="0.45">
      <c r="A1114" s="6">
        <f t="shared" si="152"/>
        <v>2025</v>
      </c>
      <c r="B1114" s="6">
        <f t="shared" si="147"/>
        <v>1</v>
      </c>
      <c r="C1114" s="7">
        <v>45667</v>
      </c>
      <c r="D1114" s="6">
        <f t="shared" si="153"/>
        <v>5</v>
      </c>
      <c r="E1114" s="6">
        <f t="shared" si="154"/>
        <v>2</v>
      </c>
      <c r="F1114" s="6">
        <f t="shared" si="155"/>
        <v>1</v>
      </c>
      <c r="G1114" s="6" t="str">
        <f t="shared" si="150"/>
        <v>01</v>
      </c>
      <c r="H1114" s="6" t="str">
        <f t="shared" si="151"/>
        <v>01월 1주차</v>
      </c>
      <c r="I1114" s="6" t="str">
        <f>H1114&amp;" ("&amp;TEXT(C1110,"m/dd")&amp;"~"&amp;TEXT(C1116,"m/dd")&amp;")"</f>
        <v>01월 1주차 (1/06~1/12)</v>
      </c>
      <c r="J1114" s="6" t="str">
        <f>A1110&amp;"년 "&amp;WEEKNUM(C1110,2)&amp;"주차"&amp;" ("&amp;TEXT(C1110,"m/dd")&amp;"~"&amp;TEXT(C1116,"m/dd")&amp;")"</f>
        <v>2025년 2주차 (1/06~1/12)</v>
      </c>
      <c r="K1114" s="6">
        <f t="shared" si="148"/>
        <v>2025</v>
      </c>
      <c r="L1114" s="6">
        <f t="shared" si="149"/>
        <v>2</v>
      </c>
    </row>
    <row r="1115" spans="1:12" x14ac:dyDescent="0.45">
      <c r="A1115" s="6">
        <f t="shared" si="152"/>
        <v>2025</v>
      </c>
      <c r="B1115" s="6">
        <f t="shared" si="147"/>
        <v>1</v>
      </c>
      <c r="C1115" s="7">
        <v>45668</v>
      </c>
      <c r="D1115" s="6">
        <f t="shared" si="153"/>
        <v>6</v>
      </c>
      <c r="E1115" s="6">
        <f t="shared" si="154"/>
        <v>2</v>
      </c>
      <c r="F1115" s="6">
        <f t="shared" si="155"/>
        <v>1</v>
      </c>
      <c r="G1115" s="6" t="str">
        <f t="shared" si="150"/>
        <v>01</v>
      </c>
      <c r="H1115" s="6" t="str">
        <f t="shared" si="151"/>
        <v>01월 1주차</v>
      </c>
      <c r="I1115" s="6" t="str">
        <f>H1115&amp;" ("&amp;TEXT(C1110,"m/dd")&amp;"~"&amp;TEXT(C1116,"m/dd")&amp;")"</f>
        <v>01월 1주차 (1/06~1/12)</v>
      </c>
      <c r="J1115" s="6" t="str">
        <f>A1110&amp;"년 "&amp;WEEKNUM(C1110,2)&amp;"주차"&amp;" ("&amp;TEXT(C1110,"m/dd")&amp;"~"&amp;TEXT(C1116,"m/dd")&amp;")"</f>
        <v>2025년 2주차 (1/06~1/12)</v>
      </c>
      <c r="K1115" s="6">
        <f t="shared" si="148"/>
        <v>2025</v>
      </c>
      <c r="L1115" s="6">
        <f t="shared" si="149"/>
        <v>2</v>
      </c>
    </row>
    <row r="1116" spans="1:12" x14ac:dyDescent="0.45">
      <c r="A1116" s="6">
        <f t="shared" si="152"/>
        <v>2025</v>
      </c>
      <c r="B1116" s="6">
        <f t="shared" si="147"/>
        <v>1</v>
      </c>
      <c r="C1116" s="7">
        <v>45669</v>
      </c>
      <c r="D1116" s="6">
        <f t="shared" si="153"/>
        <v>7</v>
      </c>
      <c r="E1116" s="6">
        <f t="shared" si="154"/>
        <v>2</v>
      </c>
      <c r="F1116" s="6">
        <f t="shared" si="155"/>
        <v>1</v>
      </c>
      <c r="G1116" s="6" t="str">
        <f t="shared" si="150"/>
        <v>01</v>
      </c>
      <c r="H1116" s="6" t="str">
        <f t="shared" si="151"/>
        <v>01월 1주차</v>
      </c>
      <c r="I1116" s="6" t="str">
        <f>H1116&amp;" ("&amp;TEXT(C1110,"m/dd")&amp;"~"&amp;TEXT(C1116,"m/dd")&amp;")"</f>
        <v>01월 1주차 (1/06~1/12)</v>
      </c>
      <c r="J1116" s="6" t="str">
        <f>A1110&amp;"년 "&amp;WEEKNUM(C1110,2)&amp;"주차"&amp;" ("&amp;TEXT(C1110,"m/dd")&amp;"~"&amp;TEXT(C1116,"m/dd")&amp;")"</f>
        <v>2025년 2주차 (1/06~1/12)</v>
      </c>
      <c r="K1116" s="6">
        <f t="shared" si="148"/>
        <v>2025</v>
      </c>
      <c r="L1116" s="6">
        <f t="shared" si="149"/>
        <v>2</v>
      </c>
    </row>
    <row r="1117" spans="1:12" x14ac:dyDescent="0.45">
      <c r="A1117" s="6">
        <f t="shared" si="152"/>
        <v>2025</v>
      </c>
      <c r="B1117" s="6">
        <f t="shared" si="147"/>
        <v>1</v>
      </c>
      <c r="C1117" s="7">
        <v>45670</v>
      </c>
      <c r="D1117" s="6">
        <f t="shared" si="153"/>
        <v>1</v>
      </c>
      <c r="E1117" s="6">
        <f t="shared" si="154"/>
        <v>3</v>
      </c>
      <c r="F1117" s="6">
        <f t="shared" si="155"/>
        <v>2</v>
      </c>
      <c r="G1117" s="6" t="str">
        <f t="shared" si="150"/>
        <v>01</v>
      </c>
      <c r="H1117" s="6" t="str">
        <f t="shared" si="151"/>
        <v>01월 2주차</v>
      </c>
      <c r="I1117" s="6" t="str">
        <f>H1117&amp;" ("&amp;TEXT(C1117,"m/dd")&amp;"~"&amp;TEXT(C1123,"m/dd")&amp;")"</f>
        <v>01월 2주차 (1/13~1/19)</v>
      </c>
      <c r="J1117" s="6" t="str">
        <f>A1117&amp;"년 "&amp;WEEKNUM(C1117,2)&amp;"주차"&amp;" ("&amp;TEXT(C1117,"m/dd")&amp;"~"&amp;TEXT(C1123,"m/dd")&amp;")"</f>
        <v>2025년 3주차 (1/13~1/19)</v>
      </c>
      <c r="K1117" s="6">
        <f t="shared" si="148"/>
        <v>2025</v>
      </c>
      <c r="L1117" s="6">
        <f t="shared" si="149"/>
        <v>3</v>
      </c>
    </row>
    <row r="1118" spans="1:12" x14ac:dyDescent="0.45">
      <c r="A1118" s="6">
        <f t="shared" si="152"/>
        <v>2025</v>
      </c>
      <c r="B1118" s="6">
        <f t="shared" si="147"/>
        <v>1</v>
      </c>
      <c r="C1118" s="7">
        <v>45671</v>
      </c>
      <c r="D1118" s="6">
        <f t="shared" si="153"/>
        <v>2</v>
      </c>
      <c r="E1118" s="6">
        <f t="shared" si="154"/>
        <v>3</v>
      </c>
      <c r="F1118" s="6">
        <f t="shared" si="155"/>
        <v>2</v>
      </c>
      <c r="G1118" s="6" t="str">
        <f t="shared" si="150"/>
        <v>01</v>
      </c>
      <c r="H1118" s="6" t="str">
        <f t="shared" si="151"/>
        <v>01월 2주차</v>
      </c>
      <c r="I1118" s="6" t="str">
        <f>H1118&amp;" ("&amp;TEXT(C1117,"m/dd")&amp;"~"&amp;TEXT(C1123,"m/dd")&amp;")"</f>
        <v>01월 2주차 (1/13~1/19)</v>
      </c>
      <c r="J1118" s="6" t="str">
        <f>A1117&amp;"년 "&amp;WEEKNUM(C1117,2)&amp;"주차"&amp;" ("&amp;TEXT(C1117,"m/dd")&amp;"~"&amp;TEXT(C1123,"m/dd")&amp;")"</f>
        <v>2025년 3주차 (1/13~1/19)</v>
      </c>
      <c r="K1118" s="6">
        <f t="shared" si="148"/>
        <v>2025</v>
      </c>
      <c r="L1118" s="6">
        <f t="shared" si="149"/>
        <v>3</v>
      </c>
    </row>
    <row r="1119" spans="1:12" x14ac:dyDescent="0.45">
      <c r="A1119" s="6">
        <f t="shared" si="152"/>
        <v>2025</v>
      </c>
      <c r="B1119" s="6">
        <f t="shared" si="147"/>
        <v>1</v>
      </c>
      <c r="C1119" s="7">
        <v>45672</v>
      </c>
      <c r="D1119" s="6">
        <f t="shared" si="153"/>
        <v>3</v>
      </c>
      <c r="E1119" s="6">
        <f t="shared" si="154"/>
        <v>3</v>
      </c>
      <c r="F1119" s="6">
        <f t="shared" si="155"/>
        <v>2</v>
      </c>
      <c r="G1119" s="6" t="str">
        <f t="shared" si="150"/>
        <v>01</v>
      </c>
      <c r="H1119" s="6" t="str">
        <f t="shared" si="151"/>
        <v>01월 2주차</v>
      </c>
      <c r="I1119" s="6" t="str">
        <f>H1119&amp;" ("&amp;TEXT(C1117,"m/dd")&amp;"~"&amp;TEXT(C1123,"m/dd")&amp;")"</f>
        <v>01월 2주차 (1/13~1/19)</v>
      </c>
      <c r="J1119" s="6" t="str">
        <f>A1117&amp;"년 "&amp;WEEKNUM(C1117,2)&amp;"주차"&amp;" ("&amp;TEXT(C1117,"m/dd")&amp;"~"&amp;TEXT(C1123,"m/dd")&amp;")"</f>
        <v>2025년 3주차 (1/13~1/19)</v>
      </c>
      <c r="K1119" s="6">
        <f t="shared" si="148"/>
        <v>2025</v>
      </c>
      <c r="L1119" s="6">
        <f t="shared" si="149"/>
        <v>3</v>
      </c>
    </row>
    <row r="1120" spans="1:12" x14ac:dyDescent="0.45">
      <c r="A1120" s="6">
        <f t="shared" si="152"/>
        <v>2025</v>
      </c>
      <c r="B1120" s="6">
        <f t="shared" si="147"/>
        <v>1</v>
      </c>
      <c r="C1120" s="7">
        <v>45673</v>
      </c>
      <c r="D1120" s="6">
        <f t="shared" si="153"/>
        <v>4</v>
      </c>
      <c r="E1120" s="6">
        <f t="shared" si="154"/>
        <v>3</v>
      </c>
      <c r="F1120" s="6">
        <f t="shared" si="155"/>
        <v>2</v>
      </c>
      <c r="G1120" s="6" t="str">
        <f t="shared" si="150"/>
        <v>01</v>
      </c>
      <c r="H1120" s="6" t="str">
        <f t="shared" si="151"/>
        <v>01월 2주차</v>
      </c>
      <c r="I1120" s="6" t="str">
        <f>H1120&amp;" ("&amp;TEXT(C1117,"m/dd")&amp;"~"&amp;TEXT(C1123,"m/dd")&amp;")"</f>
        <v>01월 2주차 (1/13~1/19)</v>
      </c>
      <c r="J1120" s="6" t="str">
        <f>A1117&amp;"년 "&amp;WEEKNUM(C1117,2)&amp;"주차"&amp;" ("&amp;TEXT(C1117,"m/dd")&amp;"~"&amp;TEXT(C1123,"m/dd")&amp;")"</f>
        <v>2025년 3주차 (1/13~1/19)</v>
      </c>
      <c r="K1120" s="6">
        <f t="shared" si="148"/>
        <v>2025</v>
      </c>
      <c r="L1120" s="6">
        <f t="shared" si="149"/>
        <v>3</v>
      </c>
    </row>
    <row r="1121" spans="1:12" x14ac:dyDescent="0.45">
      <c r="A1121" s="6">
        <f t="shared" si="152"/>
        <v>2025</v>
      </c>
      <c r="B1121" s="6">
        <f t="shared" si="147"/>
        <v>1</v>
      </c>
      <c r="C1121" s="7">
        <v>45674</v>
      </c>
      <c r="D1121" s="6">
        <f t="shared" si="153"/>
        <v>5</v>
      </c>
      <c r="E1121" s="6">
        <f t="shared" si="154"/>
        <v>3</v>
      </c>
      <c r="F1121" s="6">
        <f t="shared" si="155"/>
        <v>2</v>
      </c>
      <c r="G1121" s="6" t="str">
        <f t="shared" si="150"/>
        <v>01</v>
      </c>
      <c r="H1121" s="6" t="str">
        <f t="shared" si="151"/>
        <v>01월 2주차</v>
      </c>
      <c r="I1121" s="6" t="str">
        <f>H1121&amp;" ("&amp;TEXT(C1117,"m/dd")&amp;"~"&amp;TEXT(C1123,"m/dd")&amp;")"</f>
        <v>01월 2주차 (1/13~1/19)</v>
      </c>
      <c r="J1121" s="6" t="str">
        <f>A1117&amp;"년 "&amp;WEEKNUM(C1117,2)&amp;"주차"&amp;" ("&amp;TEXT(C1117,"m/dd")&amp;"~"&amp;TEXT(C1123,"m/dd")&amp;")"</f>
        <v>2025년 3주차 (1/13~1/19)</v>
      </c>
      <c r="K1121" s="6">
        <f t="shared" si="148"/>
        <v>2025</v>
      </c>
      <c r="L1121" s="6">
        <f t="shared" si="149"/>
        <v>3</v>
      </c>
    </row>
    <row r="1122" spans="1:12" x14ac:dyDescent="0.45">
      <c r="A1122" s="6">
        <f t="shared" si="152"/>
        <v>2025</v>
      </c>
      <c r="B1122" s="6">
        <f t="shared" si="147"/>
        <v>1</v>
      </c>
      <c r="C1122" s="7">
        <v>45675</v>
      </c>
      <c r="D1122" s="6">
        <f t="shared" si="153"/>
        <v>6</v>
      </c>
      <c r="E1122" s="6">
        <f t="shared" si="154"/>
        <v>3</v>
      </c>
      <c r="F1122" s="6">
        <f t="shared" si="155"/>
        <v>2</v>
      </c>
      <c r="G1122" s="6" t="str">
        <f t="shared" si="150"/>
        <v>01</v>
      </c>
      <c r="H1122" s="6" t="str">
        <f t="shared" si="151"/>
        <v>01월 2주차</v>
      </c>
      <c r="I1122" s="6" t="str">
        <f>H1122&amp;" ("&amp;TEXT(C1117,"m/dd")&amp;"~"&amp;TEXT(C1123,"m/dd")&amp;")"</f>
        <v>01월 2주차 (1/13~1/19)</v>
      </c>
      <c r="J1122" s="6" t="str">
        <f>A1117&amp;"년 "&amp;WEEKNUM(C1117,2)&amp;"주차"&amp;" ("&amp;TEXT(C1117,"m/dd")&amp;"~"&amp;TEXT(C1123,"m/dd")&amp;")"</f>
        <v>2025년 3주차 (1/13~1/19)</v>
      </c>
      <c r="K1122" s="6">
        <f t="shared" si="148"/>
        <v>2025</v>
      </c>
      <c r="L1122" s="6">
        <f t="shared" si="149"/>
        <v>3</v>
      </c>
    </row>
    <row r="1123" spans="1:12" x14ac:dyDescent="0.45">
      <c r="A1123" s="6">
        <f t="shared" si="152"/>
        <v>2025</v>
      </c>
      <c r="B1123" s="6">
        <f t="shared" si="147"/>
        <v>1</v>
      </c>
      <c r="C1123" s="7">
        <v>45676</v>
      </c>
      <c r="D1123" s="6">
        <f t="shared" si="153"/>
        <v>7</v>
      </c>
      <c r="E1123" s="6">
        <f t="shared" si="154"/>
        <v>3</v>
      </c>
      <c r="F1123" s="6">
        <f t="shared" si="155"/>
        <v>2</v>
      </c>
      <c r="G1123" s="6" t="str">
        <f t="shared" si="150"/>
        <v>01</v>
      </c>
      <c r="H1123" s="6" t="str">
        <f t="shared" si="151"/>
        <v>01월 2주차</v>
      </c>
      <c r="I1123" s="6" t="str">
        <f>H1123&amp;" ("&amp;TEXT(C1117,"m/dd")&amp;"~"&amp;TEXT(C1123,"m/dd")&amp;")"</f>
        <v>01월 2주차 (1/13~1/19)</v>
      </c>
      <c r="J1123" s="6" t="str">
        <f>A1117&amp;"년 "&amp;WEEKNUM(C1117,2)&amp;"주차"&amp;" ("&amp;TEXT(C1117,"m/dd")&amp;"~"&amp;TEXT(C1123,"m/dd")&amp;")"</f>
        <v>2025년 3주차 (1/13~1/19)</v>
      </c>
      <c r="K1123" s="6">
        <f t="shared" si="148"/>
        <v>2025</v>
      </c>
      <c r="L1123" s="6">
        <f t="shared" si="149"/>
        <v>3</v>
      </c>
    </row>
    <row r="1124" spans="1:12" x14ac:dyDescent="0.45">
      <c r="A1124" s="6">
        <f t="shared" si="152"/>
        <v>2025</v>
      </c>
      <c r="B1124" s="6">
        <f t="shared" si="147"/>
        <v>1</v>
      </c>
      <c r="C1124" s="7">
        <v>45677</v>
      </c>
      <c r="D1124" s="6">
        <f t="shared" si="153"/>
        <v>1</v>
      </c>
      <c r="E1124" s="6">
        <f t="shared" si="154"/>
        <v>4</v>
      </c>
      <c r="F1124" s="6">
        <f t="shared" si="155"/>
        <v>3</v>
      </c>
      <c r="G1124" s="6" t="str">
        <f t="shared" si="150"/>
        <v>01</v>
      </c>
      <c r="H1124" s="6" t="str">
        <f t="shared" si="151"/>
        <v>01월 3주차</v>
      </c>
      <c r="I1124" s="6" t="str">
        <f>H1124&amp;" ("&amp;TEXT(C1124,"m/dd")&amp;"~"&amp;TEXT(C1130,"m/dd")&amp;")"</f>
        <v>01월 3주차 (1/20~1/26)</v>
      </c>
      <c r="J1124" s="6" t="str">
        <f>A1124&amp;"년 "&amp;WEEKNUM(C1124,2)&amp;"주차"&amp;" ("&amp;TEXT(C1124,"m/dd")&amp;"~"&amp;TEXT(C1130,"m/dd")&amp;")"</f>
        <v>2025년 4주차 (1/20~1/26)</v>
      </c>
      <c r="K1124" s="6">
        <f t="shared" si="148"/>
        <v>2025</v>
      </c>
      <c r="L1124" s="6">
        <f t="shared" si="149"/>
        <v>4</v>
      </c>
    </row>
    <row r="1125" spans="1:12" x14ac:dyDescent="0.45">
      <c r="A1125" s="6">
        <f t="shared" si="152"/>
        <v>2025</v>
      </c>
      <c r="B1125" s="6">
        <f t="shared" si="147"/>
        <v>1</v>
      </c>
      <c r="C1125" s="7">
        <v>45678</v>
      </c>
      <c r="D1125" s="6">
        <f t="shared" si="153"/>
        <v>2</v>
      </c>
      <c r="E1125" s="6">
        <f t="shared" si="154"/>
        <v>4</v>
      </c>
      <c r="F1125" s="6">
        <f t="shared" si="155"/>
        <v>3</v>
      </c>
      <c r="G1125" s="6" t="str">
        <f t="shared" si="150"/>
        <v>01</v>
      </c>
      <c r="H1125" s="6" t="str">
        <f t="shared" si="151"/>
        <v>01월 3주차</v>
      </c>
      <c r="I1125" s="6" t="str">
        <f>H1125&amp;" ("&amp;TEXT(C1124,"m/dd")&amp;"~"&amp;TEXT(C1130,"m/dd")&amp;")"</f>
        <v>01월 3주차 (1/20~1/26)</v>
      </c>
      <c r="J1125" s="6" t="str">
        <f>A1124&amp;"년 "&amp;WEEKNUM(C1124,2)&amp;"주차"&amp;" ("&amp;TEXT(C1124,"m/dd")&amp;"~"&amp;TEXT(C1130,"m/dd")&amp;")"</f>
        <v>2025년 4주차 (1/20~1/26)</v>
      </c>
      <c r="K1125" s="6">
        <f t="shared" si="148"/>
        <v>2025</v>
      </c>
      <c r="L1125" s="6">
        <f t="shared" si="149"/>
        <v>4</v>
      </c>
    </row>
    <row r="1126" spans="1:12" x14ac:dyDescent="0.45">
      <c r="A1126" s="6">
        <f t="shared" si="152"/>
        <v>2025</v>
      </c>
      <c r="B1126" s="6">
        <f t="shared" ref="B1126:B1189" si="156">MONTH(C1126)</f>
        <v>1</v>
      </c>
      <c r="C1126" s="7">
        <v>45679</v>
      </c>
      <c r="D1126" s="6">
        <f t="shared" si="153"/>
        <v>3</v>
      </c>
      <c r="E1126" s="6">
        <f t="shared" si="154"/>
        <v>4</v>
      </c>
      <c r="F1126" s="6">
        <f t="shared" si="155"/>
        <v>3</v>
      </c>
      <c r="G1126" s="6" t="str">
        <f t="shared" si="150"/>
        <v>01</v>
      </c>
      <c r="H1126" s="6" t="str">
        <f t="shared" si="151"/>
        <v>01월 3주차</v>
      </c>
      <c r="I1126" s="6" t="str">
        <f>H1126&amp;" ("&amp;TEXT(C1124,"m/dd")&amp;"~"&amp;TEXT(C1130,"m/dd")&amp;")"</f>
        <v>01월 3주차 (1/20~1/26)</v>
      </c>
      <c r="J1126" s="6" t="str">
        <f>A1124&amp;"년 "&amp;WEEKNUM(C1124,2)&amp;"주차"&amp;" ("&amp;TEXT(C1124,"m/dd")&amp;"~"&amp;TEXT(C1130,"m/dd")&amp;")"</f>
        <v>2025년 4주차 (1/20~1/26)</v>
      </c>
      <c r="K1126" s="6">
        <f t="shared" si="148"/>
        <v>2025</v>
      </c>
      <c r="L1126" s="6">
        <f t="shared" si="149"/>
        <v>4</v>
      </c>
    </row>
    <row r="1127" spans="1:12" x14ac:dyDescent="0.45">
      <c r="A1127" s="6">
        <f t="shared" si="152"/>
        <v>2025</v>
      </c>
      <c r="B1127" s="6">
        <f t="shared" si="156"/>
        <v>1</v>
      </c>
      <c r="C1127" s="7">
        <v>45680</v>
      </c>
      <c r="D1127" s="6">
        <f t="shared" si="153"/>
        <v>4</v>
      </c>
      <c r="E1127" s="6">
        <f t="shared" si="154"/>
        <v>4</v>
      </c>
      <c r="F1127" s="6">
        <f t="shared" si="155"/>
        <v>3</v>
      </c>
      <c r="G1127" s="6" t="str">
        <f t="shared" si="150"/>
        <v>01</v>
      </c>
      <c r="H1127" s="6" t="str">
        <f t="shared" si="151"/>
        <v>01월 3주차</v>
      </c>
      <c r="I1127" s="6" t="str">
        <f>H1127&amp;" ("&amp;TEXT(C1124,"m/dd")&amp;"~"&amp;TEXT(C1130,"m/dd")&amp;")"</f>
        <v>01월 3주차 (1/20~1/26)</v>
      </c>
      <c r="J1127" s="6" t="str">
        <f>A1124&amp;"년 "&amp;WEEKNUM(C1124,2)&amp;"주차"&amp;" ("&amp;TEXT(C1124,"m/dd")&amp;"~"&amp;TEXT(C1130,"m/dd")&amp;")"</f>
        <v>2025년 4주차 (1/20~1/26)</v>
      </c>
      <c r="K1127" s="6">
        <f t="shared" si="148"/>
        <v>2025</v>
      </c>
      <c r="L1127" s="6">
        <f t="shared" si="149"/>
        <v>4</v>
      </c>
    </row>
    <row r="1128" spans="1:12" x14ac:dyDescent="0.45">
      <c r="A1128" s="6">
        <f t="shared" si="152"/>
        <v>2025</v>
      </c>
      <c r="B1128" s="6">
        <f t="shared" si="156"/>
        <v>1</v>
      </c>
      <c r="C1128" s="7">
        <v>45681</v>
      </c>
      <c r="D1128" s="6">
        <f t="shared" si="153"/>
        <v>5</v>
      </c>
      <c r="E1128" s="6">
        <f t="shared" si="154"/>
        <v>4</v>
      </c>
      <c r="F1128" s="6">
        <f t="shared" si="155"/>
        <v>3</v>
      </c>
      <c r="G1128" s="6" t="str">
        <f t="shared" si="150"/>
        <v>01</v>
      </c>
      <c r="H1128" s="6" t="str">
        <f t="shared" si="151"/>
        <v>01월 3주차</v>
      </c>
      <c r="I1128" s="6" t="str">
        <f>H1128&amp;" ("&amp;TEXT(C1124,"m/dd")&amp;"~"&amp;TEXT(C1130,"m/dd")&amp;")"</f>
        <v>01월 3주차 (1/20~1/26)</v>
      </c>
      <c r="J1128" s="6" t="str">
        <f>A1124&amp;"년 "&amp;WEEKNUM(C1124,2)&amp;"주차"&amp;" ("&amp;TEXT(C1124,"m/dd")&amp;"~"&amp;TEXT(C1130,"m/dd")&amp;")"</f>
        <v>2025년 4주차 (1/20~1/26)</v>
      </c>
      <c r="K1128" s="6">
        <f t="shared" si="148"/>
        <v>2025</v>
      </c>
      <c r="L1128" s="6">
        <f t="shared" si="149"/>
        <v>4</v>
      </c>
    </row>
    <row r="1129" spans="1:12" x14ac:dyDescent="0.45">
      <c r="A1129" s="6">
        <f t="shared" si="152"/>
        <v>2025</v>
      </c>
      <c r="B1129" s="6">
        <f t="shared" si="156"/>
        <v>1</v>
      </c>
      <c r="C1129" s="7">
        <v>45682</v>
      </c>
      <c r="D1129" s="6">
        <f t="shared" si="153"/>
        <v>6</v>
      </c>
      <c r="E1129" s="6">
        <f t="shared" si="154"/>
        <v>4</v>
      </c>
      <c r="F1129" s="6">
        <f t="shared" si="155"/>
        <v>3</v>
      </c>
      <c r="G1129" s="6" t="str">
        <f t="shared" si="150"/>
        <v>01</v>
      </c>
      <c r="H1129" s="6" t="str">
        <f t="shared" si="151"/>
        <v>01월 3주차</v>
      </c>
      <c r="I1129" s="6" t="str">
        <f>H1129&amp;" ("&amp;TEXT(C1124,"m/dd")&amp;"~"&amp;TEXT(C1130,"m/dd")&amp;")"</f>
        <v>01월 3주차 (1/20~1/26)</v>
      </c>
      <c r="J1129" s="6" t="str">
        <f>A1124&amp;"년 "&amp;WEEKNUM(C1124,2)&amp;"주차"&amp;" ("&amp;TEXT(C1124,"m/dd")&amp;"~"&amp;TEXT(C1130,"m/dd")&amp;")"</f>
        <v>2025년 4주차 (1/20~1/26)</v>
      </c>
      <c r="K1129" s="6">
        <f t="shared" si="148"/>
        <v>2025</v>
      </c>
      <c r="L1129" s="6">
        <f t="shared" si="149"/>
        <v>4</v>
      </c>
    </row>
    <row r="1130" spans="1:12" x14ac:dyDescent="0.45">
      <c r="A1130" s="6">
        <f t="shared" si="152"/>
        <v>2025</v>
      </c>
      <c r="B1130" s="6">
        <f t="shared" si="156"/>
        <v>1</v>
      </c>
      <c r="C1130" s="7">
        <v>45683</v>
      </c>
      <c r="D1130" s="6">
        <f t="shared" si="153"/>
        <v>7</v>
      </c>
      <c r="E1130" s="6">
        <f t="shared" si="154"/>
        <v>4</v>
      </c>
      <c r="F1130" s="6">
        <f t="shared" si="155"/>
        <v>3</v>
      </c>
      <c r="G1130" s="6" t="str">
        <f t="shared" si="150"/>
        <v>01</v>
      </c>
      <c r="H1130" s="6" t="str">
        <f t="shared" si="151"/>
        <v>01월 3주차</v>
      </c>
      <c r="I1130" s="6" t="str">
        <f>H1130&amp;" ("&amp;TEXT(C1124,"m/dd")&amp;"~"&amp;TEXT(C1130,"m/dd")&amp;")"</f>
        <v>01월 3주차 (1/20~1/26)</v>
      </c>
      <c r="J1130" s="6" t="str">
        <f>A1124&amp;"년 "&amp;WEEKNUM(C1124,2)&amp;"주차"&amp;" ("&amp;TEXT(C1124,"m/dd")&amp;"~"&amp;TEXT(C1130,"m/dd")&amp;")"</f>
        <v>2025년 4주차 (1/20~1/26)</v>
      </c>
      <c r="K1130" s="6">
        <f t="shared" si="148"/>
        <v>2025</v>
      </c>
      <c r="L1130" s="6">
        <f t="shared" si="149"/>
        <v>4</v>
      </c>
    </row>
    <row r="1131" spans="1:12" x14ac:dyDescent="0.45">
      <c r="A1131" s="6">
        <f t="shared" si="152"/>
        <v>2025</v>
      </c>
      <c r="B1131" s="6">
        <f t="shared" si="156"/>
        <v>1</v>
      </c>
      <c r="C1131" s="7">
        <v>45684</v>
      </c>
      <c r="D1131" s="6">
        <f t="shared" si="153"/>
        <v>1</v>
      </c>
      <c r="E1131" s="6">
        <f t="shared" si="154"/>
        <v>5</v>
      </c>
      <c r="F1131" s="6">
        <f t="shared" si="155"/>
        <v>4</v>
      </c>
      <c r="G1131" s="6" t="str">
        <f t="shared" si="150"/>
        <v>01</v>
      </c>
      <c r="H1131" s="6" t="str">
        <f t="shared" si="151"/>
        <v>01월 4주차</v>
      </c>
      <c r="I1131" s="6" t="str">
        <f>H1131&amp;" ("&amp;TEXT(C1131,"m/dd")&amp;"~"&amp;TEXT(C1137,"m/dd")&amp;")"</f>
        <v>01월 4주차 (1/27~2/02)</v>
      </c>
      <c r="J1131" s="6" t="str">
        <f>A1131&amp;"년 "&amp;WEEKNUM(C1131,2)&amp;"주차"&amp;" ("&amp;TEXT(C1131,"m/dd")&amp;"~"&amp;TEXT(C1137,"m/dd")&amp;")"</f>
        <v>2025년 5주차 (1/27~2/02)</v>
      </c>
      <c r="K1131" s="6">
        <f t="shared" si="148"/>
        <v>2025</v>
      </c>
      <c r="L1131" s="6">
        <f t="shared" si="149"/>
        <v>5</v>
      </c>
    </row>
    <row r="1132" spans="1:12" x14ac:dyDescent="0.45">
      <c r="A1132" s="6">
        <f t="shared" si="152"/>
        <v>2025</v>
      </c>
      <c r="B1132" s="6">
        <f t="shared" si="156"/>
        <v>1</v>
      </c>
      <c r="C1132" s="7">
        <v>45685</v>
      </c>
      <c r="D1132" s="6">
        <f t="shared" si="153"/>
        <v>2</v>
      </c>
      <c r="E1132" s="6">
        <f t="shared" si="154"/>
        <v>5</v>
      </c>
      <c r="F1132" s="6">
        <f t="shared" si="155"/>
        <v>4</v>
      </c>
      <c r="G1132" s="6" t="str">
        <f t="shared" si="150"/>
        <v>01</v>
      </c>
      <c r="H1132" s="6" t="str">
        <f t="shared" si="151"/>
        <v>01월 4주차</v>
      </c>
      <c r="I1132" s="6" t="str">
        <f>H1132&amp;" ("&amp;TEXT(C1131,"m/dd")&amp;"~"&amp;TEXT(C1137,"m/dd")&amp;")"</f>
        <v>01월 4주차 (1/27~2/02)</v>
      </c>
      <c r="J1132" s="6" t="str">
        <f>A1131&amp;"년 "&amp;WEEKNUM(C1131,2)&amp;"주차"&amp;" ("&amp;TEXT(C1131,"m/dd")&amp;"~"&amp;TEXT(C1137,"m/dd")&amp;")"</f>
        <v>2025년 5주차 (1/27~2/02)</v>
      </c>
      <c r="K1132" s="6">
        <f t="shared" si="148"/>
        <v>2025</v>
      </c>
      <c r="L1132" s="6">
        <f t="shared" si="149"/>
        <v>5</v>
      </c>
    </row>
    <row r="1133" spans="1:12" x14ac:dyDescent="0.45">
      <c r="A1133" s="6">
        <f t="shared" si="152"/>
        <v>2025</v>
      </c>
      <c r="B1133" s="6">
        <f t="shared" si="156"/>
        <v>1</v>
      </c>
      <c r="C1133" s="7">
        <v>45686</v>
      </c>
      <c r="D1133" s="6">
        <f t="shared" si="153"/>
        <v>3</v>
      </c>
      <c r="E1133" s="6">
        <f t="shared" si="154"/>
        <v>5</v>
      </c>
      <c r="F1133" s="6">
        <f t="shared" si="155"/>
        <v>4</v>
      </c>
      <c r="G1133" s="6" t="str">
        <f t="shared" si="150"/>
        <v>01</v>
      </c>
      <c r="H1133" s="6" t="str">
        <f t="shared" si="151"/>
        <v>01월 4주차</v>
      </c>
      <c r="I1133" s="6" t="str">
        <f>H1133&amp;" ("&amp;TEXT(C1131,"m/dd")&amp;"~"&amp;TEXT(C1137,"m/dd")&amp;")"</f>
        <v>01월 4주차 (1/27~2/02)</v>
      </c>
      <c r="J1133" s="6" t="str">
        <f>A1131&amp;"년 "&amp;WEEKNUM(C1131,2)&amp;"주차"&amp;" ("&amp;TEXT(C1131,"m/dd")&amp;"~"&amp;TEXT(C1137,"m/dd")&amp;")"</f>
        <v>2025년 5주차 (1/27~2/02)</v>
      </c>
      <c r="K1133" s="6">
        <f t="shared" si="148"/>
        <v>2025</v>
      </c>
      <c r="L1133" s="6">
        <f t="shared" si="149"/>
        <v>5</v>
      </c>
    </row>
    <row r="1134" spans="1:12" x14ac:dyDescent="0.45">
      <c r="A1134" s="6">
        <f t="shared" si="152"/>
        <v>2025</v>
      </c>
      <c r="B1134" s="6">
        <f t="shared" si="156"/>
        <v>1</v>
      </c>
      <c r="C1134" s="7">
        <v>45687</v>
      </c>
      <c r="D1134" s="6">
        <f t="shared" si="153"/>
        <v>4</v>
      </c>
      <c r="E1134" s="6">
        <f t="shared" si="154"/>
        <v>5</v>
      </c>
      <c r="F1134" s="6">
        <f t="shared" si="155"/>
        <v>4</v>
      </c>
      <c r="G1134" s="6" t="str">
        <f t="shared" si="150"/>
        <v>01</v>
      </c>
      <c r="H1134" s="6" t="str">
        <f t="shared" si="151"/>
        <v>01월 4주차</v>
      </c>
      <c r="I1134" s="6" t="str">
        <f>H1134&amp;" ("&amp;TEXT(C1131,"m/dd")&amp;"~"&amp;TEXT(C1137,"m/dd")&amp;")"</f>
        <v>01월 4주차 (1/27~2/02)</v>
      </c>
      <c r="J1134" s="6" t="str">
        <f>A1131&amp;"년 "&amp;WEEKNUM(C1131,2)&amp;"주차"&amp;" ("&amp;TEXT(C1131,"m/dd")&amp;"~"&amp;TEXT(C1137,"m/dd")&amp;")"</f>
        <v>2025년 5주차 (1/27~2/02)</v>
      </c>
      <c r="K1134" s="6">
        <f t="shared" si="148"/>
        <v>2025</v>
      </c>
      <c r="L1134" s="6">
        <f t="shared" si="149"/>
        <v>5</v>
      </c>
    </row>
    <row r="1135" spans="1:12" x14ac:dyDescent="0.45">
      <c r="A1135" s="6">
        <f t="shared" si="152"/>
        <v>2025</v>
      </c>
      <c r="B1135" s="6">
        <f t="shared" si="156"/>
        <v>1</v>
      </c>
      <c r="C1135" s="7">
        <v>45688</v>
      </c>
      <c r="D1135" s="6">
        <f t="shared" si="153"/>
        <v>5</v>
      </c>
      <c r="E1135" s="6">
        <f t="shared" si="154"/>
        <v>5</v>
      </c>
      <c r="F1135" s="6">
        <f t="shared" si="155"/>
        <v>4</v>
      </c>
      <c r="G1135" s="6" t="str">
        <f t="shared" si="150"/>
        <v>01</v>
      </c>
      <c r="H1135" s="6" t="str">
        <f t="shared" si="151"/>
        <v>01월 4주차</v>
      </c>
      <c r="I1135" s="6" t="str">
        <f>H1135&amp;" ("&amp;TEXT(C1131,"m/dd")&amp;"~"&amp;TEXT(C1137,"m/dd")&amp;")"</f>
        <v>01월 4주차 (1/27~2/02)</v>
      </c>
      <c r="J1135" s="6" t="str">
        <f>A1131&amp;"년 "&amp;WEEKNUM(C1131,2)&amp;"주차"&amp;" ("&amp;TEXT(C1131,"m/dd")&amp;"~"&amp;TEXT(C1137,"m/dd")&amp;")"</f>
        <v>2025년 5주차 (1/27~2/02)</v>
      </c>
      <c r="K1135" s="6">
        <f t="shared" ref="K1135:K1198" si="157">YEAR(C1135)</f>
        <v>2025</v>
      </c>
      <c r="L1135" s="6">
        <f t="shared" ref="L1135:L1198" si="158">WEEKNUM(C1135,2)</f>
        <v>5</v>
      </c>
    </row>
    <row r="1136" spans="1:12" x14ac:dyDescent="0.45">
      <c r="A1136" s="6">
        <f t="shared" si="152"/>
        <v>2025</v>
      </c>
      <c r="B1136" s="6">
        <f t="shared" si="156"/>
        <v>2</v>
      </c>
      <c r="C1136" s="7">
        <v>45689</v>
      </c>
      <c r="D1136" s="6">
        <f t="shared" si="153"/>
        <v>6</v>
      </c>
      <c r="E1136" s="6">
        <f t="shared" si="154"/>
        <v>5</v>
      </c>
      <c r="F1136" s="6">
        <f t="shared" si="155"/>
        <v>4</v>
      </c>
      <c r="G1136" s="6" t="str">
        <f t="shared" si="150"/>
        <v>02</v>
      </c>
      <c r="H1136" s="6" t="str">
        <f t="shared" si="151"/>
        <v>02월 4주차</v>
      </c>
      <c r="I1136" s="6" t="str">
        <f>H1136&amp;" ("&amp;TEXT(C1131,"m/dd")&amp;"~"&amp;TEXT(C1137,"m/dd")&amp;")"</f>
        <v>02월 4주차 (1/27~2/02)</v>
      </c>
      <c r="J1136" s="6" t="str">
        <f>A1131&amp;"년 "&amp;WEEKNUM(C1131,2)&amp;"주차"&amp;" ("&amp;TEXT(C1131,"m/dd")&amp;"~"&amp;TEXT(C1137,"m/dd")&amp;")"</f>
        <v>2025년 5주차 (1/27~2/02)</v>
      </c>
      <c r="K1136" s="6">
        <f t="shared" si="157"/>
        <v>2025</v>
      </c>
      <c r="L1136" s="6">
        <f t="shared" si="158"/>
        <v>5</v>
      </c>
    </row>
    <row r="1137" spans="1:12" x14ac:dyDescent="0.45">
      <c r="A1137" s="6">
        <f t="shared" si="152"/>
        <v>2025</v>
      </c>
      <c r="B1137" s="6">
        <f t="shared" si="156"/>
        <v>2</v>
      </c>
      <c r="C1137" s="7">
        <v>45690</v>
      </c>
      <c r="D1137" s="6">
        <f t="shared" si="153"/>
        <v>7</v>
      </c>
      <c r="E1137" s="6">
        <f t="shared" si="154"/>
        <v>5</v>
      </c>
      <c r="F1137" s="6">
        <f t="shared" si="155"/>
        <v>4</v>
      </c>
      <c r="G1137" s="6" t="str">
        <f t="shared" si="150"/>
        <v>02</v>
      </c>
      <c r="H1137" s="6" t="str">
        <f t="shared" si="151"/>
        <v>02월 4주차</v>
      </c>
      <c r="I1137" s="6" t="str">
        <f>H1137&amp;" ("&amp;TEXT(C1131,"m/dd")&amp;"~"&amp;TEXT(C1137,"m/dd")&amp;")"</f>
        <v>02월 4주차 (1/27~2/02)</v>
      </c>
      <c r="J1137" s="6" t="str">
        <f>A1131&amp;"년 "&amp;WEEKNUM(C1131,2)&amp;"주차"&amp;" ("&amp;TEXT(C1131,"m/dd")&amp;"~"&amp;TEXT(C1137,"m/dd")&amp;")"</f>
        <v>2025년 5주차 (1/27~2/02)</v>
      </c>
      <c r="K1137" s="6">
        <f t="shared" si="157"/>
        <v>2025</v>
      </c>
      <c r="L1137" s="6">
        <f t="shared" si="158"/>
        <v>5</v>
      </c>
    </row>
    <row r="1138" spans="1:12" x14ac:dyDescent="0.45">
      <c r="A1138" s="6">
        <f t="shared" si="152"/>
        <v>2025</v>
      </c>
      <c r="B1138" s="6">
        <f t="shared" si="156"/>
        <v>2</v>
      </c>
      <c r="C1138" s="7">
        <v>45691</v>
      </c>
      <c r="D1138" s="6">
        <f t="shared" si="153"/>
        <v>1</v>
      </c>
      <c r="E1138" s="6">
        <f t="shared" si="154"/>
        <v>6</v>
      </c>
      <c r="F1138" s="6">
        <f t="shared" si="155"/>
        <v>1</v>
      </c>
      <c r="G1138" s="6" t="str">
        <f t="shared" si="150"/>
        <v>02</v>
      </c>
      <c r="H1138" s="6" t="str">
        <f t="shared" si="151"/>
        <v>02월 1주차</v>
      </c>
      <c r="I1138" s="6" t="str">
        <f>H1138&amp;" ("&amp;TEXT(C1138,"m/dd")&amp;"~"&amp;TEXT(C1144,"m/dd")&amp;")"</f>
        <v>02월 1주차 (2/03~2/09)</v>
      </c>
      <c r="J1138" s="6" t="str">
        <f>A1138&amp;"년 "&amp;WEEKNUM(C1138,2)&amp;"주차"&amp;" ("&amp;TEXT(C1138,"m/dd")&amp;"~"&amp;TEXT(C1144,"m/dd")&amp;")"</f>
        <v>2025년 6주차 (2/03~2/09)</v>
      </c>
      <c r="K1138" s="6">
        <f t="shared" si="157"/>
        <v>2025</v>
      </c>
      <c r="L1138" s="6">
        <f t="shared" si="158"/>
        <v>6</v>
      </c>
    </row>
    <row r="1139" spans="1:12" x14ac:dyDescent="0.45">
      <c r="A1139" s="6">
        <f t="shared" si="152"/>
        <v>2025</v>
      </c>
      <c r="B1139" s="6">
        <f t="shared" si="156"/>
        <v>2</v>
      </c>
      <c r="C1139" s="7">
        <v>45692</v>
      </c>
      <c r="D1139" s="6">
        <f t="shared" si="153"/>
        <v>2</v>
      </c>
      <c r="E1139" s="6">
        <f t="shared" si="154"/>
        <v>6</v>
      </c>
      <c r="F1139" s="6">
        <f t="shared" si="155"/>
        <v>1</v>
      </c>
      <c r="G1139" s="6" t="str">
        <f t="shared" si="150"/>
        <v>02</v>
      </c>
      <c r="H1139" s="6" t="str">
        <f t="shared" si="151"/>
        <v>02월 1주차</v>
      </c>
      <c r="I1139" s="6" t="str">
        <f>H1139&amp;" ("&amp;TEXT(C1138,"m/dd")&amp;"~"&amp;TEXT(C1144,"m/dd")&amp;")"</f>
        <v>02월 1주차 (2/03~2/09)</v>
      </c>
      <c r="J1139" s="6" t="str">
        <f>A1138&amp;"년 "&amp;WEEKNUM(C1138,2)&amp;"주차"&amp;" ("&amp;TEXT(C1138,"m/dd")&amp;"~"&amp;TEXT(C1144,"m/dd")&amp;")"</f>
        <v>2025년 6주차 (2/03~2/09)</v>
      </c>
      <c r="K1139" s="6">
        <f t="shared" si="157"/>
        <v>2025</v>
      </c>
      <c r="L1139" s="6">
        <f t="shared" si="158"/>
        <v>6</v>
      </c>
    </row>
    <row r="1140" spans="1:12" x14ac:dyDescent="0.45">
      <c r="A1140" s="6">
        <f t="shared" si="152"/>
        <v>2025</v>
      </c>
      <c r="B1140" s="6">
        <f t="shared" si="156"/>
        <v>2</v>
      </c>
      <c r="C1140" s="7">
        <v>45693</v>
      </c>
      <c r="D1140" s="6">
        <f t="shared" si="153"/>
        <v>3</v>
      </c>
      <c r="E1140" s="6">
        <f t="shared" si="154"/>
        <v>6</v>
      </c>
      <c r="F1140" s="6">
        <f t="shared" si="155"/>
        <v>1</v>
      </c>
      <c r="G1140" s="6" t="str">
        <f t="shared" si="150"/>
        <v>02</v>
      </c>
      <c r="H1140" s="6" t="str">
        <f t="shared" si="151"/>
        <v>02월 1주차</v>
      </c>
      <c r="I1140" s="6" t="str">
        <f>H1140&amp;" ("&amp;TEXT(C1138,"m/dd")&amp;"~"&amp;TEXT(C1144,"m/dd")&amp;")"</f>
        <v>02월 1주차 (2/03~2/09)</v>
      </c>
      <c r="J1140" s="6" t="str">
        <f>A1138&amp;"년 "&amp;WEEKNUM(C1138,2)&amp;"주차"&amp;" ("&amp;TEXT(C1138,"m/dd")&amp;"~"&amp;TEXT(C1144,"m/dd")&amp;")"</f>
        <v>2025년 6주차 (2/03~2/09)</v>
      </c>
      <c r="K1140" s="6">
        <f t="shared" si="157"/>
        <v>2025</v>
      </c>
      <c r="L1140" s="6">
        <f t="shared" si="158"/>
        <v>6</v>
      </c>
    </row>
    <row r="1141" spans="1:12" x14ac:dyDescent="0.45">
      <c r="A1141" s="6">
        <f t="shared" si="152"/>
        <v>2025</v>
      </c>
      <c r="B1141" s="6">
        <f t="shared" si="156"/>
        <v>2</v>
      </c>
      <c r="C1141" s="7">
        <v>45694</v>
      </c>
      <c r="D1141" s="6">
        <f t="shared" si="153"/>
        <v>4</v>
      </c>
      <c r="E1141" s="6">
        <f t="shared" si="154"/>
        <v>6</v>
      </c>
      <c r="F1141" s="6">
        <f t="shared" si="155"/>
        <v>1</v>
      </c>
      <c r="G1141" s="6" t="str">
        <f t="shared" si="150"/>
        <v>02</v>
      </c>
      <c r="H1141" s="6" t="str">
        <f t="shared" si="151"/>
        <v>02월 1주차</v>
      </c>
      <c r="I1141" s="6" t="str">
        <f>H1141&amp;" ("&amp;TEXT(C1138,"m/dd")&amp;"~"&amp;TEXT(C1144,"m/dd")&amp;")"</f>
        <v>02월 1주차 (2/03~2/09)</v>
      </c>
      <c r="J1141" s="6" t="str">
        <f>A1138&amp;"년 "&amp;WEEKNUM(C1138,2)&amp;"주차"&amp;" ("&amp;TEXT(C1138,"m/dd")&amp;"~"&amp;TEXT(C1144,"m/dd")&amp;")"</f>
        <v>2025년 6주차 (2/03~2/09)</v>
      </c>
      <c r="K1141" s="6">
        <f t="shared" si="157"/>
        <v>2025</v>
      </c>
      <c r="L1141" s="6">
        <f t="shared" si="158"/>
        <v>6</v>
      </c>
    </row>
    <row r="1142" spans="1:12" x14ac:dyDescent="0.45">
      <c r="A1142" s="6">
        <f t="shared" si="152"/>
        <v>2025</v>
      </c>
      <c r="B1142" s="6">
        <f t="shared" si="156"/>
        <v>2</v>
      </c>
      <c r="C1142" s="7">
        <v>45695</v>
      </c>
      <c r="D1142" s="6">
        <f t="shared" si="153"/>
        <v>5</v>
      </c>
      <c r="E1142" s="6">
        <f t="shared" si="154"/>
        <v>6</v>
      </c>
      <c r="F1142" s="6">
        <f t="shared" si="155"/>
        <v>1</v>
      </c>
      <c r="G1142" s="6" t="str">
        <f t="shared" si="150"/>
        <v>02</v>
      </c>
      <c r="H1142" s="6" t="str">
        <f t="shared" si="151"/>
        <v>02월 1주차</v>
      </c>
      <c r="I1142" s="6" t="str">
        <f>H1142&amp;" ("&amp;TEXT(C1138,"m/dd")&amp;"~"&amp;TEXT(C1144,"m/dd")&amp;")"</f>
        <v>02월 1주차 (2/03~2/09)</v>
      </c>
      <c r="J1142" s="6" t="str">
        <f>A1138&amp;"년 "&amp;WEEKNUM(C1138,2)&amp;"주차"&amp;" ("&amp;TEXT(C1138,"m/dd")&amp;"~"&amp;TEXT(C1144,"m/dd")&amp;")"</f>
        <v>2025년 6주차 (2/03~2/09)</v>
      </c>
      <c r="K1142" s="6">
        <f t="shared" si="157"/>
        <v>2025</v>
      </c>
      <c r="L1142" s="6">
        <f t="shared" si="158"/>
        <v>6</v>
      </c>
    </row>
    <row r="1143" spans="1:12" x14ac:dyDescent="0.45">
      <c r="A1143" s="6">
        <f t="shared" si="152"/>
        <v>2025</v>
      </c>
      <c r="B1143" s="6">
        <f t="shared" si="156"/>
        <v>2</v>
      </c>
      <c r="C1143" s="7">
        <v>45696</v>
      </c>
      <c r="D1143" s="6">
        <f t="shared" si="153"/>
        <v>6</v>
      </c>
      <c r="E1143" s="6">
        <f t="shared" si="154"/>
        <v>6</v>
      </c>
      <c r="F1143" s="6">
        <f t="shared" si="155"/>
        <v>1</v>
      </c>
      <c r="G1143" s="6" t="str">
        <f t="shared" si="150"/>
        <v>02</v>
      </c>
      <c r="H1143" s="6" t="str">
        <f t="shared" si="151"/>
        <v>02월 1주차</v>
      </c>
      <c r="I1143" s="6" t="str">
        <f>H1143&amp;" ("&amp;TEXT(C1138,"m/dd")&amp;"~"&amp;TEXT(C1144,"m/dd")&amp;")"</f>
        <v>02월 1주차 (2/03~2/09)</v>
      </c>
      <c r="J1143" s="6" t="str">
        <f>A1138&amp;"년 "&amp;WEEKNUM(C1138,2)&amp;"주차"&amp;" ("&amp;TEXT(C1138,"m/dd")&amp;"~"&amp;TEXT(C1144,"m/dd")&amp;")"</f>
        <v>2025년 6주차 (2/03~2/09)</v>
      </c>
      <c r="K1143" s="6">
        <f t="shared" si="157"/>
        <v>2025</v>
      </c>
      <c r="L1143" s="6">
        <f t="shared" si="158"/>
        <v>6</v>
      </c>
    </row>
    <row r="1144" spans="1:12" x14ac:dyDescent="0.45">
      <c r="A1144" s="6">
        <f t="shared" si="152"/>
        <v>2025</v>
      </c>
      <c r="B1144" s="6">
        <f t="shared" si="156"/>
        <v>2</v>
      </c>
      <c r="C1144" s="7">
        <v>45697</v>
      </c>
      <c r="D1144" s="6">
        <f t="shared" si="153"/>
        <v>7</v>
      </c>
      <c r="E1144" s="6">
        <f t="shared" si="154"/>
        <v>6</v>
      </c>
      <c r="F1144" s="6">
        <f t="shared" si="155"/>
        <v>1</v>
      </c>
      <c r="G1144" s="6" t="str">
        <f t="shared" si="150"/>
        <v>02</v>
      </c>
      <c r="H1144" s="6" t="str">
        <f t="shared" si="151"/>
        <v>02월 1주차</v>
      </c>
      <c r="I1144" s="6" t="str">
        <f>H1144&amp;" ("&amp;TEXT(C1138,"m/dd")&amp;"~"&amp;TEXT(C1144,"m/dd")&amp;")"</f>
        <v>02월 1주차 (2/03~2/09)</v>
      </c>
      <c r="J1144" s="6" t="str">
        <f>A1138&amp;"년 "&amp;WEEKNUM(C1138,2)&amp;"주차"&amp;" ("&amp;TEXT(C1138,"m/dd")&amp;"~"&amp;TEXT(C1144,"m/dd")&amp;")"</f>
        <v>2025년 6주차 (2/03~2/09)</v>
      </c>
      <c r="K1144" s="6">
        <f t="shared" si="157"/>
        <v>2025</v>
      </c>
      <c r="L1144" s="6">
        <f t="shared" si="158"/>
        <v>6</v>
      </c>
    </row>
    <row r="1145" spans="1:12" x14ac:dyDescent="0.45">
      <c r="A1145" s="6">
        <f t="shared" si="152"/>
        <v>2025</v>
      </c>
      <c r="B1145" s="6">
        <f t="shared" si="156"/>
        <v>2</v>
      </c>
      <c r="C1145" s="7">
        <v>45698</v>
      </c>
      <c r="D1145" s="6">
        <f t="shared" si="153"/>
        <v>1</v>
      </c>
      <c r="E1145" s="6">
        <f t="shared" si="154"/>
        <v>7</v>
      </c>
      <c r="F1145" s="6">
        <f t="shared" si="155"/>
        <v>2</v>
      </c>
      <c r="G1145" s="6" t="str">
        <f t="shared" si="150"/>
        <v>02</v>
      </c>
      <c r="H1145" s="6" t="str">
        <f t="shared" si="151"/>
        <v>02월 2주차</v>
      </c>
      <c r="I1145" s="6" t="str">
        <f>H1145&amp;" ("&amp;TEXT(C1145,"m/dd")&amp;"~"&amp;TEXT(C1151,"m/dd")&amp;")"</f>
        <v>02월 2주차 (2/10~2/16)</v>
      </c>
      <c r="J1145" s="6" t="str">
        <f>A1145&amp;"년 "&amp;WEEKNUM(C1145,2)&amp;"주차"&amp;" ("&amp;TEXT(C1145,"m/dd")&amp;"~"&amp;TEXT(C1151,"m/dd")&amp;")"</f>
        <v>2025년 7주차 (2/10~2/16)</v>
      </c>
      <c r="K1145" s="6">
        <f t="shared" si="157"/>
        <v>2025</v>
      </c>
      <c r="L1145" s="6">
        <f t="shared" si="158"/>
        <v>7</v>
      </c>
    </row>
    <row r="1146" spans="1:12" x14ac:dyDescent="0.45">
      <c r="A1146" s="6">
        <f t="shared" si="152"/>
        <v>2025</v>
      </c>
      <c r="B1146" s="6">
        <f t="shared" si="156"/>
        <v>2</v>
      </c>
      <c r="C1146" s="7">
        <v>45699</v>
      </c>
      <c r="D1146" s="6">
        <f t="shared" si="153"/>
        <v>2</v>
      </c>
      <c r="E1146" s="6">
        <f t="shared" si="154"/>
        <v>7</v>
      </c>
      <c r="F1146" s="6">
        <f t="shared" si="155"/>
        <v>2</v>
      </c>
      <c r="G1146" s="6" t="str">
        <f t="shared" si="150"/>
        <v>02</v>
      </c>
      <c r="H1146" s="6" t="str">
        <f t="shared" si="151"/>
        <v>02월 2주차</v>
      </c>
      <c r="I1146" s="6" t="str">
        <f>H1146&amp;" ("&amp;TEXT(C1145,"m/dd")&amp;"~"&amp;TEXT(C1151,"m/dd")&amp;")"</f>
        <v>02월 2주차 (2/10~2/16)</v>
      </c>
      <c r="J1146" s="6" t="str">
        <f>A1145&amp;"년 "&amp;WEEKNUM(C1145,2)&amp;"주차"&amp;" ("&amp;TEXT(C1145,"m/dd")&amp;"~"&amp;TEXT(C1151,"m/dd")&amp;")"</f>
        <v>2025년 7주차 (2/10~2/16)</v>
      </c>
      <c r="K1146" s="6">
        <f t="shared" si="157"/>
        <v>2025</v>
      </c>
      <c r="L1146" s="6">
        <f t="shared" si="158"/>
        <v>7</v>
      </c>
    </row>
    <row r="1147" spans="1:12" x14ac:dyDescent="0.45">
      <c r="A1147" s="6">
        <f t="shared" si="152"/>
        <v>2025</v>
      </c>
      <c r="B1147" s="6">
        <f t="shared" si="156"/>
        <v>2</v>
      </c>
      <c r="C1147" s="7">
        <v>45700</v>
      </c>
      <c r="D1147" s="6">
        <f t="shared" si="153"/>
        <v>3</v>
      </c>
      <c r="E1147" s="6">
        <f t="shared" si="154"/>
        <v>7</v>
      </c>
      <c r="F1147" s="6">
        <f t="shared" si="155"/>
        <v>2</v>
      </c>
      <c r="G1147" s="6" t="str">
        <f t="shared" si="150"/>
        <v>02</v>
      </c>
      <c r="H1147" s="6" t="str">
        <f t="shared" si="151"/>
        <v>02월 2주차</v>
      </c>
      <c r="I1147" s="6" t="str">
        <f>H1147&amp;" ("&amp;TEXT(C1145,"m/dd")&amp;"~"&amp;TEXT(C1151,"m/dd")&amp;")"</f>
        <v>02월 2주차 (2/10~2/16)</v>
      </c>
      <c r="J1147" s="6" t="str">
        <f>A1145&amp;"년 "&amp;WEEKNUM(C1145,2)&amp;"주차"&amp;" ("&amp;TEXT(C1145,"m/dd")&amp;"~"&amp;TEXT(C1151,"m/dd")&amp;")"</f>
        <v>2025년 7주차 (2/10~2/16)</v>
      </c>
      <c r="K1147" s="6">
        <f t="shared" si="157"/>
        <v>2025</v>
      </c>
      <c r="L1147" s="6">
        <f t="shared" si="158"/>
        <v>7</v>
      </c>
    </row>
    <row r="1148" spans="1:12" x14ac:dyDescent="0.45">
      <c r="A1148" s="6">
        <f t="shared" si="152"/>
        <v>2025</v>
      </c>
      <c r="B1148" s="6">
        <f t="shared" si="156"/>
        <v>2</v>
      </c>
      <c r="C1148" s="7">
        <v>45701</v>
      </c>
      <c r="D1148" s="6">
        <f t="shared" si="153"/>
        <v>4</v>
      </c>
      <c r="E1148" s="6">
        <f t="shared" si="154"/>
        <v>7</v>
      </c>
      <c r="F1148" s="6">
        <f t="shared" si="155"/>
        <v>2</v>
      </c>
      <c r="G1148" s="6" t="str">
        <f t="shared" si="150"/>
        <v>02</v>
      </c>
      <c r="H1148" s="6" t="str">
        <f t="shared" si="151"/>
        <v>02월 2주차</v>
      </c>
      <c r="I1148" s="6" t="str">
        <f>H1148&amp;" ("&amp;TEXT(C1145,"m/dd")&amp;"~"&amp;TEXT(C1151,"m/dd")&amp;")"</f>
        <v>02월 2주차 (2/10~2/16)</v>
      </c>
      <c r="J1148" s="6" t="str">
        <f>A1145&amp;"년 "&amp;WEEKNUM(C1145,2)&amp;"주차"&amp;" ("&amp;TEXT(C1145,"m/dd")&amp;"~"&amp;TEXT(C1151,"m/dd")&amp;")"</f>
        <v>2025년 7주차 (2/10~2/16)</v>
      </c>
      <c r="K1148" s="6">
        <f t="shared" si="157"/>
        <v>2025</v>
      </c>
      <c r="L1148" s="6">
        <f t="shared" si="158"/>
        <v>7</v>
      </c>
    </row>
    <row r="1149" spans="1:12" x14ac:dyDescent="0.45">
      <c r="A1149" s="6">
        <f t="shared" si="152"/>
        <v>2025</v>
      </c>
      <c r="B1149" s="6">
        <f t="shared" si="156"/>
        <v>2</v>
      </c>
      <c r="C1149" s="7">
        <v>45702</v>
      </c>
      <c r="D1149" s="6">
        <f t="shared" si="153"/>
        <v>5</v>
      </c>
      <c r="E1149" s="6">
        <f t="shared" si="154"/>
        <v>7</v>
      </c>
      <c r="F1149" s="6">
        <f t="shared" si="155"/>
        <v>2</v>
      </c>
      <c r="G1149" s="6" t="str">
        <f t="shared" si="150"/>
        <v>02</v>
      </c>
      <c r="H1149" s="6" t="str">
        <f t="shared" si="151"/>
        <v>02월 2주차</v>
      </c>
      <c r="I1149" s="6" t="str">
        <f>H1149&amp;" ("&amp;TEXT(C1145,"m/dd")&amp;"~"&amp;TEXT(C1151,"m/dd")&amp;")"</f>
        <v>02월 2주차 (2/10~2/16)</v>
      </c>
      <c r="J1149" s="6" t="str">
        <f>A1145&amp;"년 "&amp;WEEKNUM(C1145,2)&amp;"주차"&amp;" ("&amp;TEXT(C1145,"m/dd")&amp;"~"&amp;TEXT(C1151,"m/dd")&amp;")"</f>
        <v>2025년 7주차 (2/10~2/16)</v>
      </c>
      <c r="K1149" s="6">
        <f t="shared" si="157"/>
        <v>2025</v>
      </c>
      <c r="L1149" s="6">
        <f t="shared" si="158"/>
        <v>7</v>
      </c>
    </row>
    <row r="1150" spans="1:12" x14ac:dyDescent="0.45">
      <c r="A1150" s="6">
        <f t="shared" si="152"/>
        <v>2025</v>
      </c>
      <c r="B1150" s="6">
        <f t="shared" si="156"/>
        <v>2</v>
      </c>
      <c r="C1150" s="7">
        <v>45703</v>
      </c>
      <c r="D1150" s="6">
        <f t="shared" si="153"/>
        <v>6</v>
      </c>
      <c r="E1150" s="6">
        <f t="shared" si="154"/>
        <v>7</v>
      </c>
      <c r="F1150" s="6">
        <f t="shared" si="155"/>
        <v>2</v>
      </c>
      <c r="G1150" s="6" t="str">
        <f t="shared" si="150"/>
        <v>02</v>
      </c>
      <c r="H1150" s="6" t="str">
        <f t="shared" si="151"/>
        <v>02월 2주차</v>
      </c>
      <c r="I1150" s="6" t="str">
        <f>H1150&amp;" ("&amp;TEXT(C1145,"m/dd")&amp;"~"&amp;TEXT(C1151,"m/dd")&amp;")"</f>
        <v>02월 2주차 (2/10~2/16)</v>
      </c>
      <c r="J1150" s="6" t="str">
        <f>A1145&amp;"년 "&amp;WEEKNUM(C1145,2)&amp;"주차"&amp;" ("&amp;TEXT(C1145,"m/dd")&amp;"~"&amp;TEXT(C1151,"m/dd")&amp;")"</f>
        <v>2025년 7주차 (2/10~2/16)</v>
      </c>
      <c r="K1150" s="6">
        <f t="shared" si="157"/>
        <v>2025</v>
      </c>
      <c r="L1150" s="6">
        <f t="shared" si="158"/>
        <v>7</v>
      </c>
    </row>
    <row r="1151" spans="1:12" x14ac:dyDescent="0.45">
      <c r="A1151" s="6">
        <f t="shared" si="152"/>
        <v>2025</v>
      </c>
      <c r="B1151" s="6">
        <f t="shared" si="156"/>
        <v>2</v>
      </c>
      <c r="C1151" s="7">
        <v>45704</v>
      </c>
      <c r="D1151" s="6">
        <f t="shared" si="153"/>
        <v>7</v>
      </c>
      <c r="E1151" s="6">
        <f t="shared" si="154"/>
        <v>7</v>
      </c>
      <c r="F1151" s="6">
        <f t="shared" si="155"/>
        <v>2</v>
      </c>
      <c r="G1151" s="6" t="str">
        <f t="shared" si="150"/>
        <v>02</v>
      </c>
      <c r="H1151" s="6" t="str">
        <f t="shared" si="151"/>
        <v>02월 2주차</v>
      </c>
      <c r="I1151" s="6" t="str">
        <f>H1151&amp;" ("&amp;TEXT(C1145,"m/dd")&amp;"~"&amp;TEXT(C1151,"m/dd")&amp;")"</f>
        <v>02월 2주차 (2/10~2/16)</v>
      </c>
      <c r="J1151" s="6" t="str">
        <f>A1145&amp;"년 "&amp;WEEKNUM(C1145,2)&amp;"주차"&amp;" ("&amp;TEXT(C1145,"m/dd")&amp;"~"&amp;TEXT(C1151,"m/dd")&amp;")"</f>
        <v>2025년 7주차 (2/10~2/16)</v>
      </c>
      <c r="K1151" s="6">
        <f t="shared" si="157"/>
        <v>2025</v>
      </c>
      <c r="L1151" s="6">
        <f t="shared" si="158"/>
        <v>7</v>
      </c>
    </row>
    <row r="1152" spans="1:12" x14ac:dyDescent="0.45">
      <c r="A1152" s="6">
        <f t="shared" si="152"/>
        <v>2025</v>
      </c>
      <c r="B1152" s="6">
        <f t="shared" si="156"/>
        <v>2</v>
      </c>
      <c r="C1152" s="7">
        <v>45705</v>
      </c>
      <c r="D1152" s="6">
        <f t="shared" si="153"/>
        <v>1</v>
      </c>
      <c r="E1152" s="6">
        <f t="shared" si="154"/>
        <v>8</v>
      </c>
      <c r="F1152" s="6">
        <f t="shared" si="155"/>
        <v>3</v>
      </c>
      <c r="G1152" s="6" t="str">
        <f t="shared" si="150"/>
        <v>02</v>
      </c>
      <c r="H1152" s="6" t="str">
        <f t="shared" si="151"/>
        <v>02월 3주차</v>
      </c>
      <c r="I1152" s="6" t="str">
        <f>H1152&amp;" ("&amp;TEXT(C1152,"m/dd")&amp;"~"&amp;TEXT(C1158,"m/dd")&amp;")"</f>
        <v>02월 3주차 (2/17~2/23)</v>
      </c>
      <c r="J1152" s="6" t="str">
        <f>A1152&amp;"년 "&amp;WEEKNUM(C1152,2)&amp;"주차"&amp;" ("&amp;TEXT(C1152,"m/dd")&amp;"~"&amp;TEXT(C1158,"m/dd")&amp;")"</f>
        <v>2025년 8주차 (2/17~2/23)</v>
      </c>
      <c r="K1152" s="6">
        <f t="shared" si="157"/>
        <v>2025</v>
      </c>
      <c r="L1152" s="6">
        <f t="shared" si="158"/>
        <v>8</v>
      </c>
    </row>
    <row r="1153" spans="1:12" x14ac:dyDescent="0.45">
      <c r="A1153" s="6">
        <f t="shared" si="152"/>
        <v>2025</v>
      </c>
      <c r="B1153" s="6">
        <f t="shared" si="156"/>
        <v>2</v>
      </c>
      <c r="C1153" s="7">
        <v>45706</v>
      </c>
      <c r="D1153" s="6">
        <f t="shared" si="153"/>
        <v>2</v>
      </c>
      <c r="E1153" s="6">
        <f t="shared" si="154"/>
        <v>8</v>
      </c>
      <c r="F1153" s="6">
        <f t="shared" si="155"/>
        <v>3</v>
      </c>
      <c r="G1153" s="6" t="str">
        <f t="shared" si="150"/>
        <v>02</v>
      </c>
      <c r="H1153" s="6" t="str">
        <f t="shared" si="151"/>
        <v>02월 3주차</v>
      </c>
      <c r="I1153" s="6" t="str">
        <f>H1153&amp;" ("&amp;TEXT(C1152,"m/dd")&amp;"~"&amp;TEXT(C1158,"m/dd")&amp;")"</f>
        <v>02월 3주차 (2/17~2/23)</v>
      </c>
      <c r="J1153" s="6" t="str">
        <f>A1152&amp;"년 "&amp;WEEKNUM(C1152,2)&amp;"주차"&amp;" ("&amp;TEXT(C1152,"m/dd")&amp;"~"&amp;TEXT(C1158,"m/dd")&amp;")"</f>
        <v>2025년 8주차 (2/17~2/23)</v>
      </c>
      <c r="K1153" s="6">
        <f t="shared" si="157"/>
        <v>2025</v>
      </c>
      <c r="L1153" s="6">
        <f t="shared" si="158"/>
        <v>8</v>
      </c>
    </row>
    <row r="1154" spans="1:12" x14ac:dyDescent="0.45">
      <c r="A1154" s="6">
        <f t="shared" si="152"/>
        <v>2025</v>
      </c>
      <c r="B1154" s="6">
        <f t="shared" si="156"/>
        <v>2</v>
      </c>
      <c r="C1154" s="7">
        <v>45707</v>
      </c>
      <c r="D1154" s="6">
        <f t="shared" si="153"/>
        <v>3</v>
      </c>
      <c r="E1154" s="6">
        <f t="shared" si="154"/>
        <v>8</v>
      </c>
      <c r="F1154" s="6">
        <f t="shared" si="155"/>
        <v>3</v>
      </c>
      <c r="G1154" s="6" t="str">
        <f t="shared" si="150"/>
        <v>02</v>
      </c>
      <c r="H1154" s="6" t="str">
        <f t="shared" si="151"/>
        <v>02월 3주차</v>
      </c>
      <c r="I1154" s="6" t="str">
        <f>H1154&amp;" ("&amp;TEXT(C1152,"m/dd")&amp;"~"&amp;TEXT(C1158,"m/dd")&amp;")"</f>
        <v>02월 3주차 (2/17~2/23)</v>
      </c>
      <c r="J1154" s="6" t="str">
        <f>A1152&amp;"년 "&amp;WEEKNUM(C1152,2)&amp;"주차"&amp;" ("&amp;TEXT(C1152,"m/dd")&amp;"~"&amp;TEXT(C1158,"m/dd")&amp;")"</f>
        <v>2025년 8주차 (2/17~2/23)</v>
      </c>
      <c r="K1154" s="6">
        <f t="shared" si="157"/>
        <v>2025</v>
      </c>
      <c r="L1154" s="6">
        <f t="shared" si="158"/>
        <v>8</v>
      </c>
    </row>
    <row r="1155" spans="1:12" x14ac:dyDescent="0.45">
      <c r="A1155" s="6">
        <f t="shared" si="152"/>
        <v>2025</v>
      </c>
      <c r="B1155" s="6">
        <f t="shared" si="156"/>
        <v>2</v>
      </c>
      <c r="C1155" s="7">
        <v>45708</v>
      </c>
      <c r="D1155" s="6">
        <f t="shared" si="153"/>
        <v>4</v>
      </c>
      <c r="E1155" s="6">
        <f t="shared" si="154"/>
        <v>8</v>
      </c>
      <c r="F1155" s="6">
        <f t="shared" si="155"/>
        <v>3</v>
      </c>
      <c r="G1155" s="6" t="str">
        <f t="shared" si="150"/>
        <v>02</v>
      </c>
      <c r="H1155" s="6" t="str">
        <f t="shared" si="151"/>
        <v>02월 3주차</v>
      </c>
      <c r="I1155" s="6" t="str">
        <f>H1155&amp;" ("&amp;TEXT(C1152,"m/dd")&amp;"~"&amp;TEXT(C1158,"m/dd")&amp;")"</f>
        <v>02월 3주차 (2/17~2/23)</v>
      </c>
      <c r="J1155" s="6" t="str">
        <f>A1152&amp;"년 "&amp;WEEKNUM(C1152,2)&amp;"주차"&amp;" ("&amp;TEXT(C1152,"m/dd")&amp;"~"&amp;TEXT(C1158,"m/dd")&amp;")"</f>
        <v>2025년 8주차 (2/17~2/23)</v>
      </c>
      <c r="K1155" s="6">
        <f t="shared" si="157"/>
        <v>2025</v>
      </c>
      <c r="L1155" s="6">
        <f t="shared" si="158"/>
        <v>8</v>
      </c>
    </row>
    <row r="1156" spans="1:12" x14ac:dyDescent="0.45">
      <c r="A1156" s="6">
        <f t="shared" si="152"/>
        <v>2025</v>
      </c>
      <c r="B1156" s="6">
        <f t="shared" si="156"/>
        <v>2</v>
      </c>
      <c r="C1156" s="7">
        <v>45709</v>
      </c>
      <c r="D1156" s="6">
        <f t="shared" si="153"/>
        <v>5</v>
      </c>
      <c r="E1156" s="6">
        <f t="shared" si="154"/>
        <v>8</v>
      </c>
      <c r="F1156" s="6">
        <f t="shared" si="155"/>
        <v>3</v>
      </c>
      <c r="G1156" s="6" t="str">
        <f t="shared" si="150"/>
        <v>02</v>
      </c>
      <c r="H1156" s="6" t="str">
        <f t="shared" si="151"/>
        <v>02월 3주차</v>
      </c>
      <c r="I1156" s="6" t="str">
        <f>H1156&amp;" ("&amp;TEXT(C1152,"m/dd")&amp;"~"&amp;TEXT(C1158,"m/dd")&amp;")"</f>
        <v>02월 3주차 (2/17~2/23)</v>
      </c>
      <c r="J1156" s="6" t="str">
        <f>A1152&amp;"년 "&amp;WEEKNUM(C1152,2)&amp;"주차"&amp;" ("&amp;TEXT(C1152,"m/dd")&amp;"~"&amp;TEXT(C1158,"m/dd")&amp;")"</f>
        <v>2025년 8주차 (2/17~2/23)</v>
      </c>
      <c r="K1156" s="6">
        <f t="shared" si="157"/>
        <v>2025</v>
      </c>
      <c r="L1156" s="6">
        <f t="shared" si="158"/>
        <v>8</v>
      </c>
    </row>
    <row r="1157" spans="1:12" x14ac:dyDescent="0.45">
      <c r="A1157" s="6">
        <f t="shared" si="152"/>
        <v>2025</v>
      </c>
      <c r="B1157" s="6">
        <f t="shared" si="156"/>
        <v>2</v>
      </c>
      <c r="C1157" s="7">
        <v>45710</v>
      </c>
      <c r="D1157" s="6">
        <f t="shared" si="153"/>
        <v>6</v>
      </c>
      <c r="E1157" s="6">
        <f t="shared" si="154"/>
        <v>8</v>
      </c>
      <c r="F1157" s="6">
        <f t="shared" si="155"/>
        <v>3</v>
      </c>
      <c r="G1157" s="6" t="str">
        <f t="shared" si="150"/>
        <v>02</v>
      </c>
      <c r="H1157" s="6" t="str">
        <f t="shared" si="151"/>
        <v>02월 3주차</v>
      </c>
      <c r="I1157" s="6" t="str">
        <f>H1157&amp;" ("&amp;TEXT(C1152,"m/dd")&amp;"~"&amp;TEXT(C1158,"m/dd")&amp;")"</f>
        <v>02월 3주차 (2/17~2/23)</v>
      </c>
      <c r="J1157" s="6" t="str">
        <f>A1152&amp;"년 "&amp;WEEKNUM(C1152,2)&amp;"주차"&amp;" ("&amp;TEXT(C1152,"m/dd")&amp;"~"&amp;TEXT(C1158,"m/dd")&amp;")"</f>
        <v>2025년 8주차 (2/17~2/23)</v>
      </c>
      <c r="K1157" s="6">
        <f t="shared" si="157"/>
        <v>2025</v>
      </c>
      <c r="L1157" s="6">
        <f t="shared" si="158"/>
        <v>8</v>
      </c>
    </row>
    <row r="1158" spans="1:12" x14ac:dyDescent="0.45">
      <c r="A1158" s="6">
        <f t="shared" si="152"/>
        <v>2025</v>
      </c>
      <c r="B1158" s="6">
        <f t="shared" si="156"/>
        <v>2</v>
      </c>
      <c r="C1158" s="7">
        <v>45711</v>
      </c>
      <c r="D1158" s="6">
        <f t="shared" si="153"/>
        <v>7</v>
      </c>
      <c r="E1158" s="6">
        <f t="shared" si="154"/>
        <v>8</v>
      </c>
      <c r="F1158" s="6">
        <f t="shared" si="155"/>
        <v>3</v>
      </c>
      <c r="G1158" s="6" t="str">
        <f t="shared" si="150"/>
        <v>02</v>
      </c>
      <c r="H1158" s="6" t="str">
        <f t="shared" si="151"/>
        <v>02월 3주차</v>
      </c>
      <c r="I1158" s="6" t="str">
        <f>H1158&amp;" ("&amp;TEXT(C1152,"m/dd")&amp;"~"&amp;TEXT(C1158,"m/dd")&amp;")"</f>
        <v>02월 3주차 (2/17~2/23)</v>
      </c>
      <c r="J1158" s="6" t="str">
        <f>A1152&amp;"년 "&amp;WEEKNUM(C1152,2)&amp;"주차"&amp;" ("&amp;TEXT(C1152,"m/dd")&amp;"~"&amp;TEXT(C1158,"m/dd")&amp;")"</f>
        <v>2025년 8주차 (2/17~2/23)</v>
      </c>
      <c r="K1158" s="6">
        <f t="shared" si="157"/>
        <v>2025</v>
      </c>
      <c r="L1158" s="6">
        <f t="shared" si="158"/>
        <v>8</v>
      </c>
    </row>
    <row r="1159" spans="1:12" x14ac:dyDescent="0.45">
      <c r="A1159" s="6">
        <f t="shared" si="152"/>
        <v>2025</v>
      </c>
      <c r="B1159" s="6">
        <f t="shared" si="156"/>
        <v>2</v>
      </c>
      <c r="C1159" s="7">
        <v>45712</v>
      </c>
      <c r="D1159" s="6">
        <f t="shared" si="153"/>
        <v>1</v>
      </c>
      <c r="E1159" s="6">
        <f t="shared" si="154"/>
        <v>9</v>
      </c>
      <c r="F1159" s="6">
        <f t="shared" si="155"/>
        <v>4</v>
      </c>
      <c r="G1159" s="6" t="str">
        <f t="shared" si="150"/>
        <v>02</v>
      </c>
      <c r="H1159" s="6" t="str">
        <f t="shared" si="151"/>
        <v>02월 4주차</v>
      </c>
      <c r="I1159" s="6" t="str">
        <f>H1159&amp;" ("&amp;TEXT(C1159,"m/dd")&amp;"~"&amp;TEXT(C1165,"m/dd")&amp;")"</f>
        <v>02월 4주차 (2/24~3/02)</v>
      </c>
      <c r="J1159" s="6" t="str">
        <f>A1159&amp;"년 "&amp;WEEKNUM(C1159,2)&amp;"주차"&amp;" ("&amp;TEXT(C1159,"m/dd")&amp;"~"&amp;TEXT(C1165,"m/dd")&amp;")"</f>
        <v>2025년 9주차 (2/24~3/02)</v>
      </c>
      <c r="K1159" s="6">
        <f t="shared" si="157"/>
        <v>2025</v>
      </c>
      <c r="L1159" s="6">
        <f t="shared" si="158"/>
        <v>9</v>
      </c>
    </row>
    <row r="1160" spans="1:12" x14ac:dyDescent="0.45">
      <c r="A1160" s="6">
        <f t="shared" si="152"/>
        <v>2025</v>
      </c>
      <c r="B1160" s="6">
        <f t="shared" si="156"/>
        <v>2</v>
      </c>
      <c r="C1160" s="7">
        <v>45713</v>
      </c>
      <c r="D1160" s="6">
        <f t="shared" si="153"/>
        <v>2</v>
      </c>
      <c r="E1160" s="6">
        <f t="shared" si="154"/>
        <v>9</v>
      </c>
      <c r="F1160" s="6">
        <f t="shared" si="155"/>
        <v>4</v>
      </c>
      <c r="G1160" s="6" t="str">
        <f t="shared" si="150"/>
        <v>02</v>
      </c>
      <c r="H1160" s="6" t="str">
        <f t="shared" si="151"/>
        <v>02월 4주차</v>
      </c>
      <c r="I1160" s="6" t="str">
        <f>H1160&amp;" ("&amp;TEXT(C1159,"m/dd")&amp;"~"&amp;TEXT(C1165,"m/dd")&amp;")"</f>
        <v>02월 4주차 (2/24~3/02)</v>
      </c>
      <c r="J1160" s="6" t="str">
        <f>A1159&amp;"년 "&amp;WEEKNUM(C1159,2)&amp;"주차"&amp;" ("&amp;TEXT(C1159,"m/dd")&amp;"~"&amp;TEXT(C1165,"m/dd")&amp;")"</f>
        <v>2025년 9주차 (2/24~3/02)</v>
      </c>
      <c r="K1160" s="6">
        <f t="shared" si="157"/>
        <v>2025</v>
      </c>
      <c r="L1160" s="6">
        <f t="shared" si="158"/>
        <v>9</v>
      </c>
    </row>
    <row r="1161" spans="1:12" x14ac:dyDescent="0.45">
      <c r="A1161" s="6">
        <f t="shared" si="152"/>
        <v>2025</v>
      </c>
      <c r="B1161" s="6">
        <f t="shared" si="156"/>
        <v>2</v>
      </c>
      <c r="C1161" s="7">
        <v>45714</v>
      </c>
      <c r="D1161" s="6">
        <f t="shared" si="153"/>
        <v>3</v>
      </c>
      <c r="E1161" s="6">
        <f t="shared" si="154"/>
        <v>9</v>
      </c>
      <c r="F1161" s="6">
        <f t="shared" si="155"/>
        <v>4</v>
      </c>
      <c r="G1161" s="6" t="str">
        <f t="shared" si="150"/>
        <v>02</v>
      </c>
      <c r="H1161" s="6" t="str">
        <f t="shared" si="151"/>
        <v>02월 4주차</v>
      </c>
      <c r="I1161" s="6" t="str">
        <f>H1161&amp;" ("&amp;TEXT(C1159,"m/dd")&amp;"~"&amp;TEXT(C1165,"m/dd")&amp;")"</f>
        <v>02월 4주차 (2/24~3/02)</v>
      </c>
      <c r="J1161" s="6" t="str">
        <f>A1159&amp;"년 "&amp;WEEKNUM(C1159,2)&amp;"주차"&amp;" ("&amp;TEXT(C1159,"m/dd")&amp;"~"&amp;TEXT(C1165,"m/dd")&amp;")"</f>
        <v>2025년 9주차 (2/24~3/02)</v>
      </c>
      <c r="K1161" s="6">
        <f t="shared" si="157"/>
        <v>2025</v>
      </c>
      <c r="L1161" s="6">
        <f t="shared" si="158"/>
        <v>9</v>
      </c>
    </row>
    <row r="1162" spans="1:12" x14ac:dyDescent="0.45">
      <c r="A1162" s="6">
        <f t="shared" si="152"/>
        <v>2025</v>
      </c>
      <c r="B1162" s="6">
        <f t="shared" si="156"/>
        <v>2</v>
      </c>
      <c r="C1162" s="7">
        <v>45715</v>
      </c>
      <c r="D1162" s="6">
        <f t="shared" si="153"/>
        <v>4</v>
      </c>
      <c r="E1162" s="6">
        <f t="shared" si="154"/>
        <v>9</v>
      </c>
      <c r="F1162" s="6">
        <f t="shared" si="155"/>
        <v>4</v>
      </c>
      <c r="G1162" s="6" t="str">
        <f t="shared" si="150"/>
        <v>02</v>
      </c>
      <c r="H1162" s="6" t="str">
        <f t="shared" si="151"/>
        <v>02월 4주차</v>
      </c>
      <c r="I1162" s="6" t="str">
        <f>H1162&amp;" ("&amp;TEXT(C1159,"m/dd")&amp;"~"&amp;TEXT(C1165,"m/dd")&amp;")"</f>
        <v>02월 4주차 (2/24~3/02)</v>
      </c>
      <c r="J1162" s="6" t="str">
        <f>A1159&amp;"년 "&amp;WEEKNUM(C1159,2)&amp;"주차"&amp;" ("&amp;TEXT(C1159,"m/dd")&amp;"~"&amp;TEXT(C1165,"m/dd")&amp;")"</f>
        <v>2025년 9주차 (2/24~3/02)</v>
      </c>
      <c r="K1162" s="6">
        <f t="shared" si="157"/>
        <v>2025</v>
      </c>
      <c r="L1162" s="6">
        <f t="shared" si="158"/>
        <v>9</v>
      </c>
    </row>
    <row r="1163" spans="1:12" x14ac:dyDescent="0.45">
      <c r="A1163" s="6">
        <f t="shared" si="152"/>
        <v>2025</v>
      </c>
      <c r="B1163" s="6">
        <f t="shared" si="156"/>
        <v>2</v>
      </c>
      <c r="C1163" s="7">
        <v>45716</v>
      </c>
      <c r="D1163" s="6">
        <f t="shared" si="153"/>
        <v>5</v>
      </c>
      <c r="E1163" s="6">
        <f t="shared" si="154"/>
        <v>9</v>
      </c>
      <c r="F1163" s="6">
        <f t="shared" si="155"/>
        <v>4</v>
      </c>
      <c r="G1163" s="6" t="str">
        <f t="shared" ref="G1163:G1226" si="159">IF(LEN(B1163)=1,_xlfn.CONCAT(0,B1163),B1163)</f>
        <v>02</v>
      </c>
      <c r="H1163" s="6" t="str">
        <f t="shared" ref="H1163:H1226" si="160">G1163&amp;"월 "&amp;F1163&amp;"주차"</f>
        <v>02월 4주차</v>
      </c>
      <c r="I1163" s="6" t="str">
        <f>H1163&amp;" ("&amp;TEXT(C1159,"m/dd")&amp;"~"&amp;TEXT(C1165,"m/dd")&amp;")"</f>
        <v>02월 4주차 (2/24~3/02)</v>
      </c>
      <c r="J1163" s="6" t="str">
        <f>A1159&amp;"년 "&amp;WEEKNUM(C1159,2)&amp;"주차"&amp;" ("&amp;TEXT(C1159,"m/dd")&amp;"~"&amp;TEXT(C1165,"m/dd")&amp;")"</f>
        <v>2025년 9주차 (2/24~3/02)</v>
      </c>
      <c r="K1163" s="6">
        <f t="shared" si="157"/>
        <v>2025</v>
      </c>
      <c r="L1163" s="6">
        <f t="shared" si="158"/>
        <v>9</v>
      </c>
    </row>
    <row r="1164" spans="1:12" x14ac:dyDescent="0.45">
      <c r="A1164" s="6">
        <f t="shared" si="152"/>
        <v>2025</v>
      </c>
      <c r="B1164" s="6">
        <f t="shared" si="156"/>
        <v>3</v>
      </c>
      <c r="C1164" s="7">
        <v>45717</v>
      </c>
      <c r="D1164" s="6">
        <f t="shared" si="153"/>
        <v>6</v>
      </c>
      <c r="E1164" s="6">
        <f t="shared" si="154"/>
        <v>9</v>
      </c>
      <c r="F1164" s="6">
        <f t="shared" si="155"/>
        <v>4</v>
      </c>
      <c r="G1164" s="6" t="str">
        <f t="shared" si="159"/>
        <v>03</v>
      </c>
      <c r="H1164" s="6" t="str">
        <f t="shared" si="160"/>
        <v>03월 4주차</v>
      </c>
      <c r="I1164" s="6" t="str">
        <f>H1164&amp;" ("&amp;TEXT(C1159,"m/dd")&amp;"~"&amp;TEXT(C1165,"m/dd")&amp;")"</f>
        <v>03월 4주차 (2/24~3/02)</v>
      </c>
      <c r="J1164" s="6" t="str">
        <f>A1159&amp;"년 "&amp;WEEKNUM(C1159,2)&amp;"주차"&amp;" ("&amp;TEXT(C1159,"m/dd")&amp;"~"&amp;TEXT(C1165,"m/dd")&amp;")"</f>
        <v>2025년 9주차 (2/24~3/02)</v>
      </c>
      <c r="K1164" s="6">
        <f t="shared" si="157"/>
        <v>2025</v>
      </c>
      <c r="L1164" s="6">
        <f t="shared" si="158"/>
        <v>9</v>
      </c>
    </row>
    <row r="1165" spans="1:12" x14ac:dyDescent="0.45">
      <c r="A1165" s="6">
        <f t="shared" si="152"/>
        <v>2025</v>
      </c>
      <c r="B1165" s="6">
        <f t="shared" si="156"/>
        <v>3</v>
      </c>
      <c r="C1165" s="7">
        <v>45718</v>
      </c>
      <c r="D1165" s="6">
        <f t="shared" si="153"/>
        <v>7</v>
      </c>
      <c r="E1165" s="6">
        <f t="shared" si="154"/>
        <v>9</v>
      </c>
      <c r="F1165" s="6">
        <f t="shared" si="155"/>
        <v>4</v>
      </c>
      <c r="G1165" s="6" t="str">
        <f t="shared" si="159"/>
        <v>03</v>
      </c>
      <c r="H1165" s="6" t="str">
        <f t="shared" si="160"/>
        <v>03월 4주차</v>
      </c>
      <c r="I1165" s="6" t="str">
        <f>H1165&amp;" ("&amp;TEXT(C1159,"m/dd")&amp;"~"&amp;TEXT(C1165,"m/dd")&amp;")"</f>
        <v>03월 4주차 (2/24~3/02)</v>
      </c>
      <c r="J1165" s="6" t="str">
        <f>A1159&amp;"년 "&amp;WEEKNUM(C1159,2)&amp;"주차"&amp;" ("&amp;TEXT(C1159,"m/dd")&amp;"~"&amp;TEXT(C1165,"m/dd")&amp;")"</f>
        <v>2025년 9주차 (2/24~3/02)</v>
      </c>
      <c r="K1165" s="6">
        <f t="shared" si="157"/>
        <v>2025</v>
      </c>
      <c r="L1165" s="6">
        <f t="shared" si="158"/>
        <v>9</v>
      </c>
    </row>
    <row r="1166" spans="1:12" x14ac:dyDescent="0.45">
      <c r="A1166" s="6">
        <f t="shared" si="152"/>
        <v>2025</v>
      </c>
      <c r="B1166" s="6">
        <f t="shared" si="156"/>
        <v>3</v>
      </c>
      <c r="C1166" s="7">
        <v>45719</v>
      </c>
      <c r="D1166" s="6">
        <f t="shared" si="153"/>
        <v>1</v>
      </c>
      <c r="E1166" s="6">
        <f t="shared" si="154"/>
        <v>10</v>
      </c>
      <c r="F1166" s="6">
        <f t="shared" si="155"/>
        <v>1</v>
      </c>
      <c r="G1166" s="6" t="str">
        <f t="shared" si="159"/>
        <v>03</v>
      </c>
      <c r="H1166" s="6" t="str">
        <f t="shared" si="160"/>
        <v>03월 1주차</v>
      </c>
      <c r="I1166" s="6" t="str">
        <f>H1166&amp;" ("&amp;TEXT(C1166,"m/dd")&amp;"~"&amp;TEXT(C1172,"m/dd")&amp;")"</f>
        <v>03월 1주차 (3/03~3/09)</v>
      </c>
      <c r="J1166" s="6" t="str">
        <f>A1166&amp;"년 "&amp;WEEKNUM(C1166,2)&amp;"주차"&amp;" ("&amp;TEXT(C1166,"m/dd")&amp;"~"&amp;TEXT(C1172,"m/dd")&amp;")"</f>
        <v>2025년 10주차 (3/03~3/09)</v>
      </c>
      <c r="K1166" s="6">
        <f t="shared" si="157"/>
        <v>2025</v>
      </c>
      <c r="L1166" s="6">
        <f t="shared" si="158"/>
        <v>10</v>
      </c>
    </row>
    <row r="1167" spans="1:12" x14ac:dyDescent="0.45">
      <c r="A1167" s="6">
        <f t="shared" ref="A1167:A1230" si="161">YEAR(C1167)</f>
        <v>2025</v>
      </c>
      <c r="B1167" s="6">
        <f t="shared" si="156"/>
        <v>3</v>
      </c>
      <c r="C1167" s="7">
        <v>45720</v>
      </c>
      <c r="D1167" s="6">
        <f t="shared" si="153"/>
        <v>2</v>
      </c>
      <c r="E1167" s="6">
        <f t="shared" si="154"/>
        <v>10</v>
      </c>
      <c r="F1167" s="6">
        <f t="shared" si="155"/>
        <v>1</v>
      </c>
      <c r="G1167" s="6" t="str">
        <f t="shared" si="159"/>
        <v>03</v>
      </c>
      <c r="H1167" s="6" t="str">
        <f t="shared" si="160"/>
        <v>03월 1주차</v>
      </c>
      <c r="I1167" s="6" t="str">
        <f>H1167&amp;" ("&amp;TEXT(C1166,"m/dd")&amp;"~"&amp;TEXT(C1172,"m/dd")&amp;")"</f>
        <v>03월 1주차 (3/03~3/09)</v>
      </c>
      <c r="J1167" s="6" t="str">
        <f>A1166&amp;"년 "&amp;WEEKNUM(C1166,2)&amp;"주차"&amp;" ("&amp;TEXT(C1166,"m/dd")&amp;"~"&amp;TEXT(C1172,"m/dd")&amp;")"</f>
        <v>2025년 10주차 (3/03~3/09)</v>
      </c>
      <c r="K1167" s="6">
        <f t="shared" si="157"/>
        <v>2025</v>
      </c>
      <c r="L1167" s="6">
        <f t="shared" si="158"/>
        <v>10</v>
      </c>
    </row>
    <row r="1168" spans="1:12" x14ac:dyDescent="0.45">
      <c r="A1168" s="6">
        <f t="shared" si="161"/>
        <v>2025</v>
      </c>
      <c r="B1168" s="6">
        <f t="shared" si="156"/>
        <v>3</v>
      </c>
      <c r="C1168" s="7">
        <v>45721</v>
      </c>
      <c r="D1168" s="6">
        <f t="shared" si="153"/>
        <v>3</v>
      </c>
      <c r="E1168" s="6">
        <f t="shared" si="154"/>
        <v>10</v>
      </c>
      <c r="F1168" s="6">
        <f t="shared" si="155"/>
        <v>1</v>
      </c>
      <c r="G1168" s="6" t="str">
        <f t="shared" si="159"/>
        <v>03</v>
      </c>
      <c r="H1168" s="6" t="str">
        <f t="shared" si="160"/>
        <v>03월 1주차</v>
      </c>
      <c r="I1168" s="6" t="str">
        <f>H1168&amp;" ("&amp;TEXT(C1166,"m/dd")&amp;"~"&amp;TEXT(C1172,"m/dd")&amp;")"</f>
        <v>03월 1주차 (3/03~3/09)</v>
      </c>
      <c r="J1168" s="6" t="str">
        <f>A1166&amp;"년 "&amp;WEEKNUM(C1166,2)&amp;"주차"&amp;" ("&amp;TEXT(C1166,"m/dd")&amp;"~"&amp;TEXT(C1172,"m/dd")&amp;")"</f>
        <v>2025년 10주차 (3/03~3/09)</v>
      </c>
      <c r="K1168" s="6">
        <f t="shared" si="157"/>
        <v>2025</v>
      </c>
      <c r="L1168" s="6">
        <f t="shared" si="158"/>
        <v>10</v>
      </c>
    </row>
    <row r="1169" spans="1:12" x14ac:dyDescent="0.45">
      <c r="A1169" s="6">
        <f t="shared" si="161"/>
        <v>2025</v>
      </c>
      <c r="B1169" s="6">
        <f t="shared" si="156"/>
        <v>3</v>
      </c>
      <c r="C1169" s="7">
        <v>45722</v>
      </c>
      <c r="D1169" s="6">
        <f t="shared" si="153"/>
        <v>4</v>
      </c>
      <c r="E1169" s="6">
        <f t="shared" si="154"/>
        <v>10</v>
      </c>
      <c r="F1169" s="6">
        <f t="shared" si="155"/>
        <v>1</v>
      </c>
      <c r="G1169" s="6" t="str">
        <f t="shared" si="159"/>
        <v>03</v>
      </c>
      <c r="H1169" s="6" t="str">
        <f t="shared" si="160"/>
        <v>03월 1주차</v>
      </c>
      <c r="I1169" s="6" t="str">
        <f>H1169&amp;" ("&amp;TEXT(C1166,"m/dd")&amp;"~"&amp;TEXT(C1172,"m/dd")&amp;")"</f>
        <v>03월 1주차 (3/03~3/09)</v>
      </c>
      <c r="J1169" s="6" t="str">
        <f>A1166&amp;"년 "&amp;WEEKNUM(C1166,2)&amp;"주차"&amp;" ("&amp;TEXT(C1166,"m/dd")&amp;"~"&amp;TEXT(C1172,"m/dd")&amp;")"</f>
        <v>2025년 10주차 (3/03~3/09)</v>
      </c>
      <c r="K1169" s="6">
        <f t="shared" si="157"/>
        <v>2025</v>
      </c>
      <c r="L1169" s="6">
        <f t="shared" si="158"/>
        <v>10</v>
      </c>
    </row>
    <row r="1170" spans="1:12" x14ac:dyDescent="0.45">
      <c r="A1170" s="6">
        <f t="shared" si="161"/>
        <v>2025</v>
      </c>
      <c r="B1170" s="6">
        <f t="shared" si="156"/>
        <v>3</v>
      </c>
      <c r="C1170" s="7">
        <v>45723</v>
      </c>
      <c r="D1170" s="6">
        <f t="shared" si="153"/>
        <v>5</v>
      </c>
      <c r="E1170" s="6">
        <f t="shared" si="154"/>
        <v>10</v>
      </c>
      <c r="F1170" s="6">
        <f t="shared" si="155"/>
        <v>1</v>
      </c>
      <c r="G1170" s="6" t="str">
        <f t="shared" si="159"/>
        <v>03</v>
      </c>
      <c r="H1170" s="6" t="str">
        <f t="shared" si="160"/>
        <v>03월 1주차</v>
      </c>
      <c r="I1170" s="6" t="str">
        <f>H1170&amp;" ("&amp;TEXT(C1166,"m/dd")&amp;"~"&amp;TEXT(C1172,"m/dd")&amp;")"</f>
        <v>03월 1주차 (3/03~3/09)</v>
      </c>
      <c r="J1170" s="6" t="str">
        <f>A1166&amp;"년 "&amp;WEEKNUM(C1166,2)&amp;"주차"&amp;" ("&amp;TEXT(C1166,"m/dd")&amp;"~"&amp;TEXT(C1172,"m/dd")&amp;")"</f>
        <v>2025년 10주차 (3/03~3/09)</v>
      </c>
      <c r="K1170" s="6">
        <f t="shared" si="157"/>
        <v>2025</v>
      </c>
      <c r="L1170" s="6">
        <f t="shared" si="158"/>
        <v>10</v>
      </c>
    </row>
    <row r="1171" spans="1:12" x14ac:dyDescent="0.45">
      <c r="A1171" s="6">
        <f t="shared" si="161"/>
        <v>2025</v>
      </c>
      <c r="B1171" s="6">
        <f t="shared" si="156"/>
        <v>3</v>
      </c>
      <c r="C1171" s="7">
        <v>45724</v>
      </c>
      <c r="D1171" s="6">
        <f t="shared" si="153"/>
        <v>6</v>
      </c>
      <c r="E1171" s="6">
        <f t="shared" si="154"/>
        <v>10</v>
      </c>
      <c r="F1171" s="6">
        <f t="shared" si="155"/>
        <v>1</v>
      </c>
      <c r="G1171" s="6" t="str">
        <f t="shared" si="159"/>
        <v>03</v>
      </c>
      <c r="H1171" s="6" t="str">
        <f t="shared" si="160"/>
        <v>03월 1주차</v>
      </c>
      <c r="I1171" s="6" t="str">
        <f>H1171&amp;" ("&amp;TEXT(C1166,"m/dd")&amp;"~"&amp;TEXT(C1172,"m/dd")&amp;")"</f>
        <v>03월 1주차 (3/03~3/09)</v>
      </c>
      <c r="J1171" s="6" t="str">
        <f>A1166&amp;"년 "&amp;WEEKNUM(C1166,2)&amp;"주차"&amp;" ("&amp;TEXT(C1166,"m/dd")&amp;"~"&amp;TEXT(C1172,"m/dd")&amp;")"</f>
        <v>2025년 10주차 (3/03~3/09)</v>
      </c>
      <c r="K1171" s="6">
        <f t="shared" si="157"/>
        <v>2025</v>
      </c>
      <c r="L1171" s="6">
        <f t="shared" si="158"/>
        <v>10</v>
      </c>
    </row>
    <row r="1172" spans="1:12" x14ac:dyDescent="0.45">
      <c r="A1172" s="6">
        <f t="shared" si="161"/>
        <v>2025</v>
      </c>
      <c r="B1172" s="6">
        <f t="shared" si="156"/>
        <v>3</v>
      </c>
      <c r="C1172" s="7">
        <v>45725</v>
      </c>
      <c r="D1172" s="6">
        <f t="shared" si="153"/>
        <v>7</v>
      </c>
      <c r="E1172" s="6">
        <f t="shared" si="154"/>
        <v>10</v>
      </c>
      <c r="F1172" s="6">
        <f t="shared" si="155"/>
        <v>1</v>
      </c>
      <c r="G1172" s="6" t="str">
        <f t="shared" si="159"/>
        <v>03</v>
      </c>
      <c r="H1172" s="6" t="str">
        <f t="shared" si="160"/>
        <v>03월 1주차</v>
      </c>
      <c r="I1172" s="6" t="str">
        <f>H1172&amp;" ("&amp;TEXT(C1166,"m/dd")&amp;"~"&amp;TEXT(C1172,"m/dd")&amp;")"</f>
        <v>03월 1주차 (3/03~3/09)</v>
      </c>
      <c r="J1172" s="6" t="str">
        <f>A1166&amp;"년 "&amp;WEEKNUM(C1166,2)&amp;"주차"&amp;" ("&amp;TEXT(C1166,"m/dd")&amp;"~"&amp;TEXT(C1172,"m/dd")&amp;")"</f>
        <v>2025년 10주차 (3/03~3/09)</v>
      </c>
      <c r="K1172" s="6">
        <f t="shared" si="157"/>
        <v>2025</v>
      </c>
      <c r="L1172" s="6">
        <f t="shared" si="158"/>
        <v>10</v>
      </c>
    </row>
    <row r="1173" spans="1:12" x14ac:dyDescent="0.45">
      <c r="A1173" s="6">
        <f t="shared" si="161"/>
        <v>2025</v>
      </c>
      <c r="B1173" s="6">
        <f t="shared" si="156"/>
        <v>3</v>
      </c>
      <c r="C1173" s="7">
        <v>45726</v>
      </c>
      <c r="D1173" s="6">
        <f t="shared" si="153"/>
        <v>1</v>
      </c>
      <c r="E1173" s="6">
        <f t="shared" si="154"/>
        <v>11</v>
      </c>
      <c r="F1173" s="6">
        <f t="shared" si="155"/>
        <v>2</v>
      </c>
      <c r="G1173" s="6" t="str">
        <f t="shared" si="159"/>
        <v>03</v>
      </c>
      <c r="H1173" s="6" t="str">
        <f t="shared" si="160"/>
        <v>03월 2주차</v>
      </c>
      <c r="I1173" s="6" t="str">
        <f>H1173&amp;" ("&amp;TEXT(C1173,"m/dd")&amp;"~"&amp;TEXT(C1179,"m/dd")&amp;")"</f>
        <v>03월 2주차 (3/10~3/16)</v>
      </c>
      <c r="J1173" s="6" t="str">
        <f>A1173&amp;"년 "&amp;WEEKNUM(C1173,2)&amp;"주차"&amp;" ("&amp;TEXT(C1173,"m/dd")&amp;"~"&amp;TEXT(C1179,"m/dd")&amp;")"</f>
        <v>2025년 11주차 (3/10~3/16)</v>
      </c>
      <c r="K1173" s="6">
        <f t="shared" si="157"/>
        <v>2025</v>
      </c>
      <c r="L1173" s="6">
        <f t="shared" si="158"/>
        <v>11</v>
      </c>
    </row>
    <row r="1174" spans="1:12" x14ac:dyDescent="0.45">
      <c r="A1174" s="6">
        <f t="shared" si="161"/>
        <v>2025</v>
      </c>
      <c r="B1174" s="6">
        <f t="shared" si="156"/>
        <v>3</v>
      </c>
      <c r="C1174" s="7">
        <v>45727</v>
      </c>
      <c r="D1174" s="6">
        <f t="shared" si="153"/>
        <v>2</v>
      </c>
      <c r="E1174" s="6">
        <f t="shared" si="154"/>
        <v>11</v>
      </c>
      <c r="F1174" s="6">
        <f t="shared" si="155"/>
        <v>2</v>
      </c>
      <c r="G1174" s="6" t="str">
        <f t="shared" si="159"/>
        <v>03</v>
      </c>
      <c r="H1174" s="6" t="str">
        <f t="shared" si="160"/>
        <v>03월 2주차</v>
      </c>
      <c r="I1174" s="6" t="str">
        <f>H1174&amp;" ("&amp;TEXT(C1173,"m/dd")&amp;"~"&amp;TEXT(C1179,"m/dd")&amp;")"</f>
        <v>03월 2주차 (3/10~3/16)</v>
      </c>
      <c r="J1174" s="6" t="str">
        <f>A1173&amp;"년 "&amp;WEEKNUM(C1173,2)&amp;"주차"&amp;" ("&amp;TEXT(C1173,"m/dd")&amp;"~"&amp;TEXT(C1179,"m/dd")&amp;")"</f>
        <v>2025년 11주차 (3/10~3/16)</v>
      </c>
      <c r="K1174" s="6">
        <f t="shared" si="157"/>
        <v>2025</v>
      </c>
      <c r="L1174" s="6">
        <f t="shared" si="158"/>
        <v>11</v>
      </c>
    </row>
    <row r="1175" spans="1:12" x14ac:dyDescent="0.45">
      <c r="A1175" s="6">
        <f t="shared" si="161"/>
        <v>2025</v>
      </c>
      <c r="B1175" s="6">
        <f t="shared" si="156"/>
        <v>3</v>
      </c>
      <c r="C1175" s="7">
        <v>45728</v>
      </c>
      <c r="D1175" s="6">
        <f t="shared" ref="D1175:D1235" si="162">WEEKDAY(C1175,2)</f>
        <v>3</v>
      </c>
      <c r="E1175" s="6">
        <f t="shared" ref="E1175:E1235" si="163">WEEKNUM(C1175,2)</f>
        <v>11</v>
      </c>
      <c r="F1175" s="6">
        <f t="shared" ref="F1175:F1235" si="164">WEEKNUM(DATE(YEAR(C1175),1,DAY(C1175-WEEKDAY(C1175,2)+1)),WEEKDAY(DATE(YEAR(C1175),1,1),11)+10)</f>
        <v>2</v>
      </c>
      <c r="G1175" s="6" t="str">
        <f t="shared" si="159"/>
        <v>03</v>
      </c>
      <c r="H1175" s="6" t="str">
        <f t="shared" si="160"/>
        <v>03월 2주차</v>
      </c>
      <c r="I1175" s="6" t="str">
        <f>H1175&amp;" ("&amp;TEXT(C1173,"m/dd")&amp;"~"&amp;TEXT(C1179,"m/dd")&amp;")"</f>
        <v>03월 2주차 (3/10~3/16)</v>
      </c>
      <c r="J1175" s="6" t="str">
        <f>A1173&amp;"년 "&amp;WEEKNUM(C1173,2)&amp;"주차"&amp;" ("&amp;TEXT(C1173,"m/dd")&amp;"~"&amp;TEXT(C1179,"m/dd")&amp;")"</f>
        <v>2025년 11주차 (3/10~3/16)</v>
      </c>
      <c r="K1175" s="6">
        <f t="shared" si="157"/>
        <v>2025</v>
      </c>
      <c r="L1175" s="6">
        <f t="shared" si="158"/>
        <v>11</v>
      </c>
    </row>
    <row r="1176" spans="1:12" x14ac:dyDescent="0.45">
      <c r="A1176" s="6">
        <f t="shared" si="161"/>
        <v>2025</v>
      </c>
      <c r="B1176" s="6">
        <f t="shared" si="156"/>
        <v>3</v>
      </c>
      <c r="C1176" s="7">
        <v>45729</v>
      </c>
      <c r="D1176" s="6">
        <f t="shared" si="162"/>
        <v>4</v>
      </c>
      <c r="E1176" s="6">
        <f t="shared" si="163"/>
        <v>11</v>
      </c>
      <c r="F1176" s="6">
        <f t="shared" si="164"/>
        <v>2</v>
      </c>
      <c r="G1176" s="6" t="str">
        <f t="shared" si="159"/>
        <v>03</v>
      </c>
      <c r="H1176" s="6" t="str">
        <f t="shared" si="160"/>
        <v>03월 2주차</v>
      </c>
      <c r="I1176" s="6" t="str">
        <f>H1176&amp;" ("&amp;TEXT(C1173,"m/dd")&amp;"~"&amp;TEXT(C1179,"m/dd")&amp;")"</f>
        <v>03월 2주차 (3/10~3/16)</v>
      </c>
      <c r="J1176" s="6" t="str">
        <f>A1173&amp;"년 "&amp;WEEKNUM(C1173,2)&amp;"주차"&amp;" ("&amp;TEXT(C1173,"m/dd")&amp;"~"&amp;TEXT(C1179,"m/dd")&amp;")"</f>
        <v>2025년 11주차 (3/10~3/16)</v>
      </c>
      <c r="K1176" s="6">
        <f t="shared" si="157"/>
        <v>2025</v>
      </c>
      <c r="L1176" s="6">
        <f t="shared" si="158"/>
        <v>11</v>
      </c>
    </row>
    <row r="1177" spans="1:12" x14ac:dyDescent="0.45">
      <c r="A1177" s="6">
        <f t="shared" si="161"/>
        <v>2025</v>
      </c>
      <c r="B1177" s="6">
        <f t="shared" si="156"/>
        <v>3</v>
      </c>
      <c r="C1177" s="7">
        <v>45730</v>
      </c>
      <c r="D1177" s="6">
        <f t="shared" si="162"/>
        <v>5</v>
      </c>
      <c r="E1177" s="6">
        <f t="shared" si="163"/>
        <v>11</v>
      </c>
      <c r="F1177" s="6">
        <f t="shared" si="164"/>
        <v>2</v>
      </c>
      <c r="G1177" s="6" t="str">
        <f t="shared" si="159"/>
        <v>03</v>
      </c>
      <c r="H1177" s="6" t="str">
        <f t="shared" si="160"/>
        <v>03월 2주차</v>
      </c>
      <c r="I1177" s="6" t="str">
        <f>H1177&amp;" ("&amp;TEXT(C1173,"m/dd")&amp;"~"&amp;TEXT(C1179,"m/dd")&amp;")"</f>
        <v>03월 2주차 (3/10~3/16)</v>
      </c>
      <c r="J1177" s="6" t="str">
        <f>A1173&amp;"년 "&amp;WEEKNUM(C1173,2)&amp;"주차"&amp;" ("&amp;TEXT(C1173,"m/dd")&amp;"~"&amp;TEXT(C1179,"m/dd")&amp;")"</f>
        <v>2025년 11주차 (3/10~3/16)</v>
      </c>
      <c r="K1177" s="6">
        <f t="shared" si="157"/>
        <v>2025</v>
      </c>
      <c r="L1177" s="6">
        <f t="shared" si="158"/>
        <v>11</v>
      </c>
    </row>
    <row r="1178" spans="1:12" x14ac:dyDescent="0.45">
      <c r="A1178" s="6">
        <f t="shared" si="161"/>
        <v>2025</v>
      </c>
      <c r="B1178" s="6">
        <f t="shared" si="156"/>
        <v>3</v>
      </c>
      <c r="C1178" s="7">
        <v>45731</v>
      </c>
      <c r="D1178" s="6">
        <f t="shared" si="162"/>
        <v>6</v>
      </c>
      <c r="E1178" s="6">
        <f t="shared" si="163"/>
        <v>11</v>
      </c>
      <c r="F1178" s="6">
        <f t="shared" si="164"/>
        <v>2</v>
      </c>
      <c r="G1178" s="6" t="str">
        <f t="shared" si="159"/>
        <v>03</v>
      </c>
      <c r="H1178" s="6" t="str">
        <f t="shared" si="160"/>
        <v>03월 2주차</v>
      </c>
      <c r="I1178" s="6" t="str">
        <f>H1178&amp;" ("&amp;TEXT(C1173,"m/dd")&amp;"~"&amp;TEXT(C1179,"m/dd")&amp;")"</f>
        <v>03월 2주차 (3/10~3/16)</v>
      </c>
      <c r="J1178" s="6" t="str">
        <f>A1173&amp;"년 "&amp;WEEKNUM(C1173,2)&amp;"주차"&amp;" ("&amp;TEXT(C1173,"m/dd")&amp;"~"&amp;TEXT(C1179,"m/dd")&amp;")"</f>
        <v>2025년 11주차 (3/10~3/16)</v>
      </c>
      <c r="K1178" s="6">
        <f t="shared" si="157"/>
        <v>2025</v>
      </c>
      <c r="L1178" s="6">
        <f t="shared" si="158"/>
        <v>11</v>
      </c>
    </row>
    <row r="1179" spans="1:12" x14ac:dyDescent="0.45">
      <c r="A1179" s="6">
        <f t="shared" si="161"/>
        <v>2025</v>
      </c>
      <c r="B1179" s="6">
        <f t="shared" si="156"/>
        <v>3</v>
      </c>
      <c r="C1179" s="7">
        <v>45732</v>
      </c>
      <c r="D1179" s="6">
        <f t="shared" si="162"/>
        <v>7</v>
      </c>
      <c r="E1179" s="6">
        <f t="shared" si="163"/>
        <v>11</v>
      </c>
      <c r="F1179" s="6">
        <f t="shared" si="164"/>
        <v>2</v>
      </c>
      <c r="G1179" s="6" t="str">
        <f t="shared" si="159"/>
        <v>03</v>
      </c>
      <c r="H1179" s="6" t="str">
        <f t="shared" si="160"/>
        <v>03월 2주차</v>
      </c>
      <c r="I1179" s="6" t="str">
        <f>H1179&amp;" ("&amp;TEXT(C1173,"m/dd")&amp;"~"&amp;TEXT(C1179,"m/dd")&amp;")"</f>
        <v>03월 2주차 (3/10~3/16)</v>
      </c>
      <c r="J1179" s="6" t="str">
        <f>A1173&amp;"년 "&amp;WEEKNUM(C1173,2)&amp;"주차"&amp;" ("&amp;TEXT(C1173,"m/dd")&amp;"~"&amp;TEXT(C1179,"m/dd")&amp;")"</f>
        <v>2025년 11주차 (3/10~3/16)</v>
      </c>
      <c r="K1179" s="6">
        <f t="shared" si="157"/>
        <v>2025</v>
      </c>
      <c r="L1179" s="6">
        <f t="shared" si="158"/>
        <v>11</v>
      </c>
    </row>
    <row r="1180" spans="1:12" x14ac:dyDescent="0.45">
      <c r="A1180" s="6">
        <f t="shared" si="161"/>
        <v>2025</v>
      </c>
      <c r="B1180" s="6">
        <f t="shared" si="156"/>
        <v>3</v>
      </c>
      <c r="C1180" s="7">
        <v>45733</v>
      </c>
      <c r="D1180" s="6">
        <f t="shared" si="162"/>
        <v>1</v>
      </c>
      <c r="E1180" s="6">
        <f t="shared" si="163"/>
        <v>12</v>
      </c>
      <c r="F1180" s="6">
        <f t="shared" si="164"/>
        <v>3</v>
      </c>
      <c r="G1180" s="6" t="str">
        <f t="shared" si="159"/>
        <v>03</v>
      </c>
      <c r="H1180" s="6" t="str">
        <f t="shared" si="160"/>
        <v>03월 3주차</v>
      </c>
      <c r="I1180" s="6" t="str">
        <f>H1180&amp;" ("&amp;TEXT(C1180,"m/dd")&amp;"~"&amp;TEXT(C1186,"m/dd")&amp;")"</f>
        <v>03월 3주차 (3/17~3/23)</v>
      </c>
      <c r="J1180" s="6" t="str">
        <f>A1180&amp;"년 "&amp;WEEKNUM(C1180,2)&amp;"주차"&amp;" ("&amp;TEXT(C1180,"m/dd")&amp;"~"&amp;TEXT(C1186,"m/dd")&amp;")"</f>
        <v>2025년 12주차 (3/17~3/23)</v>
      </c>
      <c r="K1180" s="6">
        <f t="shared" si="157"/>
        <v>2025</v>
      </c>
      <c r="L1180" s="6">
        <f t="shared" si="158"/>
        <v>12</v>
      </c>
    </row>
    <row r="1181" spans="1:12" x14ac:dyDescent="0.45">
      <c r="A1181" s="6">
        <f t="shared" si="161"/>
        <v>2025</v>
      </c>
      <c r="B1181" s="6">
        <f t="shared" si="156"/>
        <v>3</v>
      </c>
      <c r="C1181" s="7">
        <v>45734</v>
      </c>
      <c r="D1181" s="6">
        <f t="shared" si="162"/>
        <v>2</v>
      </c>
      <c r="E1181" s="6">
        <f t="shared" si="163"/>
        <v>12</v>
      </c>
      <c r="F1181" s="6">
        <f t="shared" si="164"/>
        <v>3</v>
      </c>
      <c r="G1181" s="6" t="str">
        <f t="shared" si="159"/>
        <v>03</v>
      </c>
      <c r="H1181" s="6" t="str">
        <f t="shared" si="160"/>
        <v>03월 3주차</v>
      </c>
      <c r="I1181" s="6" t="str">
        <f>H1181&amp;" ("&amp;TEXT(C1180,"m/dd")&amp;"~"&amp;TEXT(C1186,"m/dd")&amp;")"</f>
        <v>03월 3주차 (3/17~3/23)</v>
      </c>
      <c r="J1181" s="6" t="str">
        <f>A1180&amp;"년 "&amp;WEEKNUM(C1180,2)&amp;"주차"&amp;" ("&amp;TEXT(C1180,"m/dd")&amp;"~"&amp;TEXT(C1186,"m/dd")&amp;")"</f>
        <v>2025년 12주차 (3/17~3/23)</v>
      </c>
      <c r="K1181" s="6">
        <f t="shared" si="157"/>
        <v>2025</v>
      </c>
      <c r="L1181" s="6">
        <f t="shared" si="158"/>
        <v>12</v>
      </c>
    </row>
    <row r="1182" spans="1:12" x14ac:dyDescent="0.45">
      <c r="A1182" s="6">
        <f t="shared" si="161"/>
        <v>2025</v>
      </c>
      <c r="B1182" s="6">
        <f t="shared" si="156"/>
        <v>3</v>
      </c>
      <c r="C1182" s="7">
        <v>45735</v>
      </c>
      <c r="D1182" s="6">
        <f t="shared" si="162"/>
        <v>3</v>
      </c>
      <c r="E1182" s="6">
        <f t="shared" si="163"/>
        <v>12</v>
      </c>
      <c r="F1182" s="6">
        <f t="shared" si="164"/>
        <v>3</v>
      </c>
      <c r="G1182" s="6" t="str">
        <f t="shared" si="159"/>
        <v>03</v>
      </c>
      <c r="H1182" s="6" t="str">
        <f t="shared" si="160"/>
        <v>03월 3주차</v>
      </c>
      <c r="I1182" s="6" t="str">
        <f>H1182&amp;" ("&amp;TEXT(C1180,"m/dd")&amp;"~"&amp;TEXT(C1186,"m/dd")&amp;")"</f>
        <v>03월 3주차 (3/17~3/23)</v>
      </c>
      <c r="J1182" s="6" t="str">
        <f>A1180&amp;"년 "&amp;WEEKNUM(C1180,2)&amp;"주차"&amp;" ("&amp;TEXT(C1180,"m/dd")&amp;"~"&amp;TEXT(C1186,"m/dd")&amp;")"</f>
        <v>2025년 12주차 (3/17~3/23)</v>
      </c>
      <c r="K1182" s="6">
        <f t="shared" si="157"/>
        <v>2025</v>
      </c>
      <c r="L1182" s="6">
        <f t="shared" si="158"/>
        <v>12</v>
      </c>
    </row>
    <row r="1183" spans="1:12" x14ac:dyDescent="0.45">
      <c r="A1183" s="6">
        <f t="shared" si="161"/>
        <v>2025</v>
      </c>
      <c r="B1183" s="6">
        <f t="shared" si="156"/>
        <v>3</v>
      </c>
      <c r="C1183" s="7">
        <v>45736</v>
      </c>
      <c r="D1183" s="6">
        <f t="shared" si="162"/>
        <v>4</v>
      </c>
      <c r="E1183" s="6">
        <f t="shared" si="163"/>
        <v>12</v>
      </c>
      <c r="F1183" s="6">
        <f t="shared" si="164"/>
        <v>3</v>
      </c>
      <c r="G1183" s="6" t="str">
        <f t="shared" si="159"/>
        <v>03</v>
      </c>
      <c r="H1183" s="6" t="str">
        <f t="shared" si="160"/>
        <v>03월 3주차</v>
      </c>
      <c r="I1183" s="6" t="str">
        <f>H1183&amp;" ("&amp;TEXT(C1180,"m/dd")&amp;"~"&amp;TEXT(C1186,"m/dd")&amp;")"</f>
        <v>03월 3주차 (3/17~3/23)</v>
      </c>
      <c r="J1183" s="6" t="str">
        <f>A1180&amp;"년 "&amp;WEEKNUM(C1180,2)&amp;"주차"&amp;" ("&amp;TEXT(C1180,"m/dd")&amp;"~"&amp;TEXT(C1186,"m/dd")&amp;")"</f>
        <v>2025년 12주차 (3/17~3/23)</v>
      </c>
      <c r="K1183" s="6">
        <f t="shared" si="157"/>
        <v>2025</v>
      </c>
      <c r="L1183" s="6">
        <f t="shared" si="158"/>
        <v>12</v>
      </c>
    </row>
    <row r="1184" spans="1:12" x14ac:dyDescent="0.45">
      <c r="A1184" s="6">
        <f t="shared" si="161"/>
        <v>2025</v>
      </c>
      <c r="B1184" s="6">
        <f t="shared" si="156"/>
        <v>3</v>
      </c>
      <c r="C1184" s="7">
        <v>45737</v>
      </c>
      <c r="D1184" s="6">
        <f t="shared" si="162"/>
        <v>5</v>
      </c>
      <c r="E1184" s="6">
        <f t="shared" si="163"/>
        <v>12</v>
      </c>
      <c r="F1184" s="6">
        <f t="shared" si="164"/>
        <v>3</v>
      </c>
      <c r="G1184" s="6" t="str">
        <f t="shared" si="159"/>
        <v>03</v>
      </c>
      <c r="H1184" s="6" t="str">
        <f t="shared" si="160"/>
        <v>03월 3주차</v>
      </c>
      <c r="I1184" s="6" t="str">
        <f>H1184&amp;" ("&amp;TEXT(C1180,"m/dd")&amp;"~"&amp;TEXT(C1186,"m/dd")&amp;")"</f>
        <v>03월 3주차 (3/17~3/23)</v>
      </c>
      <c r="J1184" s="6" t="str">
        <f>A1180&amp;"년 "&amp;WEEKNUM(C1180,2)&amp;"주차"&amp;" ("&amp;TEXT(C1180,"m/dd")&amp;"~"&amp;TEXT(C1186,"m/dd")&amp;")"</f>
        <v>2025년 12주차 (3/17~3/23)</v>
      </c>
      <c r="K1184" s="6">
        <f t="shared" si="157"/>
        <v>2025</v>
      </c>
      <c r="L1184" s="6">
        <f t="shared" si="158"/>
        <v>12</v>
      </c>
    </row>
    <row r="1185" spans="1:12" x14ac:dyDescent="0.45">
      <c r="A1185" s="6">
        <f t="shared" si="161"/>
        <v>2025</v>
      </c>
      <c r="B1185" s="6">
        <f t="shared" si="156"/>
        <v>3</v>
      </c>
      <c r="C1185" s="7">
        <v>45738</v>
      </c>
      <c r="D1185" s="6">
        <f t="shared" si="162"/>
        <v>6</v>
      </c>
      <c r="E1185" s="6">
        <f t="shared" si="163"/>
        <v>12</v>
      </c>
      <c r="F1185" s="6">
        <f t="shared" si="164"/>
        <v>3</v>
      </c>
      <c r="G1185" s="6" t="str">
        <f t="shared" si="159"/>
        <v>03</v>
      </c>
      <c r="H1185" s="6" t="str">
        <f t="shared" si="160"/>
        <v>03월 3주차</v>
      </c>
      <c r="I1185" s="6" t="str">
        <f>H1185&amp;" ("&amp;TEXT(C1180,"m/dd")&amp;"~"&amp;TEXT(C1186,"m/dd")&amp;")"</f>
        <v>03월 3주차 (3/17~3/23)</v>
      </c>
      <c r="J1185" s="6" t="str">
        <f>A1180&amp;"년 "&amp;WEEKNUM(C1180,2)&amp;"주차"&amp;" ("&amp;TEXT(C1180,"m/dd")&amp;"~"&amp;TEXT(C1186,"m/dd")&amp;")"</f>
        <v>2025년 12주차 (3/17~3/23)</v>
      </c>
      <c r="K1185" s="6">
        <f t="shared" si="157"/>
        <v>2025</v>
      </c>
      <c r="L1185" s="6">
        <f t="shared" si="158"/>
        <v>12</v>
      </c>
    </row>
    <row r="1186" spans="1:12" x14ac:dyDescent="0.45">
      <c r="A1186" s="6">
        <f t="shared" si="161"/>
        <v>2025</v>
      </c>
      <c r="B1186" s="6">
        <f t="shared" si="156"/>
        <v>3</v>
      </c>
      <c r="C1186" s="7">
        <v>45739</v>
      </c>
      <c r="D1186" s="6">
        <f t="shared" si="162"/>
        <v>7</v>
      </c>
      <c r="E1186" s="6">
        <f t="shared" si="163"/>
        <v>12</v>
      </c>
      <c r="F1186" s="6">
        <f t="shared" si="164"/>
        <v>3</v>
      </c>
      <c r="G1186" s="6" t="str">
        <f t="shared" si="159"/>
        <v>03</v>
      </c>
      <c r="H1186" s="6" t="str">
        <f t="shared" si="160"/>
        <v>03월 3주차</v>
      </c>
      <c r="I1186" s="6" t="str">
        <f>H1186&amp;" ("&amp;TEXT(C1180,"m/dd")&amp;"~"&amp;TEXT(C1186,"m/dd")&amp;")"</f>
        <v>03월 3주차 (3/17~3/23)</v>
      </c>
      <c r="J1186" s="6" t="str">
        <f>A1180&amp;"년 "&amp;WEEKNUM(C1180,2)&amp;"주차"&amp;" ("&amp;TEXT(C1180,"m/dd")&amp;"~"&amp;TEXT(C1186,"m/dd")&amp;")"</f>
        <v>2025년 12주차 (3/17~3/23)</v>
      </c>
      <c r="K1186" s="6">
        <f t="shared" si="157"/>
        <v>2025</v>
      </c>
      <c r="L1186" s="6">
        <f t="shared" si="158"/>
        <v>12</v>
      </c>
    </row>
    <row r="1187" spans="1:12" x14ac:dyDescent="0.45">
      <c r="A1187" s="6">
        <f t="shared" si="161"/>
        <v>2025</v>
      </c>
      <c r="B1187" s="6">
        <f t="shared" si="156"/>
        <v>3</v>
      </c>
      <c r="C1187" s="7">
        <v>45740</v>
      </c>
      <c r="D1187" s="6">
        <f t="shared" si="162"/>
        <v>1</v>
      </c>
      <c r="E1187" s="6">
        <f t="shared" si="163"/>
        <v>13</v>
      </c>
      <c r="F1187" s="6">
        <f t="shared" si="164"/>
        <v>4</v>
      </c>
      <c r="G1187" s="6" t="str">
        <f t="shared" si="159"/>
        <v>03</v>
      </c>
      <c r="H1187" s="6" t="str">
        <f t="shared" si="160"/>
        <v>03월 4주차</v>
      </c>
      <c r="I1187" s="6" t="str">
        <f>H1187&amp;" ("&amp;TEXT(C1187,"m/dd")&amp;"~"&amp;TEXT(C1193,"m/dd")&amp;")"</f>
        <v>03월 4주차 (3/24~3/30)</v>
      </c>
      <c r="J1187" s="6" t="str">
        <f>A1187&amp;"년 "&amp;WEEKNUM(C1187,2)&amp;"주차"&amp;" ("&amp;TEXT(C1187,"m/dd")&amp;"~"&amp;TEXT(C1193,"m/dd")&amp;")"</f>
        <v>2025년 13주차 (3/24~3/30)</v>
      </c>
      <c r="K1187" s="6">
        <f t="shared" si="157"/>
        <v>2025</v>
      </c>
      <c r="L1187" s="6">
        <f t="shared" si="158"/>
        <v>13</v>
      </c>
    </row>
    <row r="1188" spans="1:12" x14ac:dyDescent="0.45">
      <c r="A1188" s="6">
        <f t="shared" si="161"/>
        <v>2025</v>
      </c>
      <c r="B1188" s="6">
        <f t="shared" si="156"/>
        <v>3</v>
      </c>
      <c r="C1188" s="7">
        <v>45741</v>
      </c>
      <c r="D1188" s="6">
        <f t="shared" si="162"/>
        <v>2</v>
      </c>
      <c r="E1188" s="6">
        <f t="shared" si="163"/>
        <v>13</v>
      </c>
      <c r="F1188" s="6">
        <f t="shared" si="164"/>
        <v>4</v>
      </c>
      <c r="G1188" s="6" t="str">
        <f t="shared" si="159"/>
        <v>03</v>
      </c>
      <c r="H1188" s="6" t="str">
        <f t="shared" si="160"/>
        <v>03월 4주차</v>
      </c>
      <c r="I1188" s="6" t="str">
        <f>H1188&amp;" ("&amp;TEXT(C1187,"m/dd")&amp;"~"&amp;TEXT(C1193,"m/dd")&amp;")"</f>
        <v>03월 4주차 (3/24~3/30)</v>
      </c>
      <c r="J1188" s="6" t="str">
        <f>A1187&amp;"년 "&amp;WEEKNUM(C1187,2)&amp;"주차"&amp;" ("&amp;TEXT(C1187,"m/dd")&amp;"~"&amp;TEXT(C1193,"m/dd")&amp;")"</f>
        <v>2025년 13주차 (3/24~3/30)</v>
      </c>
      <c r="K1188" s="6">
        <f t="shared" si="157"/>
        <v>2025</v>
      </c>
      <c r="L1188" s="6">
        <f t="shared" si="158"/>
        <v>13</v>
      </c>
    </row>
    <row r="1189" spans="1:12" x14ac:dyDescent="0.45">
      <c r="A1189" s="6">
        <f t="shared" si="161"/>
        <v>2025</v>
      </c>
      <c r="B1189" s="6">
        <f t="shared" si="156"/>
        <v>3</v>
      </c>
      <c r="C1189" s="7">
        <v>45742</v>
      </c>
      <c r="D1189" s="6">
        <f t="shared" si="162"/>
        <v>3</v>
      </c>
      <c r="E1189" s="6">
        <f t="shared" si="163"/>
        <v>13</v>
      </c>
      <c r="F1189" s="6">
        <f t="shared" si="164"/>
        <v>4</v>
      </c>
      <c r="G1189" s="6" t="str">
        <f t="shared" si="159"/>
        <v>03</v>
      </c>
      <c r="H1189" s="6" t="str">
        <f t="shared" si="160"/>
        <v>03월 4주차</v>
      </c>
      <c r="I1189" s="6" t="str">
        <f>H1189&amp;" ("&amp;TEXT(C1187,"m/dd")&amp;"~"&amp;TEXT(C1193,"m/dd")&amp;")"</f>
        <v>03월 4주차 (3/24~3/30)</v>
      </c>
      <c r="J1189" s="6" t="str">
        <f>A1187&amp;"년 "&amp;WEEKNUM(C1187,2)&amp;"주차"&amp;" ("&amp;TEXT(C1187,"m/dd")&amp;"~"&amp;TEXT(C1193,"m/dd")&amp;")"</f>
        <v>2025년 13주차 (3/24~3/30)</v>
      </c>
      <c r="K1189" s="6">
        <f t="shared" si="157"/>
        <v>2025</v>
      </c>
      <c r="L1189" s="6">
        <f t="shared" si="158"/>
        <v>13</v>
      </c>
    </row>
    <row r="1190" spans="1:12" x14ac:dyDescent="0.45">
      <c r="A1190" s="6">
        <f t="shared" si="161"/>
        <v>2025</v>
      </c>
      <c r="B1190" s="6">
        <f t="shared" ref="B1190:B1235" si="165">MONTH(C1190)</f>
        <v>3</v>
      </c>
      <c r="C1190" s="7">
        <v>45743</v>
      </c>
      <c r="D1190" s="6">
        <f t="shared" si="162"/>
        <v>4</v>
      </c>
      <c r="E1190" s="6">
        <f t="shared" si="163"/>
        <v>13</v>
      </c>
      <c r="F1190" s="6">
        <f t="shared" si="164"/>
        <v>4</v>
      </c>
      <c r="G1190" s="6" t="str">
        <f t="shared" si="159"/>
        <v>03</v>
      </c>
      <c r="H1190" s="6" t="str">
        <f t="shared" si="160"/>
        <v>03월 4주차</v>
      </c>
      <c r="I1190" s="6" t="str">
        <f>H1190&amp;" ("&amp;TEXT(C1187,"m/dd")&amp;"~"&amp;TEXT(C1193,"m/dd")&amp;")"</f>
        <v>03월 4주차 (3/24~3/30)</v>
      </c>
      <c r="J1190" s="6" t="str">
        <f>A1187&amp;"년 "&amp;WEEKNUM(C1187,2)&amp;"주차"&amp;" ("&amp;TEXT(C1187,"m/dd")&amp;"~"&amp;TEXT(C1193,"m/dd")&amp;")"</f>
        <v>2025년 13주차 (3/24~3/30)</v>
      </c>
      <c r="K1190" s="6">
        <f t="shared" si="157"/>
        <v>2025</v>
      </c>
      <c r="L1190" s="6">
        <f t="shared" si="158"/>
        <v>13</v>
      </c>
    </row>
    <row r="1191" spans="1:12" x14ac:dyDescent="0.45">
      <c r="A1191" s="6">
        <f t="shared" si="161"/>
        <v>2025</v>
      </c>
      <c r="B1191" s="6">
        <f t="shared" si="165"/>
        <v>3</v>
      </c>
      <c r="C1191" s="7">
        <v>45744</v>
      </c>
      <c r="D1191" s="6">
        <f t="shared" si="162"/>
        <v>5</v>
      </c>
      <c r="E1191" s="6">
        <f t="shared" si="163"/>
        <v>13</v>
      </c>
      <c r="F1191" s="6">
        <f t="shared" si="164"/>
        <v>4</v>
      </c>
      <c r="G1191" s="6" t="str">
        <f t="shared" si="159"/>
        <v>03</v>
      </c>
      <c r="H1191" s="6" t="str">
        <f t="shared" si="160"/>
        <v>03월 4주차</v>
      </c>
      <c r="I1191" s="6" t="str">
        <f>H1191&amp;" ("&amp;TEXT(C1187,"m/dd")&amp;"~"&amp;TEXT(C1193,"m/dd")&amp;")"</f>
        <v>03월 4주차 (3/24~3/30)</v>
      </c>
      <c r="J1191" s="6" t="str">
        <f>A1187&amp;"년 "&amp;WEEKNUM(C1187,2)&amp;"주차"&amp;" ("&amp;TEXT(C1187,"m/dd")&amp;"~"&amp;TEXT(C1193,"m/dd")&amp;")"</f>
        <v>2025년 13주차 (3/24~3/30)</v>
      </c>
      <c r="K1191" s="6">
        <f t="shared" si="157"/>
        <v>2025</v>
      </c>
      <c r="L1191" s="6">
        <f t="shared" si="158"/>
        <v>13</v>
      </c>
    </row>
    <row r="1192" spans="1:12" x14ac:dyDescent="0.45">
      <c r="A1192" s="6">
        <f t="shared" si="161"/>
        <v>2025</v>
      </c>
      <c r="B1192" s="6">
        <f t="shared" si="165"/>
        <v>3</v>
      </c>
      <c r="C1192" s="7">
        <v>45745</v>
      </c>
      <c r="D1192" s="6">
        <f t="shared" si="162"/>
        <v>6</v>
      </c>
      <c r="E1192" s="6">
        <f t="shared" si="163"/>
        <v>13</v>
      </c>
      <c r="F1192" s="6">
        <f t="shared" si="164"/>
        <v>4</v>
      </c>
      <c r="G1192" s="6" t="str">
        <f t="shared" si="159"/>
        <v>03</v>
      </c>
      <c r="H1192" s="6" t="str">
        <f t="shared" si="160"/>
        <v>03월 4주차</v>
      </c>
      <c r="I1192" s="6" t="str">
        <f>H1192&amp;" ("&amp;TEXT(C1187,"m/dd")&amp;"~"&amp;TEXT(C1193,"m/dd")&amp;")"</f>
        <v>03월 4주차 (3/24~3/30)</v>
      </c>
      <c r="J1192" s="6" t="str">
        <f>A1187&amp;"년 "&amp;WEEKNUM(C1187,2)&amp;"주차"&amp;" ("&amp;TEXT(C1187,"m/dd")&amp;"~"&amp;TEXT(C1193,"m/dd")&amp;")"</f>
        <v>2025년 13주차 (3/24~3/30)</v>
      </c>
      <c r="K1192" s="6">
        <f t="shared" si="157"/>
        <v>2025</v>
      </c>
      <c r="L1192" s="6">
        <f t="shared" si="158"/>
        <v>13</v>
      </c>
    </row>
    <row r="1193" spans="1:12" x14ac:dyDescent="0.45">
      <c r="A1193" s="6">
        <f t="shared" si="161"/>
        <v>2025</v>
      </c>
      <c r="B1193" s="6">
        <f t="shared" si="165"/>
        <v>3</v>
      </c>
      <c r="C1193" s="7">
        <v>45746</v>
      </c>
      <c r="D1193" s="6">
        <f t="shared" si="162"/>
        <v>7</v>
      </c>
      <c r="E1193" s="6">
        <f t="shared" si="163"/>
        <v>13</v>
      </c>
      <c r="F1193" s="6">
        <f t="shared" si="164"/>
        <v>4</v>
      </c>
      <c r="G1193" s="6" t="str">
        <f t="shared" si="159"/>
        <v>03</v>
      </c>
      <c r="H1193" s="6" t="str">
        <f t="shared" si="160"/>
        <v>03월 4주차</v>
      </c>
      <c r="I1193" s="6" t="str">
        <f>H1193&amp;" ("&amp;TEXT(C1187,"m/dd")&amp;"~"&amp;TEXT(C1193,"m/dd")&amp;")"</f>
        <v>03월 4주차 (3/24~3/30)</v>
      </c>
      <c r="J1193" s="6" t="str">
        <f>A1187&amp;"년 "&amp;WEEKNUM(C1187,2)&amp;"주차"&amp;" ("&amp;TEXT(C1187,"m/dd")&amp;"~"&amp;TEXT(C1193,"m/dd")&amp;")"</f>
        <v>2025년 13주차 (3/24~3/30)</v>
      </c>
      <c r="K1193" s="6">
        <f t="shared" si="157"/>
        <v>2025</v>
      </c>
      <c r="L1193" s="6">
        <f t="shared" si="158"/>
        <v>13</v>
      </c>
    </row>
    <row r="1194" spans="1:12" x14ac:dyDescent="0.45">
      <c r="A1194" s="6">
        <f t="shared" si="161"/>
        <v>2025</v>
      </c>
      <c r="B1194" s="6">
        <f t="shared" si="165"/>
        <v>3</v>
      </c>
      <c r="C1194" s="7">
        <v>45747</v>
      </c>
      <c r="D1194" s="6">
        <f t="shared" si="162"/>
        <v>1</v>
      </c>
      <c r="E1194" s="6">
        <f t="shared" si="163"/>
        <v>14</v>
      </c>
      <c r="F1194" s="6">
        <f t="shared" si="164"/>
        <v>5</v>
      </c>
      <c r="G1194" s="6" t="str">
        <f t="shared" si="159"/>
        <v>03</v>
      </c>
      <c r="H1194" s="6" t="str">
        <f t="shared" si="160"/>
        <v>03월 5주차</v>
      </c>
      <c r="I1194" s="6" t="str">
        <f>H1194&amp;" ("&amp;TEXT(C1194,"m/dd")&amp;"~"&amp;TEXT(C1200,"m/dd")&amp;")"</f>
        <v>03월 5주차 (3/31~4/06)</v>
      </c>
      <c r="J1194" s="6" t="str">
        <f>A1194&amp;"년 "&amp;WEEKNUM(C1194,2)&amp;"주차"&amp;" ("&amp;TEXT(C1194,"m/dd")&amp;"~"&amp;TEXT(C1200,"m/dd")&amp;")"</f>
        <v>2025년 14주차 (3/31~4/06)</v>
      </c>
      <c r="K1194" s="6">
        <f t="shared" si="157"/>
        <v>2025</v>
      </c>
      <c r="L1194" s="6">
        <f t="shared" si="158"/>
        <v>14</v>
      </c>
    </row>
    <row r="1195" spans="1:12" x14ac:dyDescent="0.45">
      <c r="A1195" s="6">
        <f t="shared" si="161"/>
        <v>2025</v>
      </c>
      <c r="B1195" s="6">
        <f t="shared" si="165"/>
        <v>4</v>
      </c>
      <c r="C1195" s="7">
        <v>45748</v>
      </c>
      <c r="D1195" s="6">
        <f t="shared" si="162"/>
        <v>2</v>
      </c>
      <c r="E1195" s="6">
        <f t="shared" si="163"/>
        <v>14</v>
      </c>
      <c r="F1195" s="6">
        <f t="shared" si="164"/>
        <v>5</v>
      </c>
      <c r="G1195" s="6" t="str">
        <f t="shared" si="159"/>
        <v>04</v>
      </c>
      <c r="H1195" s="6" t="str">
        <f t="shared" si="160"/>
        <v>04월 5주차</v>
      </c>
      <c r="I1195" s="6" t="str">
        <f>H1195&amp;" ("&amp;TEXT(C1194,"m/dd")&amp;"~"&amp;TEXT(C1200,"m/dd")&amp;")"</f>
        <v>04월 5주차 (3/31~4/06)</v>
      </c>
      <c r="J1195" s="6" t="str">
        <f>A1194&amp;"년 "&amp;WEEKNUM(C1194,2)&amp;"주차"&amp;" ("&amp;TEXT(C1194,"m/dd")&amp;"~"&amp;TEXT(C1200,"m/dd")&amp;")"</f>
        <v>2025년 14주차 (3/31~4/06)</v>
      </c>
      <c r="K1195" s="6">
        <f t="shared" si="157"/>
        <v>2025</v>
      </c>
      <c r="L1195" s="6">
        <f t="shared" si="158"/>
        <v>14</v>
      </c>
    </row>
    <row r="1196" spans="1:12" x14ac:dyDescent="0.45">
      <c r="A1196" s="6">
        <f t="shared" si="161"/>
        <v>2025</v>
      </c>
      <c r="B1196" s="6">
        <f t="shared" si="165"/>
        <v>4</v>
      </c>
      <c r="C1196" s="7">
        <v>45749</v>
      </c>
      <c r="D1196" s="6">
        <f t="shared" si="162"/>
        <v>3</v>
      </c>
      <c r="E1196" s="6">
        <f t="shared" si="163"/>
        <v>14</v>
      </c>
      <c r="F1196" s="6">
        <f t="shared" si="164"/>
        <v>5</v>
      </c>
      <c r="G1196" s="6" t="str">
        <f t="shared" si="159"/>
        <v>04</v>
      </c>
      <c r="H1196" s="6" t="str">
        <f t="shared" si="160"/>
        <v>04월 5주차</v>
      </c>
      <c r="I1196" s="6" t="str">
        <f>H1196&amp;" ("&amp;TEXT(C1194,"m/dd")&amp;"~"&amp;TEXT(C1200,"m/dd")&amp;")"</f>
        <v>04월 5주차 (3/31~4/06)</v>
      </c>
      <c r="J1196" s="6" t="str">
        <f>A1194&amp;"년 "&amp;WEEKNUM(C1194,2)&amp;"주차"&amp;" ("&amp;TEXT(C1194,"m/dd")&amp;"~"&amp;TEXT(C1200,"m/dd")&amp;")"</f>
        <v>2025년 14주차 (3/31~4/06)</v>
      </c>
      <c r="K1196" s="6">
        <f t="shared" si="157"/>
        <v>2025</v>
      </c>
      <c r="L1196" s="6">
        <f t="shared" si="158"/>
        <v>14</v>
      </c>
    </row>
    <row r="1197" spans="1:12" x14ac:dyDescent="0.45">
      <c r="A1197" s="6">
        <f t="shared" si="161"/>
        <v>2025</v>
      </c>
      <c r="B1197" s="6">
        <f t="shared" si="165"/>
        <v>4</v>
      </c>
      <c r="C1197" s="7">
        <v>45750</v>
      </c>
      <c r="D1197" s="6">
        <f t="shared" si="162"/>
        <v>4</v>
      </c>
      <c r="E1197" s="6">
        <f t="shared" si="163"/>
        <v>14</v>
      </c>
      <c r="F1197" s="6">
        <f t="shared" si="164"/>
        <v>5</v>
      </c>
      <c r="G1197" s="6" t="str">
        <f t="shared" si="159"/>
        <v>04</v>
      </c>
      <c r="H1197" s="6" t="str">
        <f t="shared" si="160"/>
        <v>04월 5주차</v>
      </c>
      <c r="I1197" s="6" t="str">
        <f>H1197&amp;" ("&amp;TEXT(C1194,"m/dd")&amp;"~"&amp;TEXT(C1200,"m/dd")&amp;")"</f>
        <v>04월 5주차 (3/31~4/06)</v>
      </c>
      <c r="J1197" s="6" t="str">
        <f>A1194&amp;"년 "&amp;WEEKNUM(C1194,2)&amp;"주차"&amp;" ("&amp;TEXT(C1194,"m/dd")&amp;"~"&amp;TEXT(C1200,"m/dd")&amp;")"</f>
        <v>2025년 14주차 (3/31~4/06)</v>
      </c>
      <c r="K1197" s="6">
        <f t="shared" si="157"/>
        <v>2025</v>
      </c>
      <c r="L1197" s="6">
        <f t="shared" si="158"/>
        <v>14</v>
      </c>
    </row>
    <row r="1198" spans="1:12" x14ac:dyDescent="0.45">
      <c r="A1198" s="6">
        <f t="shared" si="161"/>
        <v>2025</v>
      </c>
      <c r="B1198" s="6">
        <f t="shared" si="165"/>
        <v>4</v>
      </c>
      <c r="C1198" s="7">
        <v>45751</v>
      </c>
      <c r="D1198" s="6">
        <f t="shared" si="162"/>
        <v>5</v>
      </c>
      <c r="E1198" s="6">
        <f t="shared" si="163"/>
        <v>14</v>
      </c>
      <c r="F1198" s="6">
        <f t="shared" si="164"/>
        <v>5</v>
      </c>
      <c r="G1198" s="6" t="str">
        <f t="shared" si="159"/>
        <v>04</v>
      </c>
      <c r="H1198" s="6" t="str">
        <f t="shared" si="160"/>
        <v>04월 5주차</v>
      </c>
      <c r="I1198" s="6" t="str">
        <f>H1198&amp;" ("&amp;TEXT(C1194,"m/dd")&amp;"~"&amp;TEXT(C1200,"m/dd")&amp;")"</f>
        <v>04월 5주차 (3/31~4/06)</v>
      </c>
      <c r="J1198" s="6" t="str">
        <f>A1194&amp;"년 "&amp;WEEKNUM(C1194,2)&amp;"주차"&amp;" ("&amp;TEXT(C1194,"m/dd")&amp;"~"&amp;TEXT(C1200,"m/dd")&amp;")"</f>
        <v>2025년 14주차 (3/31~4/06)</v>
      </c>
      <c r="K1198" s="6">
        <f t="shared" si="157"/>
        <v>2025</v>
      </c>
      <c r="L1198" s="6">
        <f t="shared" si="158"/>
        <v>14</v>
      </c>
    </row>
    <row r="1199" spans="1:12" x14ac:dyDescent="0.45">
      <c r="A1199" s="6">
        <f t="shared" si="161"/>
        <v>2025</v>
      </c>
      <c r="B1199" s="6">
        <f t="shared" si="165"/>
        <v>4</v>
      </c>
      <c r="C1199" s="7">
        <v>45752</v>
      </c>
      <c r="D1199" s="6">
        <f t="shared" si="162"/>
        <v>6</v>
      </c>
      <c r="E1199" s="6">
        <f t="shared" si="163"/>
        <v>14</v>
      </c>
      <c r="F1199" s="6">
        <f t="shared" si="164"/>
        <v>5</v>
      </c>
      <c r="G1199" s="6" t="str">
        <f t="shared" si="159"/>
        <v>04</v>
      </c>
      <c r="H1199" s="6" t="str">
        <f t="shared" si="160"/>
        <v>04월 5주차</v>
      </c>
      <c r="I1199" s="6" t="str">
        <f>H1199&amp;" ("&amp;TEXT(C1194,"m/dd")&amp;"~"&amp;TEXT(C1200,"m/dd")&amp;")"</f>
        <v>04월 5주차 (3/31~4/06)</v>
      </c>
      <c r="J1199" s="6" t="str">
        <f>A1194&amp;"년 "&amp;WEEKNUM(C1194,2)&amp;"주차"&amp;" ("&amp;TEXT(C1194,"m/dd")&amp;"~"&amp;TEXT(C1200,"m/dd")&amp;")"</f>
        <v>2025년 14주차 (3/31~4/06)</v>
      </c>
      <c r="K1199" s="6">
        <f t="shared" ref="K1199:K1235" si="166">YEAR(C1199)</f>
        <v>2025</v>
      </c>
      <c r="L1199" s="6">
        <f t="shared" ref="L1199:L1235" si="167">WEEKNUM(C1199,2)</f>
        <v>14</v>
      </c>
    </row>
    <row r="1200" spans="1:12" x14ac:dyDescent="0.45">
      <c r="A1200" s="6">
        <f t="shared" si="161"/>
        <v>2025</v>
      </c>
      <c r="B1200" s="6">
        <f t="shared" si="165"/>
        <v>4</v>
      </c>
      <c r="C1200" s="7">
        <v>45753</v>
      </c>
      <c r="D1200" s="6">
        <f t="shared" si="162"/>
        <v>7</v>
      </c>
      <c r="E1200" s="6">
        <f t="shared" si="163"/>
        <v>14</v>
      </c>
      <c r="F1200" s="6">
        <f t="shared" si="164"/>
        <v>5</v>
      </c>
      <c r="G1200" s="6" t="str">
        <f t="shared" si="159"/>
        <v>04</v>
      </c>
      <c r="H1200" s="6" t="str">
        <f t="shared" si="160"/>
        <v>04월 5주차</v>
      </c>
      <c r="I1200" s="6" t="str">
        <f>H1200&amp;" ("&amp;TEXT(C1194,"m/dd")&amp;"~"&amp;TEXT(C1200,"m/dd")&amp;")"</f>
        <v>04월 5주차 (3/31~4/06)</v>
      </c>
      <c r="J1200" s="6" t="str">
        <f>A1194&amp;"년 "&amp;WEEKNUM(C1194,2)&amp;"주차"&amp;" ("&amp;TEXT(C1194,"m/dd")&amp;"~"&amp;TEXT(C1200,"m/dd")&amp;")"</f>
        <v>2025년 14주차 (3/31~4/06)</v>
      </c>
      <c r="K1200" s="6">
        <f t="shared" si="166"/>
        <v>2025</v>
      </c>
      <c r="L1200" s="6">
        <f t="shared" si="167"/>
        <v>14</v>
      </c>
    </row>
    <row r="1201" spans="1:12" x14ac:dyDescent="0.45">
      <c r="A1201" s="6">
        <f t="shared" si="161"/>
        <v>2025</v>
      </c>
      <c r="B1201" s="6">
        <f t="shared" si="165"/>
        <v>4</v>
      </c>
      <c r="C1201" s="7">
        <v>45754</v>
      </c>
      <c r="D1201" s="6">
        <f t="shared" si="162"/>
        <v>1</v>
      </c>
      <c r="E1201" s="6">
        <f t="shared" si="163"/>
        <v>15</v>
      </c>
      <c r="F1201" s="6">
        <f t="shared" si="164"/>
        <v>1</v>
      </c>
      <c r="G1201" s="6" t="str">
        <f t="shared" si="159"/>
        <v>04</v>
      </c>
      <c r="H1201" s="6" t="str">
        <f t="shared" si="160"/>
        <v>04월 1주차</v>
      </c>
      <c r="I1201" s="6" t="str">
        <f>H1201&amp;" ("&amp;TEXT(C1201,"m/dd")&amp;"~"&amp;TEXT(C1207,"m/dd")&amp;")"</f>
        <v>04월 1주차 (4/07~4/13)</v>
      </c>
      <c r="J1201" s="6" t="str">
        <f>A1201&amp;"년 "&amp;WEEKNUM(C1201,2)&amp;"주차"&amp;" ("&amp;TEXT(C1201,"m/dd")&amp;"~"&amp;TEXT(C1207,"m/dd")&amp;")"</f>
        <v>2025년 15주차 (4/07~4/13)</v>
      </c>
      <c r="K1201" s="6">
        <f t="shared" si="166"/>
        <v>2025</v>
      </c>
      <c r="L1201" s="6">
        <f t="shared" si="167"/>
        <v>15</v>
      </c>
    </row>
    <row r="1202" spans="1:12" x14ac:dyDescent="0.45">
      <c r="A1202" s="6">
        <f t="shared" si="161"/>
        <v>2025</v>
      </c>
      <c r="B1202" s="6">
        <f t="shared" si="165"/>
        <v>4</v>
      </c>
      <c r="C1202" s="7">
        <v>45755</v>
      </c>
      <c r="D1202" s="6">
        <f t="shared" si="162"/>
        <v>2</v>
      </c>
      <c r="E1202" s="6">
        <f t="shared" si="163"/>
        <v>15</v>
      </c>
      <c r="F1202" s="6">
        <f t="shared" si="164"/>
        <v>1</v>
      </c>
      <c r="G1202" s="6" t="str">
        <f t="shared" si="159"/>
        <v>04</v>
      </c>
      <c r="H1202" s="6" t="str">
        <f t="shared" si="160"/>
        <v>04월 1주차</v>
      </c>
      <c r="I1202" s="6" t="str">
        <f>H1202&amp;" ("&amp;TEXT(C1201,"m/dd")&amp;"~"&amp;TEXT(C1207,"m/dd")&amp;")"</f>
        <v>04월 1주차 (4/07~4/13)</v>
      </c>
      <c r="J1202" s="6" t="str">
        <f>A1201&amp;"년 "&amp;WEEKNUM(C1201,2)&amp;"주차"&amp;" ("&amp;TEXT(C1201,"m/dd")&amp;"~"&amp;TEXT(C1207,"m/dd")&amp;")"</f>
        <v>2025년 15주차 (4/07~4/13)</v>
      </c>
      <c r="K1202" s="6">
        <f t="shared" si="166"/>
        <v>2025</v>
      </c>
      <c r="L1202" s="6">
        <f t="shared" si="167"/>
        <v>15</v>
      </c>
    </row>
    <row r="1203" spans="1:12" x14ac:dyDescent="0.45">
      <c r="A1203" s="6">
        <f t="shared" si="161"/>
        <v>2025</v>
      </c>
      <c r="B1203" s="6">
        <f t="shared" si="165"/>
        <v>4</v>
      </c>
      <c r="C1203" s="7">
        <v>45756</v>
      </c>
      <c r="D1203" s="6">
        <f t="shared" si="162"/>
        <v>3</v>
      </c>
      <c r="E1203" s="6">
        <f t="shared" si="163"/>
        <v>15</v>
      </c>
      <c r="F1203" s="6">
        <f t="shared" si="164"/>
        <v>1</v>
      </c>
      <c r="G1203" s="6" t="str">
        <f t="shared" si="159"/>
        <v>04</v>
      </c>
      <c r="H1203" s="6" t="str">
        <f t="shared" si="160"/>
        <v>04월 1주차</v>
      </c>
      <c r="I1203" s="6" t="str">
        <f>H1203&amp;" ("&amp;TEXT(C1201,"m/dd")&amp;"~"&amp;TEXT(C1207,"m/dd")&amp;")"</f>
        <v>04월 1주차 (4/07~4/13)</v>
      </c>
      <c r="J1203" s="6" t="str">
        <f>A1201&amp;"년 "&amp;WEEKNUM(C1201,2)&amp;"주차"&amp;" ("&amp;TEXT(C1201,"m/dd")&amp;"~"&amp;TEXT(C1207,"m/dd")&amp;")"</f>
        <v>2025년 15주차 (4/07~4/13)</v>
      </c>
      <c r="K1203" s="6">
        <f t="shared" si="166"/>
        <v>2025</v>
      </c>
      <c r="L1203" s="6">
        <f t="shared" si="167"/>
        <v>15</v>
      </c>
    </row>
    <row r="1204" spans="1:12" x14ac:dyDescent="0.45">
      <c r="A1204" s="6">
        <f t="shared" si="161"/>
        <v>2025</v>
      </c>
      <c r="B1204" s="6">
        <f t="shared" si="165"/>
        <v>4</v>
      </c>
      <c r="C1204" s="7">
        <v>45757</v>
      </c>
      <c r="D1204" s="6">
        <f t="shared" si="162"/>
        <v>4</v>
      </c>
      <c r="E1204" s="6">
        <f t="shared" si="163"/>
        <v>15</v>
      </c>
      <c r="F1204" s="6">
        <f t="shared" si="164"/>
        <v>1</v>
      </c>
      <c r="G1204" s="6" t="str">
        <f t="shared" si="159"/>
        <v>04</v>
      </c>
      <c r="H1204" s="6" t="str">
        <f t="shared" si="160"/>
        <v>04월 1주차</v>
      </c>
      <c r="I1204" s="6" t="str">
        <f>H1204&amp;" ("&amp;TEXT(C1201,"m/dd")&amp;"~"&amp;TEXT(C1207,"m/dd")&amp;")"</f>
        <v>04월 1주차 (4/07~4/13)</v>
      </c>
      <c r="J1204" s="6" t="str">
        <f>A1201&amp;"년 "&amp;WEEKNUM(C1201,2)&amp;"주차"&amp;" ("&amp;TEXT(C1201,"m/dd")&amp;"~"&amp;TEXT(C1207,"m/dd")&amp;")"</f>
        <v>2025년 15주차 (4/07~4/13)</v>
      </c>
      <c r="K1204" s="6">
        <f t="shared" si="166"/>
        <v>2025</v>
      </c>
      <c r="L1204" s="6">
        <f t="shared" si="167"/>
        <v>15</v>
      </c>
    </row>
    <row r="1205" spans="1:12" x14ac:dyDescent="0.45">
      <c r="A1205" s="6">
        <f t="shared" si="161"/>
        <v>2025</v>
      </c>
      <c r="B1205" s="6">
        <f t="shared" si="165"/>
        <v>4</v>
      </c>
      <c r="C1205" s="7">
        <v>45758</v>
      </c>
      <c r="D1205" s="6">
        <f t="shared" si="162"/>
        <v>5</v>
      </c>
      <c r="E1205" s="6">
        <f t="shared" si="163"/>
        <v>15</v>
      </c>
      <c r="F1205" s="6">
        <f t="shared" si="164"/>
        <v>1</v>
      </c>
      <c r="G1205" s="6" t="str">
        <f t="shared" si="159"/>
        <v>04</v>
      </c>
      <c r="H1205" s="6" t="str">
        <f t="shared" si="160"/>
        <v>04월 1주차</v>
      </c>
      <c r="I1205" s="6" t="str">
        <f>H1205&amp;" ("&amp;TEXT(C1201,"m/dd")&amp;"~"&amp;TEXT(C1207,"m/dd")&amp;")"</f>
        <v>04월 1주차 (4/07~4/13)</v>
      </c>
      <c r="J1205" s="6" t="str">
        <f>A1201&amp;"년 "&amp;WEEKNUM(C1201,2)&amp;"주차"&amp;" ("&amp;TEXT(C1201,"m/dd")&amp;"~"&amp;TEXT(C1207,"m/dd")&amp;")"</f>
        <v>2025년 15주차 (4/07~4/13)</v>
      </c>
      <c r="K1205" s="6">
        <f t="shared" si="166"/>
        <v>2025</v>
      </c>
      <c r="L1205" s="6">
        <f t="shared" si="167"/>
        <v>15</v>
      </c>
    </row>
    <row r="1206" spans="1:12" x14ac:dyDescent="0.45">
      <c r="A1206" s="6">
        <f t="shared" si="161"/>
        <v>2025</v>
      </c>
      <c r="B1206" s="6">
        <f t="shared" si="165"/>
        <v>4</v>
      </c>
      <c r="C1206" s="7">
        <v>45759</v>
      </c>
      <c r="D1206" s="6">
        <f t="shared" si="162"/>
        <v>6</v>
      </c>
      <c r="E1206" s="6">
        <f t="shared" si="163"/>
        <v>15</v>
      </c>
      <c r="F1206" s="6">
        <f t="shared" si="164"/>
        <v>1</v>
      </c>
      <c r="G1206" s="6" t="str">
        <f t="shared" si="159"/>
        <v>04</v>
      </c>
      <c r="H1206" s="6" t="str">
        <f t="shared" si="160"/>
        <v>04월 1주차</v>
      </c>
      <c r="I1206" s="6" t="str">
        <f>H1206&amp;" ("&amp;TEXT(C1201,"m/dd")&amp;"~"&amp;TEXT(C1207,"m/dd")&amp;")"</f>
        <v>04월 1주차 (4/07~4/13)</v>
      </c>
      <c r="J1206" s="6" t="str">
        <f>A1201&amp;"년 "&amp;WEEKNUM(C1201,2)&amp;"주차"&amp;" ("&amp;TEXT(C1201,"m/dd")&amp;"~"&amp;TEXT(C1207,"m/dd")&amp;")"</f>
        <v>2025년 15주차 (4/07~4/13)</v>
      </c>
      <c r="K1206" s="6">
        <f t="shared" si="166"/>
        <v>2025</v>
      </c>
      <c r="L1206" s="6">
        <f t="shared" si="167"/>
        <v>15</v>
      </c>
    </row>
    <row r="1207" spans="1:12" x14ac:dyDescent="0.45">
      <c r="A1207" s="6">
        <f t="shared" si="161"/>
        <v>2025</v>
      </c>
      <c r="B1207" s="6">
        <f t="shared" si="165"/>
        <v>4</v>
      </c>
      <c r="C1207" s="7">
        <v>45760</v>
      </c>
      <c r="D1207" s="6">
        <f t="shared" si="162"/>
        <v>7</v>
      </c>
      <c r="E1207" s="6">
        <f t="shared" si="163"/>
        <v>15</v>
      </c>
      <c r="F1207" s="6">
        <f t="shared" si="164"/>
        <v>1</v>
      </c>
      <c r="G1207" s="6" t="str">
        <f t="shared" si="159"/>
        <v>04</v>
      </c>
      <c r="H1207" s="6" t="str">
        <f t="shared" si="160"/>
        <v>04월 1주차</v>
      </c>
      <c r="I1207" s="6" t="str">
        <f>H1207&amp;" ("&amp;TEXT(C1201,"m/dd")&amp;"~"&amp;TEXT(C1207,"m/dd")&amp;")"</f>
        <v>04월 1주차 (4/07~4/13)</v>
      </c>
      <c r="J1207" s="6" t="str">
        <f>A1201&amp;"년 "&amp;WEEKNUM(C1201,2)&amp;"주차"&amp;" ("&amp;TEXT(C1201,"m/dd")&amp;"~"&amp;TEXT(C1207,"m/dd")&amp;")"</f>
        <v>2025년 15주차 (4/07~4/13)</v>
      </c>
      <c r="K1207" s="6">
        <f t="shared" si="166"/>
        <v>2025</v>
      </c>
      <c r="L1207" s="6">
        <f t="shared" si="167"/>
        <v>15</v>
      </c>
    </row>
    <row r="1208" spans="1:12" x14ac:dyDescent="0.45">
      <c r="A1208" s="6">
        <f t="shared" si="161"/>
        <v>2025</v>
      </c>
      <c r="B1208" s="6">
        <f t="shared" si="165"/>
        <v>4</v>
      </c>
      <c r="C1208" s="7">
        <v>45761</v>
      </c>
      <c r="D1208" s="6">
        <f t="shared" si="162"/>
        <v>1</v>
      </c>
      <c r="E1208" s="6">
        <f t="shared" si="163"/>
        <v>16</v>
      </c>
      <c r="F1208" s="6">
        <f t="shared" si="164"/>
        <v>2</v>
      </c>
      <c r="G1208" s="6" t="str">
        <f t="shared" si="159"/>
        <v>04</v>
      </c>
      <c r="H1208" s="6" t="str">
        <f t="shared" si="160"/>
        <v>04월 2주차</v>
      </c>
      <c r="I1208" s="6" t="str">
        <f>H1208&amp;" ("&amp;TEXT(C1208,"m/dd")&amp;"~"&amp;TEXT(C1214,"m/dd")&amp;")"</f>
        <v>04월 2주차 (4/14~4/20)</v>
      </c>
      <c r="J1208" s="6" t="str">
        <f>A1208&amp;"년 "&amp;WEEKNUM(C1208,2)&amp;"주차"&amp;" ("&amp;TEXT(C1208,"m/dd")&amp;"~"&amp;TEXT(C1214,"m/dd")&amp;")"</f>
        <v>2025년 16주차 (4/14~4/20)</v>
      </c>
      <c r="K1208" s="6">
        <f t="shared" si="166"/>
        <v>2025</v>
      </c>
      <c r="L1208" s="6">
        <f t="shared" si="167"/>
        <v>16</v>
      </c>
    </row>
    <row r="1209" spans="1:12" x14ac:dyDescent="0.45">
      <c r="A1209" s="6">
        <f t="shared" si="161"/>
        <v>2025</v>
      </c>
      <c r="B1209" s="6">
        <f t="shared" si="165"/>
        <v>4</v>
      </c>
      <c r="C1209" s="7">
        <v>45762</v>
      </c>
      <c r="D1209" s="6">
        <f t="shared" si="162"/>
        <v>2</v>
      </c>
      <c r="E1209" s="6">
        <f t="shared" si="163"/>
        <v>16</v>
      </c>
      <c r="F1209" s="6">
        <f t="shared" si="164"/>
        <v>2</v>
      </c>
      <c r="G1209" s="6" t="str">
        <f t="shared" si="159"/>
        <v>04</v>
      </c>
      <c r="H1209" s="6" t="str">
        <f t="shared" si="160"/>
        <v>04월 2주차</v>
      </c>
      <c r="I1209" s="6" t="str">
        <f>H1209&amp;" ("&amp;TEXT(C1208,"m/dd")&amp;"~"&amp;TEXT(C1214,"m/dd")&amp;")"</f>
        <v>04월 2주차 (4/14~4/20)</v>
      </c>
      <c r="J1209" s="6" t="str">
        <f>A1208&amp;"년 "&amp;WEEKNUM(C1208,2)&amp;"주차"&amp;" ("&amp;TEXT(C1208,"m/dd")&amp;"~"&amp;TEXT(C1214,"m/dd")&amp;")"</f>
        <v>2025년 16주차 (4/14~4/20)</v>
      </c>
      <c r="K1209" s="6">
        <f t="shared" si="166"/>
        <v>2025</v>
      </c>
      <c r="L1209" s="6">
        <f t="shared" si="167"/>
        <v>16</v>
      </c>
    </row>
    <row r="1210" spans="1:12" x14ac:dyDescent="0.45">
      <c r="A1210" s="6">
        <f t="shared" si="161"/>
        <v>2025</v>
      </c>
      <c r="B1210" s="6">
        <f t="shared" si="165"/>
        <v>4</v>
      </c>
      <c r="C1210" s="7">
        <v>45763</v>
      </c>
      <c r="D1210" s="6">
        <f t="shared" si="162"/>
        <v>3</v>
      </c>
      <c r="E1210" s="6">
        <f t="shared" si="163"/>
        <v>16</v>
      </c>
      <c r="F1210" s="6">
        <f t="shared" si="164"/>
        <v>2</v>
      </c>
      <c r="G1210" s="6" t="str">
        <f t="shared" si="159"/>
        <v>04</v>
      </c>
      <c r="H1210" s="6" t="str">
        <f t="shared" si="160"/>
        <v>04월 2주차</v>
      </c>
      <c r="I1210" s="6" t="str">
        <f>H1210&amp;" ("&amp;TEXT(C1208,"m/dd")&amp;"~"&amp;TEXT(C1214,"m/dd")&amp;")"</f>
        <v>04월 2주차 (4/14~4/20)</v>
      </c>
      <c r="J1210" s="6" t="str">
        <f>A1208&amp;"년 "&amp;WEEKNUM(C1208,2)&amp;"주차"&amp;" ("&amp;TEXT(C1208,"m/dd")&amp;"~"&amp;TEXT(C1214,"m/dd")&amp;")"</f>
        <v>2025년 16주차 (4/14~4/20)</v>
      </c>
      <c r="K1210" s="6">
        <f t="shared" si="166"/>
        <v>2025</v>
      </c>
      <c r="L1210" s="6">
        <f t="shared" si="167"/>
        <v>16</v>
      </c>
    </row>
    <row r="1211" spans="1:12" x14ac:dyDescent="0.45">
      <c r="A1211" s="6">
        <f t="shared" si="161"/>
        <v>2025</v>
      </c>
      <c r="B1211" s="6">
        <f t="shared" si="165"/>
        <v>4</v>
      </c>
      <c r="C1211" s="7">
        <v>45764</v>
      </c>
      <c r="D1211" s="6">
        <f t="shared" si="162"/>
        <v>4</v>
      </c>
      <c r="E1211" s="6">
        <f t="shared" si="163"/>
        <v>16</v>
      </c>
      <c r="F1211" s="6">
        <f t="shared" si="164"/>
        <v>2</v>
      </c>
      <c r="G1211" s="6" t="str">
        <f t="shared" si="159"/>
        <v>04</v>
      </c>
      <c r="H1211" s="6" t="str">
        <f t="shared" si="160"/>
        <v>04월 2주차</v>
      </c>
      <c r="I1211" s="6" t="str">
        <f>H1211&amp;" ("&amp;TEXT(C1208,"m/dd")&amp;"~"&amp;TEXT(C1214,"m/dd")&amp;")"</f>
        <v>04월 2주차 (4/14~4/20)</v>
      </c>
      <c r="J1211" s="6" t="str">
        <f>A1208&amp;"년 "&amp;WEEKNUM(C1208,2)&amp;"주차"&amp;" ("&amp;TEXT(C1208,"m/dd")&amp;"~"&amp;TEXT(C1214,"m/dd")&amp;")"</f>
        <v>2025년 16주차 (4/14~4/20)</v>
      </c>
      <c r="K1211" s="6">
        <f t="shared" si="166"/>
        <v>2025</v>
      </c>
      <c r="L1211" s="6">
        <f t="shared" si="167"/>
        <v>16</v>
      </c>
    </row>
    <row r="1212" spans="1:12" x14ac:dyDescent="0.45">
      <c r="A1212" s="6">
        <f t="shared" si="161"/>
        <v>2025</v>
      </c>
      <c r="B1212" s="6">
        <f t="shared" si="165"/>
        <v>4</v>
      </c>
      <c r="C1212" s="7">
        <v>45765</v>
      </c>
      <c r="D1212" s="6">
        <f t="shared" si="162"/>
        <v>5</v>
      </c>
      <c r="E1212" s="6">
        <f t="shared" si="163"/>
        <v>16</v>
      </c>
      <c r="F1212" s="6">
        <f t="shared" si="164"/>
        <v>2</v>
      </c>
      <c r="G1212" s="6" t="str">
        <f t="shared" si="159"/>
        <v>04</v>
      </c>
      <c r="H1212" s="6" t="str">
        <f t="shared" si="160"/>
        <v>04월 2주차</v>
      </c>
      <c r="I1212" s="6" t="str">
        <f>H1212&amp;" ("&amp;TEXT(C1208,"m/dd")&amp;"~"&amp;TEXT(C1214,"m/dd")&amp;")"</f>
        <v>04월 2주차 (4/14~4/20)</v>
      </c>
      <c r="J1212" s="6" t="str">
        <f>A1208&amp;"년 "&amp;WEEKNUM(C1208,2)&amp;"주차"&amp;" ("&amp;TEXT(C1208,"m/dd")&amp;"~"&amp;TEXT(C1214,"m/dd")&amp;")"</f>
        <v>2025년 16주차 (4/14~4/20)</v>
      </c>
      <c r="K1212" s="6">
        <f t="shared" si="166"/>
        <v>2025</v>
      </c>
      <c r="L1212" s="6">
        <f t="shared" si="167"/>
        <v>16</v>
      </c>
    </row>
    <row r="1213" spans="1:12" x14ac:dyDescent="0.45">
      <c r="A1213" s="6">
        <f t="shared" si="161"/>
        <v>2025</v>
      </c>
      <c r="B1213" s="6">
        <f t="shared" si="165"/>
        <v>4</v>
      </c>
      <c r="C1213" s="7">
        <v>45766</v>
      </c>
      <c r="D1213" s="6">
        <f t="shared" si="162"/>
        <v>6</v>
      </c>
      <c r="E1213" s="6">
        <f t="shared" si="163"/>
        <v>16</v>
      </c>
      <c r="F1213" s="6">
        <f t="shared" si="164"/>
        <v>2</v>
      </c>
      <c r="G1213" s="6" t="str">
        <f t="shared" si="159"/>
        <v>04</v>
      </c>
      <c r="H1213" s="6" t="str">
        <f t="shared" si="160"/>
        <v>04월 2주차</v>
      </c>
      <c r="I1213" s="6" t="str">
        <f>H1213&amp;" ("&amp;TEXT(C1208,"m/dd")&amp;"~"&amp;TEXT(C1214,"m/dd")&amp;")"</f>
        <v>04월 2주차 (4/14~4/20)</v>
      </c>
      <c r="J1213" s="6" t="str">
        <f>A1208&amp;"년 "&amp;WEEKNUM(C1208,2)&amp;"주차"&amp;" ("&amp;TEXT(C1208,"m/dd")&amp;"~"&amp;TEXT(C1214,"m/dd")&amp;")"</f>
        <v>2025년 16주차 (4/14~4/20)</v>
      </c>
      <c r="K1213" s="6">
        <f t="shared" si="166"/>
        <v>2025</v>
      </c>
      <c r="L1213" s="6">
        <f t="shared" si="167"/>
        <v>16</v>
      </c>
    </row>
    <row r="1214" spans="1:12" x14ac:dyDescent="0.45">
      <c r="A1214" s="6">
        <f t="shared" si="161"/>
        <v>2025</v>
      </c>
      <c r="B1214" s="6">
        <f t="shared" si="165"/>
        <v>4</v>
      </c>
      <c r="C1214" s="7">
        <v>45767</v>
      </c>
      <c r="D1214" s="6">
        <f t="shared" si="162"/>
        <v>7</v>
      </c>
      <c r="E1214" s="6">
        <f t="shared" si="163"/>
        <v>16</v>
      </c>
      <c r="F1214" s="6">
        <f t="shared" si="164"/>
        <v>2</v>
      </c>
      <c r="G1214" s="6" t="str">
        <f t="shared" si="159"/>
        <v>04</v>
      </c>
      <c r="H1214" s="6" t="str">
        <f t="shared" si="160"/>
        <v>04월 2주차</v>
      </c>
      <c r="I1214" s="6" t="str">
        <f>H1214&amp;" ("&amp;TEXT(C1208,"m/dd")&amp;"~"&amp;TEXT(C1214,"m/dd")&amp;")"</f>
        <v>04월 2주차 (4/14~4/20)</v>
      </c>
      <c r="J1214" s="6" t="str">
        <f>A1208&amp;"년 "&amp;WEEKNUM(C1208,2)&amp;"주차"&amp;" ("&amp;TEXT(C1208,"m/dd")&amp;"~"&amp;TEXT(C1214,"m/dd")&amp;")"</f>
        <v>2025년 16주차 (4/14~4/20)</v>
      </c>
      <c r="K1214" s="6">
        <f t="shared" si="166"/>
        <v>2025</v>
      </c>
      <c r="L1214" s="6">
        <f t="shared" si="167"/>
        <v>16</v>
      </c>
    </row>
    <row r="1215" spans="1:12" x14ac:dyDescent="0.45">
      <c r="A1215" s="6">
        <f t="shared" si="161"/>
        <v>2025</v>
      </c>
      <c r="B1215" s="6">
        <f t="shared" si="165"/>
        <v>4</v>
      </c>
      <c r="C1215" s="7">
        <v>45768</v>
      </c>
      <c r="D1215" s="6">
        <f t="shared" si="162"/>
        <v>1</v>
      </c>
      <c r="E1215" s="6">
        <f t="shared" si="163"/>
        <v>17</v>
      </c>
      <c r="F1215" s="6">
        <f t="shared" si="164"/>
        <v>3</v>
      </c>
      <c r="G1215" s="6" t="str">
        <f t="shared" si="159"/>
        <v>04</v>
      </c>
      <c r="H1215" s="6" t="str">
        <f t="shared" si="160"/>
        <v>04월 3주차</v>
      </c>
      <c r="I1215" s="6" t="str">
        <f>H1215&amp;" ("&amp;TEXT(C1215,"m/dd")&amp;"~"&amp;TEXT(C1221,"m/dd")&amp;")"</f>
        <v>04월 3주차 (4/21~4/27)</v>
      </c>
      <c r="J1215" s="6" t="str">
        <f>A1215&amp;"년 "&amp;WEEKNUM(C1215,2)&amp;"주차"&amp;" ("&amp;TEXT(C1215,"m/dd")&amp;"~"&amp;TEXT(C1221,"m/dd")&amp;")"</f>
        <v>2025년 17주차 (4/21~4/27)</v>
      </c>
      <c r="K1215" s="6">
        <f t="shared" si="166"/>
        <v>2025</v>
      </c>
      <c r="L1215" s="6">
        <f t="shared" si="167"/>
        <v>17</v>
      </c>
    </row>
    <row r="1216" spans="1:12" x14ac:dyDescent="0.45">
      <c r="A1216" s="6">
        <f t="shared" si="161"/>
        <v>2025</v>
      </c>
      <c r="B1216" s="6">
        <f t="shared" si="165"/>
        <v>4</v>
      </c>
      <c r="C1216" s="7">
        <v>45769</v>
      </c>
      <c r="D1216" s="6">
        <f t="shared" si="162"/>
        <v>2</v>
      </c>
      <c r="E1216" s="6">
        <f t="shared" si="163"/>
        <v>17</v>
      </c>
      <c r="F1216" s="6">
        <f t="shared" si="164"/>
        <v>3</v>
      </c>
      <c r="G1216" s="6" t="str">
        <f t="shared" si="159"/>
        <v>04</v>
      </c>
      <c r="H1216" s="6" t="str">
        <f t="shared" si="160"/>
        <v>04월 3주차</v>
      </c>
      <c r="I1216" s="6" t="str">
        <f>H1216&amp;" ("&amp;TEXT(C1215,"m/dd")&amp;"~"&amp;TEXT(C1221,"m/dd")&amp;")"</f>
        <v>04월 3주차 (4/21~4/27)</v>
      </c>
      <c r="J1216" s="6" t="str">
        <f>A1215&amp;"년 "&amp;WEEKNUM(C1215,2)&amp;"주차"&amp;" ("&amp;TEXT(C1215,"m/dd")&amp;"~"&amp;TEXT(C1221,"m/dd")&amp;")"</f>
        <v>2025년 17주차 (4/21~4/27)</v>
      </c>
      <c r="K1216" s="6">
        <f t="shared" si="166"/>
        <v>2025</v>
      </c>
      <c r="L1216" s="6">
        <f t="shared" si="167"/>
        <v>17</v>
      </c>
    </row>
    <row r="1217" spans="1:12" x14ac:dyDescent="0.45">
      <c r="A1217" s="6">
        <f t="shared" si="161"/>
        <v>2025</v>
      </c>
      <c r="B1217" s="6">
        <f t="shared" si="165"/>
        <v>4</v>
      </c>
      <c r="C1217" s="7">
        <v>45770</v>
      </c>
      <c r="D1217" s="6">
        <f t="shared" si="162"/>
        <v>3</v>
      </c>
      <c r="E1217" s="6">
        <f t="shared" si="163"/>
        <v>17</v>
      </c>
      <c r="F1217" s="6">
        <f t="shared" si="164"/>
        <v>3</v>
      </c>
      <c r="G1217" s="6" t="str">
        <f t="shared" si="159"/>
        <v>04</v>
      </c>
      <c r="H1217" s="6" t="str">
        <f t="shared" si="160"/>
        <v>04월 3주차</v>
      </c>
      <c r="I1217" s="6" t="str">
        <f>H1217&amp;" ("&amp;TEXT(C1215,"m/dd")&amp;"~"&amp;TEXT(C1221,"m/dd")&amp;")"</f>
        <v>04월 3주차 (4/21~4/27)</v>
      </c>
      <c r="J1217" s="6" t="str">
        <f>A1215&amp;"년 "&amp;WEEKNUM(C1215,2)&amp;"주차"&amp;" ("&amp;TEXT(C1215,"m/dd")&amp;"~"&amp;TEXT(C1221,"m/dd")&amp;")"</f>
        <v>2025년 17주차 (4/21~4/27)</v>
      </c>
      <c r="K1217" s="6">
        <f t="shared" si="166"/>
        <v>2025</v>
      </c>
      <c r="L1217" s="6">
        <f t="shared" si="167"/>
        <v>17</v>
      </c>
    </row>
    <row r="1218" spans="1:12" x14ac:dyDescent="0.45">
      <c r="A1218" s="6">
        <f t="shared" si="161"/>
        <v>2025</v>
      </c>
      <c r="B1218" s="6">
        <f t="shared" si="165"/>
        <v>4</v>
      </c>
      <c r="C1218" s="7">
        <v>45771</v>
      </c>
      <c r="D1218" s="6">
        <f t="shared" si="162"/>
        <v>4</v>
      </c>
      <c r="E1218" s="6">
        <f t="shared" si="163"/>
        <v>17</v>
      </c>
      <c r="F1218" s="6">
        <f t="shared" si="164"/>
        <v>3</v>
      </c>
      <c r="G1218" s="6" t="str">
        <f t="shared" si="159"/>
        <v>04</v>
      </c>
      <c r="H1218" s="6" t="str">
        <f t="shared" si="160"/>
        <v>04월 3주차</v>
      </c>
      <c r="I1218" s="6" t="str">
        <f>H1218&amp;" ("&amp;TEXT(C1215,"m/dd")&amp;"~"&amp;TEXT(C1221,"m/dd")&amp;")"</f>
        <v>04월 3주차 (4/21~4/27)</v>
      </c>
      <c r="J1218" s="6" t="str">
        <f>A1215&amp;"년 "&amp;WEEKNUM(C1215,2)&amp;"주차"&amp;" ("&amp;TEXT(C1215,"m/dd")&amp;"~"&amp;TEXT(C1221,"m/dd")&amp;")"</f>
        <v>2025년 17주차 (4/21~4/27)</v>
      </c>
      <c r="K1218" s="6">
        <f t="shared" si="166"/>
        <v>2025</v>
      </c>
      <c r="L1218" s="6">
        <f t="shared" si="167"/>
        <v>17</v>
      </c>
    </row>
    <row r="1219" spans="1:12" x14ac:dyDescent="0.45">
      <c r="A1219" s="6">
        <f t="shared" si="161"/>
        <v>2025</v>
      </c>
      <c r="B1219" s="6">
        <f t="shared" si="165"/>
        <v>4</v>
      </c>
      <c r="C1219" s="7">
        <v>45772</v>
      </c>
      <c r="D1219" s="6">
        <f t="shared" si="162"/>
        <v>5</v>
      </c>
      <c r="E1219" s="6">
        <f t="shared" si="163"/>
        <v>17</v>
      </c>
      <c r="F1219" s="6">
        <f t="shared" si="164"/>
        <v>3</v>
      </c>
      <c r="G1219" s="6" t="str">
        <f t="shared" si="159"/>
        <v>04</v>
      </c>
      <c r="H1219" s="6" t="str">
        <f t="shared" si="160"/>
        <v>04월 3주차</v>
      </c>
      <c r="I1219" s="6" t="str">
        <f>H1219&amp;" ("&amp;TEXT(C1215,"m/dd")&amp;"~"&amp;TEXT(C1221,"m/dd")&amp;")"</f>
        <v>04월 3주차 (4/21~4/27)</v>
      </c>
      <c r="J1219" s="6" t="str">
        <f>A1215&amp;"년 "&amp;WEEKNUM(C1215,2)&amp;"주차"&amp;" ("&amp;TEXT(C1215,"m/dd")&amp;"~"&amp;TEXT(C1221,"m/dd")&amp;")"</f>
        <v>2025년 17주차 (4/21~4/27)</v>
      </c>
      <c r="K1219" s="6">
        <f t="shared" si="166"/>
        <v>2025</v>
      </c>
      <c r="L1219" s="6">
        <f t="shared" si="167"/>
        <v>17</v>
      </c>
    </row>
    <row r="1220" spans="1:12" x14ac:dyDescent="0.45">
      <c r="A1220" s="6">
        <f t="shared" si="161"/>
        <v>2025</v>
      </c>
      <c r="B1220" s="6">
        <f t="shared" si="165"/>
        <v>4</v>
      </c>
      <c r="C1220" s="7">
        <v>45773</v>
      </c>
      <c r="D1220" s="6">
        <f t="shared" si="162"/>
        <v>6</v>
      </c>
      <c r="E1220" s="6">
        <f t="shared" si="163"/>
        <v>17</v>
      </c>
      <c r="F1220" s="6">
        <f t="shared" si="164"/>
        <v>3</v>
      </c>
      <c r="G1220" s="6" t="str">
        <f t="shared" si="159"/>
        <v>04</v>
      </c>
      <c r="H1220" s="6" t="str">
        <f t="shared" si="160"/>
        <v>04월 3주차</v>
      </c>
      <c r="I1220" s="6" t="str">
        <f>H1220&amp;" ("&amp;TEXT(C1215,"m/dd")&amp;"~"&amp;TEXT(C1221,"m/dd")&amp;")"</f>
        <v>04월 3주차 (4/21~4/27)</v>
      </c>
      <c r="J1220" s="6" t="str">
        <f>A1215&amp;"년 "&amp;WEEKNUM(C1215,2)&amp;"주차"&amp;" ("&amp;TEXT(C1215,"m/dd")&amp;"~"&amp;TEXT(C1221,"m/dd")&amp;")"</f>
        <v>2025년 17주차 (4/21~4/27)</v>
      </c>
      <c r="K1220" s="6">
        <f t="shared" si="166"/>
        <v>2025</v>
      </c>
      <c r="L1220" s="6">
        <f t="shared" si="167"/>
        <v>17</v>
      </c>
    </row>
    <row r="1221" spans="1:12" x14ac:dyDescent="0.45">
      <c r="A1221" s="6">
        <f t="shared" si="161"/>
        <v>2025</v>
      </c>
      <c r="B1221" s="6">
        <f t="shared" si="165"/>
        <v>4</v>
      </c>
      <c r="C1221" s="7">
        <v>45774</v>
      </c>
      <c r="D1221" s="6">
        <f t="shared" si="162"/>
        <v>7</v>
      </c>
      <c r="E1221" s="6">
        <f t="shared" si="163"/>
        <v>17</v>
      </c>
      <c r="F1221" s="6">
        <f t="shared" si="164"/>
        <v>3</v>
      </c>
      <c r="G1221" s="6" t="str">
        <f t="shared" si="159"/>
        <v>04</v>
      </c>
      <c r="H1221" s="6" t="str">
        <f t="shared" si="160"/>
        <v>04월 3주차</v>
      </c>
      <c r="I1221" s="6" t="str">
        <f>H1221&amp;" ("&amp;TEXT(C1215,"m/dd")&amp;"~"&amp;TEXT(C1221,"m/dd")&amp;")"</f>
        <v>04월 3주차 (4/21~4/27)</v>
      </c>
      <c r="J1221" s="6" t="str">
        <f>A1215&amp;"년 "&amp;WEEKNUM(C1215,2)&amp;"주차"&amp;" ("&amp;TEXT(C1215,"m/dd")&amp;"~"&amp;TEXT(C1221,"m/dd")&amp;")"</f>
        <v>2025년 17주차 (4/21~4/27)</v>
      </c>
      <c r="K1221" s="6">
        <f t="shared" si="166"/>
        <v>2025</v>
      </c>
      <c r="L1221" s="6">
        <f t="shared" si="167"/>
        <v>17</v>
      </c>
    </row>
    <row r="1222" spans="1:12" x14ac:dyDescent="0.45">
      <c r="A1222" s="6">
        <f t="shared" si="161"/>
        <v>2025</v>
      </c>
      <c r="B1222" s="6">
        <f t="shared" si="165"/>
        <v>4</v>
      </c>
      <c r="C1222" s="7">
        <v>45775</v>
      </c>
      <c r="D1222" s="6">
        <f t="shared" si="162"/>
        <v>1</v>
      </c>
      <c r="E1222" s="6">
        <f t="shared" si="163"/>
        <v>18</v>
      </c>
      <c r="F1222" s="6">
        <f t="shared" si="164"/>
        <v>4</v>
      </c>
      <c r="G1222" s="6" t="str">
        <f t="shared" si="159"/>
        <v>04</v>
      </c>
      <c r="H1222" s="6" t="str">
        <f t="shared" si="160"/>
        <v>04월 4주차</v>
      </c>
      <c r="I1222" s="6" t="str">
        <f>H1222&amp;" ("&amp;TEXT(C1222,"m/dd")&amp;"~"&amp;TEXT(C1228,"m/dd")&amp;")"</f>
        <v>04월 4주차 (4/28~5/04)</v>
      </c>
      <c r="J1222" s="6" t="str">
        <f>A1222&amp;"년 "&amp;WEEKNUM(C1222,2)&amp;"주차"&amp;" ("&amp;TEXT(C1222,"m/dd")&amp;"~"&amp;TEXT(C1228,"m/dd")&amp;")"</f>
        <v>2025년 18주차 (4/28~5/04)</v>
      </c>
      <c r="K1222" s="6">
        <f t="shared" si="166"/>
        <v>2025</v>
      </c>
      <c r="L1222" s="6">
        <f t="shared" si="167"/>
        <v>18</v>
      </c>
    </row>
    <row r="1223" spans="1:12" x14ac:dyDescent="0.45">
      <c r="A1223" s="6">
        <f t="shared" si="161"/>
        <v>2025</v>
      </c>
      <c r="B1223" s="6">
        <f t="shared" si="165"/>
        <v>4</v>
      </c>
      <c r="C1223" s="7">
        <v>45776</v>
      </c>
      <c r="D1223" s="6">
        <f t="shared" si="162"/>
        <v>2</v>
      </c>
      <c r="E1223" s="6">
        <f t="shared" si="163"/>
        <v>18</v>
      </c>
      <c r="F1223" s="6">
        <f t="shared" si="164"/>
        <v>4</v>
      </c>
      <c r="G1223" s="6" t="str">
        <f t="shared" si="159"/>
        <v>04</v>
      </c>
      <c r="H1223" s="6" t="str">
        <f t="shared" si="160"/>
        <v>04월 4주차</v>
      </c>
      <c r="I1223" s="6" t="str">
        <f>H1223&amp;" ("&amp;TEXT(C1222,"m/dd")&amp;"~"&amp;TEXT(C1228,"m/dd")&amp;")"</f>
        <v>04월 4주차 (4/28~5/04)</v>
      </c>
      <c r="J1223" s="6" t="str">
        <f>A1222&amp;"년 "&amp;WEEKNUM(C1222,2)&amp;"주차"&amp;" ("&amp;TEXT(C1222,"m/dd")&amp;"~"&amp;TEXT(C1228,"m/dd")&amp;")"</f>
        <v>2025년 18주차 (4/28~5/04)</v>
      </c>
      <c r="K1223" s="6">
        <f t="shared" si="166"/>
        <v>2025</v>
      </c>
      <c r="L1223" s="6">
        <f t="shared" si="167"/>
        <v>18</v>
      </c>
    </row>
    <row r="1224" spans="1:12" x14ac:dyDescent="0.45">
      <c r="A1224" s="6">
        <f t="shared" si="161"/>
        <v>2025</v>
      </c>
      <c r="B1224" s="6">
        <f t="shared" si="165"/>
        <v>4</v>
      </c>
      <c r="C1224" s="7">
        <v>45777</v>
      </c>
      <c r="D1224" s="6">
        <f t="shared" si="162"/>
        <v>3</v>
      </c>
      <c r="E1224" s="6">
        <f t="shared" si="163"/>
        <v>18</v>
      </c>
      <c r="F1224" s="6">
        <f t="shared" si="164"/>
        <v>4</v>
      </c>
      <c r="G1224" s="6" t="str">
        <f t="shared" si="159"/>
        <v>04</v>
      </c>
      <c r="H1224" s="6" t="str">
        <f t="shared" si="160"/>
        <v>04월 4주차</v>
      </c>
      <c r="I1224" s="6" t="str">
        <f>H1224&amp;" ("&amp;TEXT(C1222,"m/dd")&amp;"~"&amp;TEXT(C1228,"m/dd")&amp;")"</f>
        <v>04월 4주차 (4/28~5/04)</v>
      </c>
      <c r="J1224" s="6" t="str">
        <f>A1222&amp;"년 "&amp;WEEKNUM(C1222,2)&amp;"주차"&amp;" ("&amp;TEXT(C1222,"m/dd")&amp;"~"&amp;TEXT(C1228,"m/dd")&amp;")"</f>
        <v>2025년 18주차 (4/28~5/04)</v>
      </c>
      <c r="K1224" s="6">
        <f t="shared" si="166"/>
        <v>2025</v>
      </c>
      <c r="L1224" s="6">
        <f t="shared" si="167"/>
        <v>18</v>
      </c>
    </row>
    <row r="1225" spans="1:12" x14ac:dyDescent="0.45">
      <c r="A1225" s="6">
        <f t="shared" si="161"/>
        <v>2025</v>
      </c>
      <c r="B1225" s="6">
        <f t="shared" si="165"/>
        <v>5</v>
      </c>
      <c r="C1225" s="7">
        <v>45778</v>
      </c>
      <c r="D1225" s="6">
        <f t="shared" si="162"/>
        <v>4</v>
      </c>
      <c r="E1225" s="6">
        <f t="shared" si="163"/>
        <v>18</v>
      </c>
      <c r="F1225" s="6">
        <f t="shared" si="164"/>
        <v>4</v>
      </c>
      <c r="G1225" s="6" t="str">
        <f t="shared" si="159"/>
        <v>05</v>
      </c>
      <c r="H1225" s="6" t="str">
        <f t="shared" si="160"/>
        <v>05월 4주차</v>
      </c>
      <c r="I1225" s="6" t="str">
        <f>H1225&amp;" ("&amp;TEXT(C1222,"m/dd")&amp;"~"&amp;TEXT(C1228,"m/dd")&amp;")"</f>
        <v>05월 4주차 (4/28~5/04)</v>
      </c>
      <c r="J1225" s="6" t="str">
        <f>A1222&amp;"년 "&amp;WEEKNUM(C1222,2)&amp;"주차"&amp;" ("&amp;TEXT(C1222,"m/dd")&amp;"~"&amp;TEXT(C1228,"m/dd")&amp;")"</f>
        <v>2025년 18주차 (4/28~5/04)</v>
      </c>
      <c r="K1225" s="6">
        <f t="shared" si="166"/>
        <v>2025</v>
      </c>
      <c r="L1225" s="6">
        <f t="shared" si="167"/>
        <v>18</v>
      </c>
    </row>
    <row r="1226" spans="1:12" x14ac:dyDescent="0.45">
      <c r="A1226" s="6">
        <f t="shared" si="161"/>
        <v>2025</v>
      </c>
      <c r="B1226" s="6">
        <f t="shared" si="165"/>
        <v>5</v>
      </c>
      <c r="C1226" s="7">
        <v>45779</v>
      </c>
      <c r="D1226" s="6">
        <f t="shared" si="162"/>
        <v>5</v>
      </c>
      <c r="E1226" s="6">
        <f t="shared" si="163"/>
        <v>18</v>
      </c>
      <c r="F1226" s="6">
        <f t="shared" si="164"/>
        <v>4</v>
      </c>
      <c r="G1226" s="6" t="str">
        <f t="shared" si="159"/>
        <v>05</v>
      </c>
      <c r="H1226" s="6" t="str">
        <f t="shared" si="160"/>
        <v>05월 4주차</v>
      </c>
      <c r="I1226" s="6" t="str">
        <f>H1226&amp;" ("&amp;TEXT(C1222,"m/dd")&amp;"~"&amp;TEXT(C1228,"m/dd")&amp;")"</f>
        <v>05월 4주차 (4/28~5/04)</v>
      </c>
      <c r="J1226" s="6" t="str">
        <f>A1222&amp;"년 "&amp;WEEKNUM(C1222,2)&amp;"주차"&amp;" ("&amp;TEXT(C1222,"m/dd")&amp;"~"&amp;TEXT(C1228,"m/dd")&amp;")"</f>
        <v>2025년 18주차 (4/28~5/04)</v>
      </c>
      <c r="K1226" s="6">
        <f t="shared" si="166"/>
        <v>2025</v>
      </c>
      <c r="L1226" s="6">
        <f t="shared" si="167"/>
        <v>18</v>
      </c>
    </row>
    <row r="1227" spans="1:12" x14ac:dyDescent="0.45">
      <c r="A1227" s="6">
        <f t="shared" si="161"/>
        <v>2025</v>
      </c>
      <c r="B1227" s="6">
        <f t="shared" si="165"/>
        <v>5</v>
      </c>
      <c r="C1227" s="7">
        <v>45780</v>
      </c>
      <c r="D1227" s="6">
        <f t="shared" si="162"/>
        <v>6</v>
      </c>
      <c r="E1227" s="6">
        <f t="shared" si="163"/>
        <v>18</v>
      </c>
      <c r="F1227" s="6">
        <f t="shared" si="164"/>
        <v>4</v>
      </c>
      <c r="G1227" s="6" t="str">
        <f t="shared" ref="G1227:G1235" si="168">IF(LEN(B1227)=1,_xlfn.CONCAT(0,B1227),B1227)</f>
        <v>05</v>
      </c>
      <c r="H1227" s="6" t="str">
        <f t="shared" ref="H1227:H1235" si="169">G1227&amp;"월 "&amp;F1227&amp;"주차"</f>
        <v>05월 4주차</v>
      </c>
      <c r="I1227" s="6" t="str">
        <f>H1227&amp;" ("&amp;TEXT(C1222,"m/dd")&amp;"~"&amp;TEXT(C1228,"m/dd")&amp;")"</f>
        <v>05월 4주차 (4/28~5/04)</v>
      </c>
      <c r="J1227" s="6" t="str">
        <f>A1222&amp;"년 "&amp;WEEKNUM(C1222,2)&amp;"주차"&amp;" ("&amp;TEXT(C1222,"m/dd")&amp;"~"&amp;TEXT(C1228,"m/dd")&amp;")"</f>
        <v>2025년 18주차 (4/28~5/04)</v>
      </c>
      <c r="K1227" s="6">
        <f t="shared" si="166"/>
        <v>2025</v>
      </c>
      <c r="L1227" s="6">
        <f t="shared" si="167"/>
        <v>18</v>
      </c>
    </row>
    <row r="1228" spans="1:12" x14ac:dyDescent="0.45">
      <c r="A1228" s="6">
        <f t="shared" si="161"/>
        <v>2025</v>
      </c>
      <c r="B1228" s="6">
        <f t="shared" si="165"/>
        <v>5</v>
      </c>
      <c r="C1228" s="7">
        <v>45781</v>
      </c>
      <c r="D1228" s="6">
        <f t="shared" si="162"/>
        <v>7</v>
      </c>
      <c r="E1228" s="6">
        <f t="shared" si="163"/>
        <v>18</v>
      </c>
      <c r="F1228" s="6">
        <f t="shared" si="164"/>
        <v>4</v>
      </c>
      <c r="G1228" s="6" t="str">
        <f t="shared" si="168"/>
        <v>05</v>
      </c>
      <c r="H1228" s="6" t="str">
        <f t="shared" si="169"/>
        <v>05월 4주차</v>
      </c>
      <c r="I1228" s="6" t="str">
        <f>H1228&amp;" ("&amp;TEXT(C1222,"m/dd")&amp;"~"&amp;TEXT(C1228,"m/dd")&amp;")"</f>
        <v>05월 4주차 (4/28~5/04)</v>
      </c>
      <c r="J1228" s="6" t="str">
        <f>A1222&amp;"년 "&amp;WEEKNUM(C1222,2)&amp;"주차"&amp;" ("&amp;TEXT(C1222,"m/dd")&amp;"~"&amp;TEXT(C1228,"m/dd")&amp;")"</f>
        <v>2025년 18주차 (4/28~5/04)</v>
      </c>
      <c r="K1228" s="6">
        <f t="shared" si="166"/>
        <v>2025</v>
      </c>
      <c r="L1228" s="6">
        <f t="shared" si="167"/>
        <v>18</v>
      </c>
    </row>
    <row r="1229" spans="1:12" x14ac:dyDescent="0.45">
      <c r="A1229" s="6">
        <f t="shared" si="161"/>
        <v>2025</v>
      </c>
      <c r="B1229" s="6">
        <f t="shared" si="165"/>
        <v>4</v>
      </c>
      <c r="C1229" s="7">
        <v>45768</v>
      </c>
      <c r="D1229" s="6">
        <f t="shared" si="162"/>
        <v>1</v>
      </c>
      <c r="E1229" s="6">
        <f t="shared" si="163"/>
        <v>17</v>
      </c>
      <c r="F1229" s="6">
        <f t="shared" si="164"/>
        <v>3</v>
      </c>
      <c r="G1229" s="6" t="str">
        <f t="shared" si="168"/>
        <v>04</v>
      </c>
      <c r="H1229" s="6" t="str">
        <f t="shared" si="169"/>
        <v>04월 3주차</v>
      </c>
      <c r="I1229" s="6" t="str">
        <f>H1229&amp;" ("&amp;TEXT(C1229,"m/dd")&amp;"~"&amp;TEXT(C1235,"m/dd")&amp;")"</f>
        <v>04월 3주차 (4/21~4/27)</v>
      </c>
      <c r="J1229" s="6" t="str">
        <f>A1229&amp;"년 "&amp;WEEKNUM(C1229,2)&amp;"주차"&amp;" ("&amp;TEXT(C1229,"m/dd")&amp;"~"&amp;TEXT(C1235,"m/dd")&amp;")"</f>
        <v>2025년 17주차 (4/21~4/27)</v>
      </c>
      <c r="K1229" s="6">
        <f t="shared" si="166"/>
        <v>2025</v>
      </c>
      <c r="L1229" s="6">
        <f t="shared" si="167"/>
        <v>17</v>
      </c>
    </row>
    <row r="1230" spans="1:12" x14ac:dyDescent="0.45">
      <c r="A1230" s="6">
        <f t="shared" si="161"/>
        <v>2025</v>
      </c>
      <c r="B1230" s="6">
        <f t="shared" si="165"/>
        <v>4</v>
      </c>
      <c r="C1230" s="7">
        <v>45769</v>
      </c>
      <c r="D1230" s="6">
        <f t="shared" si="162"/>
        <v>2</v>
      </c>
      <c r="E1230" s="6">
        <f t="shared" si="163"/>
        <v>17</v>
      </c>
      <c r="F1230" s="6">
        <f t="shared" si="164"/>
        <v>3</v>
      </c>
      <c r="G1230" s="6" t="str">
        <f t="shared" si="168"/>
        <v>04</v>
      </c>
      <c r="H1230" s="6" t="str">
        <f t="shared" si="169"/>
        <v>04월 3주차</v>
      </c>
      <c r="I1230" s="6" t="str">
        <f>H1230&amp;" ("&amp;TEXT(C1229,"m/dd")&amp;"~"&amp;TEXT(C1235,"m/dd")&amp;")"</f>
        <v>04월 3주차 (4/21~4/27)</v>
      </c>
      <c r="J1230" s="6" t="str">
        <f>A1229&amp;"년 "&amp;WEEKNUM(C1229,2)&amp;"주차"&amp;" ("&amp;TEXT(C1229,"m/dd")&amp;"~"&amp;TEXT(C1235,"m/dd")&amp;")"</f>
        <v>2025년 17주차 (4/21~4/27)</v>
      </c>
      <c r="K1230" s="6">
        <f t="shared" si="166"/>
        <v>2025</v>
      </c>
      <c r="L1230" s="6">
        <f t="shared" si="167"/>
        <v>17</v>
      </c>
    </row>
    <row r="1231" spans="1:12" x14ac:dyDescent="0.45">
      <c r="A1231" s="6">
        <f t="shared" ref="A1231:A1235" si="170">YEAR(C1231)</f>
        <v>2025</v>
      </c>
      <c r="B1231" s="6">
        <f t="shared" si="165"/>
        <v>4</v>
      </c>
      <c r="C1231" s="7">
        <v>45770</v>
      </c>
      <c r="D1231" s="6">
        <f t="shared" si="162"/>
        <v>3</v>
      </c>
      <c r="E1231" s="6">
        <f t="shared" si="163"/>
        <v>17</v>
      </c>
      <c r="F1231" s="6">
        <f t="shared" si="164"/>
        <v>3</v>
      </c>
      <c r="G1231" s="6" t="str">
        <f t="shared" si="168"/>
        <v>04</v>
      </c>
      <c r="H1231" s="6" t="str">
        <f t="shared" si="169"/>
        <v>04월 3주차</v>
      </c>
      <c r="I1231" s="6" t="str">
        <f>H1231&amp;" ("&amp;TEXT(C1229,"m/dd")&amp;"~"&amp;TEXT(C1235,"m/dd")&amp;")"</f>
        <v>04월 3주차 (4/21~4/27)</v>
      </c>
      <c r="J1231" s="6" t="str">
        <f>A1229&amp;"년 "&amp;WEEKNUM(C1229,2)&amp;"주차"&amp;" ("&amp;TEXT(C1229,"m/dd")&amp;"~"&amp;TEXT(C1235,"m/dd")&amp;")"</f>
        <v>2025년 17주차 (4/21~4/27)</v>
      </c>
      <c r="K1231" s="6">
        <f t="shared" si="166"/>
        <v>2025</v>
      </c>
      <c r="L1231" s="6">
        <f t="shared" si="167"/>
        <v>17</v>
      </c>
    </row>
    <row r="1232" spans="1:12" x14ac:dyDescent="0.45">
      <c r="A1232" s="6">
        <f t="shared" si="170"/>
        <v>2025</v>
      </c>
      <c r="B1232" s="6">
        <f t="shared" si="165"/>
        <v>4</v>
      </c>
      <c r="C1232" s="7">
        <v>45771</v>
      </c>
      <c r="D1232" s="6">
        <f t="shared" si="162"/>
        <v>4</v>
      </c>
      <c r="E1232" s="6">
        <f t="shared" si="163"/>
        <v>17</v>
      </c>
      <c r="F1232" s="6">
        <f t="shared" si="164"/>
        <v>3</v>
      </c>
      <c r="G1232" s="6" t="str">
        <f t="shared" si="168"/>
        <v>04</v>
      </c>
      <c r="H1232" s="6" t="str">
        <f t="shared" si="169"/>
        <v>04월 3주차</v>
      </c>
      <c r="I1232" s="6" t="str">
        <f>H1232&amp;" ("&amp;TEXT(C1229,"m/dd")&amp;"~"&amp;TEXT(C1235,"m/dd")&amp;")"</f>
        <v>04월 3주차 (4/21~4/27)</v>
      </c>
      <c r="J1232" s="6" t="str">
        <f>A1229&amp;"년 "&amp;WEEKNUM(C1229,2)&amp;"주차"&amp;" ("&amp;TEXT(C1229,"m/dd")&amp;"~"&amp;TEXT(C1235,"m/dd")&amp;")"</f>
        <v>2025년 17주차 (4/21~4/27)</v>
      </c>
      <c r="K1232" s="6">
        <f t="shared" si="166"/>
        <v>2025</v>
      </c>
      <c r="L1232" s="6">
        <f t="shared" si="167"/>
        <v>17</v>
      </c>
    </row>
    <row r="1233" spans="1:12" x14ac:dyDescent="0.45">
      <c r="A1233" s="6">
        <f t="shared" si="170"/>
        <v>2025</v>
      </c>
      <c r="B1233" s="6">
        <f t="shared" si="165"/>
        <v>4</v>
      </c>
      <c r="C1233" s="7">
        <v>45772</v>
      </c>
      <c r="D1233" s="6">
        <f t="shared" si="162"/>
        <v>5</v>
      </c>
      <c r="E1233" s="6">
        <f t="shared" si="163"/>
        <v>17</v>
      </c>
      <c r="F1233" s="6">
        <f t="shared" si="164"/>
        <v>3</v>
      </c>
      <c r="G1233" s="6" t="str">
        <f t="shared" si="168"/>
        <v>04</v>
      </c>
      <c r="H1233" s="6" t="str">
        <f t="shared" si="169"/>
        <v>04월 3주차</v>
      </c>
      <c r="I1233" s="6" t="str">
        <f>H1233&amp;" ("&amp;TEXT(C1229,"m/dd")&amp;"~"&amp;TEXT(C1235,"m/dd")&amp;")"</f>
        <v>04월 3주차 (4/21~4/27)</v>
      </c>
      <c r="J1233" s="6" t="str">
        <f>A1229&amp;"년 "&amp;WEEKNUM(C1229,2)&amp;"주차"&amp;" ("&amp;TEXT(C1229,"m/dd")&amp;"~"&amp;TEXT(C1235,"m/dd")&amp;")"</f>
        <v>2025년 17주차 (4/21~4/27)</v>
      </c>
      <c r="K1233" s="6">
        <f t="shared" si="166"/>
        <v>2025</v>
      </c>
      <c r="L1233" s="6">
        <f t="shared" si="167"/>
        <v>17</v>
      </c>
    </row>
    <row r="1234" spans="1:12" x14ac:dyDescent="0.45">
      <c r="A1234" s="6">
        <f t="shared" si="170"/>
        <v>2025</v>
      </c>
      <c r="B1234" s="6">
        <f t="shared" si="165"/>
        <v>4</v>
      </c>
      <c r="C1234" s="7">
        <v>45773</v>
      </c>
      <c r="D1234" s="6">
        <f t="shared" si="162"/>
        <v>6</v>
      </c>
      <c r="E1234" s="6">
        <f t="shared" si="163"/>
        <v>17</v>
      </c>
      <c r="F1234" s="6">
        <f t="shared" si="164"/>
        <v>3</v>
      </c>
      <c r="G1234" s="6" t="str">
        <f t="shared" si="168"/>
        <v>04</v>
      </c>
      <c r="H1234" s="6" t="str">
        <f t="shared" si="169"/>
        <v>04월 3주차</v>
      </c>
      <c r="I1234" s="6" t="str">
        <f>H1234&amp;" ("&amp;TEXT(C1229,"m/dd")&amp;"~"&amp;TEXT(C1235,"m/dd")&amp;")"</f>
        <v>04월 3주차 (4/21~4/27)</v>
      </c>
      <c r="J1234" s="6" t="str">
        <f>A1229&amp;"년 "&amp;WEEKNUM(C1229,2)&amp;"주차"&amp;" ("&amp;TEXT(C1229,"m/dd")&amp;"~"&amp;TEXT(C1235,"m/dd")&amp;")"</f>
        <v>2025년 17주차 (4/21~4/27)</v>
      </c>
      <c r="K1234" s="6">
        <f t="shared" si="166"/>
        <v>2025</v>
      </c>
      <c r="L1234" s="6">
        <f t="shared" si="167"/>
        <v>17</v>
      </c>
    </row>
    <row r="1235" spans="1:12" x14ac:dyDescent="0.45">
      <c r="A1235" s="6">
        <f t="shared" si="170"/>
        <v>2025</v>
      </c>
      <c r="B1235" s="6">
        <f t="shared" si="165"/>
        <v>4</v>
      </c>
      <c r="C1235" s="7">
        <v>45774</v>
      </c>
      <c r="D1235" s="6">
        <f t="shared" si="162"/>
        <v>7</v>
      </c>
      <c r="E1235" s="6">
        <f t="shared" si="163"/>
        <v>17</v>
      </c>
      <c r="F1235" s="6">
        <f t="shared" si="164"/>
        <v>3</v>
      </c>
      <c r="G1235" s="6" t="str">
        <f t="shared" si="168"/>
        <v>04</v>
      </c>
      <c r="H1235" s="6" t="str">
        <f t="shared" si="169"/>
        <v>04월 3주차</v>
      </c>
      <c r="I1235" s="6" t="str">
        <f>H1235&amp;" ("&amp;TEXT(C1229,"m/dd")&amp;"~"&amp;TEXT(C1235,"m/dd")&amp;")"</f>
        <v>04월 3주차 (4/21~4/27)</v>
      </c>
      <c r="J1235" s="6" t="str">
        <f>A1229&amp;"년 "&amp;WEEKNUM(C1229,2)&amp;"주차"&amp;" ("&amp;TEXT(C1229,"m/dd")&amp;"~"&amp;TEXT(C1235,"m/dd")&amp;")"</f>
        <v>2025년 17주차 (4/21~4/27)</v>
      </c>
      <c r="K1235" s="6">
        <f t="shared" si="166"/>
        <v>2025</v>
      </c>
      <c r="L1235" s="6">
        <f t="shared" si="167"/>
        <v>17</v>
      </c>
    </row>
    <row r="1236" spans="1:12" x14ac:dyDescent="0.45">
      <c r="C1236" s="7"/>
    </row>
    <row r="1237" spans="1:12" x14ac:dyDescent="0.45">
      <c r="C1237" s="7"/>
    </row>
    <row r="1238" spans="1:12" x14ac:dyDescent="0.45">
      <c r="C1238" s="7"/>
    </row>
    <row r="1239" spans="1:12" x14ac:dyDescent="0.45">
      <c r="C1239" s="7"/>
    </row>
    <row r="1240" spans="1:12" x14ac:dyDescent="0.45">
      <c r="C1240" s="7"/>
    </row>
    <row r="1241" spans="1:12" x14ac:dyDescent="0.45">
      <c r="C1241" s="7"/>
    </row>
    <row r="1242" spans="1:12" x14ac:dyDescent="0.45">
      <c r="C1242" s="7"/>
    </row>
    <row r="1243" spans="1:12" x14ac:dyDescent="0.45">
      <c r="C1243" s="7"/>
    </row>
    <row r="1244" spans="1:12" x14ac:dyDescent="0.45">
      <c r="C1244" s="7"/>
    </row>
    <row r="1245" spans="1:12" x14ac:dyDescent="0.45">
      <c r="C1245" s="7"/>
    </row>
    <row r="1246" spans="1:12" x14ac:dyDescent="0.45">
      <c r="C1246" s="7"/>
    </row>
    <row r="1247" spans="1:12" x14ac:dyDescent="0.45">
      <c r="C1247" s="7"/>
    </row>
    <row r="1248" spans="1:12" x14ac:dyDescent="0.45">
      <c r="C1248" s="7"/>
    </row>
    <row r="1249" spans="3:3" x14ac:dyDescent="0.45">
      <c r="C1249" s="7"/>
    </row>
    <row r="1250" spans="3:3" x14ac:dyDescent="0.45">
      <c r="C1250" s="7"/>
    </row>
    <row r="1251" spans="3:3" x14ac:dyDescent="0.45">
      <c r="C1251" s="7"/>
    </row>
    <row r="1252" spans="3:3" x14ac:dyDescent="0.45">
      <c r="C1252" s="7"/>
    </row>
    <row r="1253" spans="3:3" x14ac:dyDescent="0.45">
      <c r="C1253" s="7"/>
    </row>
    <row r="1254" spans="3:3" x14ac:dyDescent="0.45">
      <c r="C1254" s="7"/>
    </row>
    <row r="1255" spans="3:3" x14ac:dyDescent="0.45">
      <c r="C1255" s="7"/>
    </row>
    <row r="1256" spans="3:3" x14ac:dyDescent="0.45">
      <c r="C1256" s="7"/>
    </row>
    <row r="1257" spans="3:3" x14ac:dyDescent="0.45">
      <c r="C1257" s="7"/>
    </row>
    <row r="1258" spans="3:3" x14ac:dyDescent="0.45">
      <c r="C1258" s="7"/>
    </row>
    <row r="1259" spans="3:3" x14ac:dyDescent="0.45">
      <c r="C1259" s="7"/>
    </row>
    <row r="1260" spans="3:3" x14ac:dyDescent="0.45">
      <c r="C1260" s="7"/>
    </row>
    <row r="1261" spans="3:3" x14ac:dyDescent="0.45">
      <c r="C1261" s="7"/>
    </row>
    <row r="1262" spans="3:3" x14ac:dyDescent="0.45">
      <c r="C1262" s="7"/>
    </row>
    <row r="1263" spans="3:3" x14ac:dyDescent="0.45">
      <c r="C1263" s="7"/>
    </row>
    <row r="1264" spans="3:3" x14ac:dyDescent="0.45">
      <c r="C1264" s="7"/>
    </row>
    <row r="1265" spans="3:3" x14ac:dyDescent="0.45">
      <c r="C1265" s="7"/>
    </row>
    <row r="1266" spans="3:3" x14ac:dyDescent="0.45">
      <c r="C1266" s="7"/>
    </row>
    <row r="1267" spans="3:3" x14ac:dyDescent="0.45">
      <c r="C1267" s="7"/>
    </row>
    <row r="1268" spans="3:3" x14ac:dyDescent="0.45">
      <c r="C1268" s="7"/>
    </row>
    <row r="1269" spans="3:3" x14ac:dyDescent="0.45">
      <c r="C1269" s="7"/>
    </row>
    <row r="1270" spans="3:3" x14ac:dyDescent="0.45">
      <c r="C1270" s="7"/>
    </row>
    <row r="1271" spans="3:3" x14ac:dyDescent="0.45">
      <c r="C1271" s="7"/>
    </row>
    <row r="1272" spans="3:3" x14ac:dyDescent="0.45">
      <c r="C1272" s="7"/>
    </row>
    <row r="1273" spans="3:3" x14ac:dyDescent="0.45">
      <c r="C1273" s="7"/>
    </row>
    <row r="1274" spans="3:3" x14ac:dyDescent="0.45">
      <c r="C1274" s="7"/>
    </row>
    <row r="1275" spans="3:3" x14ac:dyDescent="0.45">
      <c r="C1275" s="7"/>
    </row>
    <row r="1276" spans="3:3" x14ac:dyDescent="0.45">
      <c r="C1276" s="7"/>
    </row>
    <row r="1277" spans="3:3" x14ac:dyDescent="0.45">
      <c r="C1277" s="7"/>
    </row>
    <row r="1278" spans="3:3" x14ac:dyDescent="0.45">
      <c r="C1278" s="7"/>
    </row>
    <row r="1279" spans="3:3" x14ac:dyDescent="0.45">
      <c r="C1279" s="7"/>
    </row>
    <row r="1280" spans="3:3" x14ac:dyDescent="0.45">
      <c r="C1280" s="7"/>
    </row>
    <row r="1281" spans="1:12" x14ac:dyDescent="0.45">
      <c r="C1281" s="7"/>
    </row>
    <row r="1282" spans="1:12" x14ac:dyDescent="0.45">
      <c r="C1282" s="7"/>
    </row>
    <row r="1283" spans="1:12" x14ac:dyDescent="0.45">
      <c r="A1283" s="6"/>
      <c r="B1283" s="6"/>
      <c r="C1283" s="7"/>
      <c r="D1283" s="6"/>
      <c r="E1283" s="6"/>
      <c r="F1283" s="6"/>
      <c r="H1283" s="6"/>
      <c r="I1283" s="6"/>
      <c r="J1283" s="6"/>
      <c r="K1283" s="6"/>
      <c r="L1283" s="6"/>
    </row>
    <row r="1284" spans="1:12" x14ac:dyDescent="0.45">
      <c r="A1284" s="6"/>
      <c r="B1284" s="6"/>
      <c r="C1284" s="7"/>
      <c r="D1284" s="6"/>
      <c r="E1284" s="6"/>
      <c r="F1284" s="6"/>
      <c r="H1284" s="6"/>
      <c r="I1284" s="6"/>
      <c r="J1284" s="6"/>
      <c r="K1284" s="6"/>
      <c r="L1284" s="6"/>
    </row>
    <row r="1285" spans="1:12" x14ac:dyDescent="0.45">
      <c r="A1285" s="6"/>
      <c r="B1285" s="6"/>
      <c r="C1285" s="7"/>
      <c r="D1285" s="6"/>
      <c r="E1285" s="6"/>
      <c r="F1285" s="6"/>
      <c r="H1285" s="6"/>
      <c r="I1285" s="6"/>
      <c r="J1285" s="6"/>
      <c r="K1285" s="6"/>
      <c r="L1285" s="6"/>
    </row>
    <row r="1286" spans="1:12" x14ac:dyDescent="0.45">
      <c r="A1286" s="6"/>
      <c r="B1286" s="6"/>
      <c r="C1286" s="7"/>
      <c r="D1286" s="6"/>
      <c r="E1286" s="6"/>
      <c r="F1286" s="6"/>
      <c r="H1286" s="6"/>
      <c r="I1286" s="6"/>
      <c r="J1286" s="6"/>
      <c r="K1286" s="6"/>
      <c r="L1286" s="6"/>
    </row>
    <row r="1287" spans="1:12" x14ac:dyDescent="0.45">
      <c r="A1287" s="6"/>
      <c r="B1287" s="6"/>
      <c r="C1287" s="7"/>
      <c r="D1287" s="6"/>
      <c r="E1287" s="6"/>
      <c r="F1287" s="6"/>
      <c r="H1287" s="6"/>
      <c r="I1287" s="6"/>
      <c r="J1287" s="6"/>
      <c r="K1287" s="6"/>
      <c r="L1287" s="6"/>
    </row>
    <row r="1288" spans="1:12" x14ac:dyDescent="0.45">
      <c r="A1288" s="6"/>
      <c r="B1288" s="6"/>
      <c r="C1288" s="7"/>
      <c r="D1288" s="6"/>
      <c r="E1288" s="6"/>
      <c r="F1288" s="6"/>
      <c r="H1288" s="6"/>
      <c r="I1288" s="6"/>
      <c r="J1288" s="6"/>
      <c r="K1288" s="6"/>
      <c r="L1288" s="6"/>
    </row>
    <row r="1289" spans="1:12" x14ac:dyDescent="0.45">
      <c r="A1289" s="6"/>
      <c r="B1289" s="6"/>
      <c r="C1289" s="7"/>
      <c r="D1289" s="6"/>
      <c r="E1289" s="6"/>
      <c r="F1289" s="6"/>
      <c r="H1289" s="6"/>
      <c r="I1289" s="6"/>
      <c r="J1289" s="6"/>
      <c r="K1289" s="6"/>
      <c r="L1289" s="6"/>
    </row>
    <row r="1290" spans="1:12" x14ac:dyDescent="0.45">
      <c r="A1290" s="6"/>
      <c r="B1290" s="6"/>
      <c r="C1290" s="7"/>
      <c r="D1290" s="6"/>
      <c r="E1290" s="6"/>
      <c r="F1290" s="6"/>
      <c r="H1290" s="6"/>
      <c r="I1290" s="6"/>
      <c r="J1290" s="6"/>
      <c r="K1290" s="6"/>
      <c r="L1290" s="6"/>
    </row>
    <row r="1291" spans="1:12" x14ac:dyDescent="0.45">
      <c r="A1291" s="6"/>
      <c r="B1291" s="6"/>
      <c r="C1291" s="7"/>
      <c r="D1291" s="6"/>
      <c r="E1291" s="6"/>
      <c r="F1291" s="6"/>
      <c r="H1291" s="6"/>
      <c r="I1291" s="6"/>
      <c r="J1291" s="6"/>
      <c r="K1291" s="6"/>
      <c r="L1291" s="6"/>
    </row>
    <row r="1292" spans="1:12" x14ac:dyDescent="0.45">
      <c r="A1292" s="6"/>
      <c r="B1292" s="6"/>
      <c r="C1292" s="7"/>
      <c r="D1292" s="6"/>
      <c r="E1292" s="6"/>
      <c r="F1292" s="6"/>
      <c r="H1292" s="6"/>
      <c r="I1292" s="6"/>
      <c r="J1292" s="6"/>
      <c r="K1292" s="6"/>
      <c r="L1292" s="6"/>
    </row>
    <row r="1293" spans="1:12" x14ac:dyDescent="0.45">
      <c r="A1293" s="6"/>
      <c r="B1293" s="6"/>
      <c r="C1293" s="7"/>
      <c r="D1293" s="6"/>
      <c r="E1293" s="6"/>
      <c r="F1293" s="6"/>
      <c r="H1293" s="6"/>
      <c r="I1293" s="6"/>
      <c r="J1293" s="6"/>
      <c r="K1293" s="6"/>
      <c r="L1293" s="6"/>
    </row>
    <row r="1294" spans="1:12" x14ac:dyDescent="0.45">
      <c r="A1294" s="6"/>
      <c r="B1294" s="6"/>
      <c r="C1294" s="7"/>
      <c r="D1294" s="6"/>
      <c r="E1294" s="6"/>
      <c r="F1294" s="6"/>
      <c r="H1294" s="6"/>
      <c r="I1294" s="6"/>
      <c r="J1294" s="6"/>
      <c r="K1294" s="6"/>
      <c r="L1294" s="6"/>
    </row>
    <row r="1295" spans="1:12" x14ac:dyDescent="0.45">
      <c r="A1295" s="6"/>
      <c r="B1295" s="6"/>
      <c r="C1295" s="7"/>
      <c r="D1295" s="6"/>
      <c r="E1295" s="6"/>
      <c r="F1295" s="6"/>
      <c r="H1295" s="6"/>
      <c r="I1295" s="6"/>
      <c r="J1295" s="6"/>
      <c r="K1295" s="6"/>
      <c r="L1295" s="6"/>
    </row>
    <row r="1296" spans="1:12" x14ac:dyDescent="0.45">
      <c r="A1296" s="6"/>
      <c r="B1296" s="6"/>
      <c r="C1296" s="7"/>
      <c r="D1296" s="6"/>
      <c r="E1296" s="6"/>
      <c r="F1296" s="6"/>
      <c r="H1296" s="6"/>
      <c r="I1296" s="6"/>
      <c r="J1296" s="6"/>
      <c r="K1296" s="6"/>
      <c r="L1296" s="6"/>
    </row>
    <row r="1297" spans="1:12" x14ac:dyDescent="0.45">
      <c r="A1297" s="6"/>
      <c r="B1297" s="6"/>
      <c r="C1297" s="7"/>
      <c r="D1297" s="6"/>
      <c r="E1297" s="6"/>
      <c r="F1297" s="6"/>
      <c r="H1297" s="6"/>
      <c r="I1297" s="6"/>
      <c r="J1297" s="6"/>
      <c r="K1297" s="6"/>
      <c r="L1297" s="6"/>
    </row>
    <row r="1298" spans="1:12" x14ac:dyDescent="0.45">
      <c r="A1298" s="6"/>
      <c r="B1298" s="6"/>
      <c r="C1298" s="7"/>
      <c r="D1298" s="6"/>
      <c r="E1298" s="6"/>
      <c r="F1298" s="6"/>
      <c r="H1298" s="6"/>
      <c r="I1298" s="6"/>
      <c r="J1298" s="6"/>
      <c r="K1298" s="6"/>
      <c r="L1298" s="6"/>
    </row>
    <row r="1299" spans="1:12" x14ac:dyDescent="0.45">
      <c r="A1299" s="6"/>
      <c r="B1299" s="6"/>
      <c r="C1299" s="7"/>
      <c r="D1299" s="6"/>
      <c r="E1299" s="6"/>
      <c r="F1299" s="6"/>
      <c r="H1299" s="6"/>
      <c r="I1299" s="6"/>
      <c r="J1299" s="6"/>
      <c r="K1299" s="6"/>
      <c r="L1299" s="6"/>
    </row>
    <row r="1300" spans="1:12" x14ac:dyDescent="0.45">
      <c r="A1300" s="6"/>
      <c r="B1300" s="6"/>
      <c r="C1300" s="7"/>
      <c r="D1300" s="6"/>
      <c r="E1300" s="6"/>
      <c r="F1300" s="6"/>
      <c r="H1300" s="6"/>
      <c r="I1300" s="6"/>
      <c r="J1300" s="6"/>
      <c r="K1300" s="6"/>
      <c r="L1300" s="6"/>
    </row>
    <row r="1301" spans="1:12" x14ac:dyDescent="0.45">
      <c r="A1301" s="6"/>
      <c r="B1301" s="6"/>
      <c r="C1301" s="7"/>
      <c r="D1301" s="6"/>
      <c r="E1301" s="6"/>
      <c r="F1301" s="6"/>
      <c r="H1301" s="6"/>
      <c r="I1301" s="6"/>
      <c r="J1301" s="6"/>
      <c r="K1301" s="6"/>
      <c r="L1301" s="6"/>
    </row>
    <row r="1302" spans="1:12" x14ac:dyDescent="0.45">
      <c r="A1302" s="6"/>
      <c r="B1302" s="6"/>
      <c r="C1302" s="7"/>
      <c r="D1302" s="6"/>
      <c r="E1302" s="6"/>
      <c r="F1302" s="6"/>
      <c r="H1302" s="6"/>
      <c r="I1302" s="6"/>
      <c r="J1302" s="6"/>
      <c r="K1302" s="6"/>
      <c r="L1302" s="6"/>
    </row>
    <row r="1303" spans="1:12" x14ac:dyDescent="0.45">
      <c r="A1303" s="6"/>
      <c r="B1303" s="6"/>
      <c r="C1303" s="7"/>
      <c r="D1303" s="6"/>
      <c r="E1303" s="6"/>
      <c r="F1303" s="6"/>
      <c r="H1303" s="6"/>
      <c r="I1303" s="6"/>
      <c r="J1303" s="6"/>
      <c r="K1303" s="6"/>
      <c r="L1303" s="6"/>
    </row>
    <row r="1304" spans="1:12" x14ac:dyDescent="0.45">
      <c r="A1304" s="6"/>
      <c r="B1304" s="6"/>
      <c r="C1304" s="7"/>
      <c r="D1304" s="6"/>
      <c r="E1304" s="6"/>
      <c r="F1304" s="6"/>
      <c r="H1304" s="6"/>
      <c r="I1304" s="6"/>
      <c r="J1304" s="6"/>
      <c r="K1304" s="6"/>
      <c r="L1304" s="6"/>
    </row>
    <row r="1305" spans="1:12" x14ac:dyDescent="0.45">
      <c r="A1305" s="6"/>
      <c r="B1305" s="6"/>
      <c r="C1305" s="7"/>
      <c r="D1305" s="6"/>
      <c r="E1305" s="6"/>
      <c r="F1305" s="6"/>
      <c r="H1305" s="6"/>
      <c r="I1305" s="6"/>
      <c r="J1305" s="6"/>
      <c r="K1305" s="6"/>
      <c r="L1305" s="6"/>
    </row>
    <row r="1306" spans="1:12" x14ac:dyDescent="0.45">
      <c r="A1306" s="6"/>
      <c r="B1306" s="6"/>
      <c r="C1306" s="7"/>
      <c r="D1306" s="6"/>
      <c r="E1306" s="6"/>
      <c r="F1306" s="6"/>
      <c r="H1306" s="6"/>
      <c r="I1306" s="6"/>
      <c r="J1306" s="6"/>
      <c r="K1306" s="6"/>
      <c r="L1306" s="6"/>
    </row>
    <row r="1307" spans="1:12" x14ac:dyDescent="0.45">
      <c r="A1307" s="6"/>
      <c r="B1307" s="6"/>
      <c r="C1307" s="7"/>
      <c r="D1307" s="6"/>
      <c r="E1307" s="6"/>
      <c r="F1307" s="6"/>
      <c r="H1307" s="6"/>
      <c r="I1307" s="6"/>
      <c r="J1307" s="6"/>
      <c r="K1307" s="6"/>
      <c r="L1307" s="6"/>
    </row>
    <row r="1308" spans="1:12" x14ac:dyDescent="0.45">
      <c r="A1308" s="6"/>
      <c r="B1308" s="6"/>
      <c r="C1308" s="7"/>
      <c r="D1308" s="6"/>
      <c r="E1308" s="6"/>
      <c r="F1308" s="6"/>
      <c r="H1308" s="6"/>
      <c r="I1308" s="6"/>
      <c r="J1308" s="6"/>
      <c r="K1308" s="6"/>
      <c r="L1308" s="6"/>
    </row>
    <row r="1309" spans="1:12" x14ac:dyDescent="0.45">
      <c r="A1309" s="6"/>
      <c r="B1309" s="6"/>
      <c r="C1309" s="7"/>
      <c r="D1309" s="6"/>
      <c r="E1309" s="6"/>
      <c r="F1309" s="6"/>
      <c r="H1309" s="6"/>
      <c r="I1309" s="6"/>
      <c r="J1309" s="6"/>
      <c r="K1309" s="6"/>
      <c r="L1309" s="6"/>
    </row>
    <row r="1310" spans="1:12" x14ac:dyDescent="0.45">
      <c r="A1310" s="6"/>
      <c r="B1310" s="6"/>
      <c r="C1310" s="7"/>
      <c r="D1310" s="6"/>
      <c r="E1310" s="6"/>
      <c r="F1310" s="6"/>
      <c r="H1310" s="6"/>
      <c r="I1310" s="6"/>
      <c r="J1310" s="6"/>
      <c r="K1310" s="6"/>
      <c r="L1310" s="6"/>
    </row>
    <row r="1311" spans="1:12" x14ac:dyDescent="0.45">
      <c r="A1311" s="6"/>
      <c r="B1311" s="6"/>
      <c r="C1311" s="7"/>
      <c r="D1311" s="6"/>
      <c r="E1311" s="6"/>
      <c r="F1311" s="6"/>
      <c r="H1311" s="6"/>
      <c r="I1311" s="6"/>
      <c r="J1311" s="6"/>
      <c r="K1311" s="6"/>
      <c r="L1311" s="6"/>
    </row>
    <row r="1312" spans="1:12" x14ac:dyDescent="0.45">
      <c r="A1312" s="6"/>
      <c r="B1312" s="6"/>
      <c r="C1312" s="7"/>
      <c r="D1312" s="6"/>
      <c r="E1312" s="6"/>
      <c r="F1312" s="6"/>
      <c r="H1312" s="6"/>
      <c r="I1312" s="6"/>
      <c r="J1312" s="6"/>
      <c r="K1312" s="6"/>
      <c r="L1312" s="6"/>
    </row>
    <row r="1313" spans="1:12" x14ac:dyDescent="0.45">
      <c r="A1313" s="6"/>
      <c r="B1313" s="6"/>
      <c r="C1313" s="7"/>
      <c r="D1313" s="6"/>
      <c r="E1313" s="6"/>
      <c r="F1313" s="6"/>
      <c r="H1313" s="6"/>
      <c r="I1313" s="6"/>
      <c r="J1313" s="6"/>
      <c r="K1313" s="6"/>
      <c r="L1313" s="6"/>
    </row>
    <row r="1314" spans="1:12" x14ac:dyDescent="0.45">
      <c r="A1314" s="6"/>
      <c r="B1314" s="6"/>
      <c r="C1314" s="7"/>
      <c r="D1314" s="6"/>
      <c r="E1314" s="6"/>
      <c r="F1314" s="6"/>
      <c r="H1314" s="6"/>
      <c r="I1314" s="6"/>
      <c r="J1314" s="6"/>
      <c r="K1314" s="6"/>
      <c r="L1314" s="6"/>
    </row>
    <row r="1315" spans="1:12" x14ac:dyDescent="0.45">
      <c r="A1315" s="6"/>
      <c r="B1315" s="6"/>
      <c r="C1315" s="7"/>
      <c r="D1315" s="6"/>
      <c r="E1315" s="6"/>
      <c r="F1315" s="6"/>
      <c r="H1315" s="6"/>
      <c r="I1315" s="6"/>
      <c r="J1315" s="6"/>
      <c r="K1315" s="6"/>
      <c r="L1315" s="6"/>
    </row>
    <row r="1316" spans="1:12" x14ac:dyDescent="0.45">
      <c r="A1316" s="6"/>
      <c r="B1316" s="6"/>
      <c r="C1316" s="7"/>
      <c r="D1316" s="6"/>
      <c r="E1316" s="6"/>
      <c r="F1316" s="6"/>
      <c r="H1316" s="6"/>
      <c r="I1316" s="6"/>
      <c r="J1316" s="6"/>
      <c r="K1316" s="6"/>
      <c r="L1316" s="6"/>
    </row>
    <row r="1317" spans="1:12" x14ac:dyDescent="0.45">
      <c r="A1317" s="6"/>
      <c r="B1317" s="6"/>
      <c r="C1317" s="7"/>
      <c r="D1317" s="6"/>
      <c r="E1317" s="6"/>
      <c r="F1317" s="6"/>
      <c r="H1317" s="6"/>
      <c r="I1317" s="6"/>
      <c r="J1317" s="6"/>
      <c r="K1317" s="6"/>
      <c r="L1317" s="6"/>
    </row>
    <row r="1318" spans="1:12" x14ac:dyDescent="0.45">
      <c r="A1318" s="6"/>
      <c r="B1318" s="6"/>
      <c r="C1318" s="7"/>
      <c r="D1318" s="6"/>
      <c r="E1318" s="6"/>
      <c r="F1318" s="6"/>
      <c r="H1318" s="6"/>
      <c r="I1318" s="6"/>
      <c r="J1318" s="6"/>
      <c r="K1318" s="6"/>
      <c r="L1318" s="6"/>
    </row>
    <row r="1319" spans="1:12" x14ac:dyDescent="0.45">
      <c r="A1319" s="6"/>
      <c r="B1319" s="6"/>
      <c r="C1319" s="7"/>
      <c r="D1319" s="6"/>
      <c r="E1319" s="6"/>
      <c r="F1319" s="6"/>
      <c r="H1319" s="6"/>
      <c r="I1319" s="6"/>
      <c r="J1319" s="6"/>
      <c r="K1319" s="6"/>
      <c r="L1319" s="6"/>
    </row>
    <row r="1320" spans="1:12" x14ac:dyDescent="0.45">
      <c r="A1320" s="6"/>
      <c r="B1320" s="6"/>
      <c r="C1320" s="7"/>
      <c r="D1320" s="6"/>
      <c r="E1320" s="6"/>
      <c r="F1320" s="6"/>
      <c r="H1320" s="6"/>
      <c r="I1320" s="6"/>
      <c r="J1320" s="6"/>
      <c r="K1320" s="6"/>
      <c r="L1320" s="6"/>
    </row>
    <row r="1321" spans="1:12" x14ac:dyDescent="0.45">
      <c r="A1321" s="6"/>
      <c r="B1321" s="6"/>
      <c r="C1321" s="7"/>
      <c r="D1321" s="6"/>
      <c r="E1321" s="6"/>
      <c r="F1321" s="6"/>
      <c r="H1321" s="6"/>
      <c r="I1321" s="6"/>
      <c r="J1321" s="6"/>
      <c r="K1321" s="6"/>
      <c r="L1321" s="6"/>
    </row>
    <row r="1322" spans="1:12" x14ac:dyDescent="0.45">
      <c r="A1322" s="6"/>
      <c r="B1322" s="6"/>
      <c r="C1322" s="7"/>
      <c r="D1322" s="6"/>
      <c r="E1322" s="6"/>
      <c r="F1322" s="6"/>
      <c r="H1322" s="6"/>
      <c r="I1322" s="6"/>
      <c r="J1322" s="6"/>
      <c r="K1322" s="6"/>
      <c r="L1322" s="6"/>
    </row>
    <row r="1323" spans="1:12" x14ac:dyDescent="0.45">
      <c r="A1323" s="6"/>
      <c r="B1323" s="6"/>
      <c r="C1323" s="7"/>
      <c r="D1323" s="6"/>
      <c r="E1323" s="6"/>
      <c r="F1323" s="6"/>
      <c r="H1323" s="6"/>
      <c r="I1323" s="6"/>
      <c r="J1323" s="6"/>
      <c r="K1323" s="6"/>
      <c r="L1323" s="6"/>
    </row>
    <row r="1324" spans="1:12" x14ac:dyDescent="0.45">
      <c r="A1324" s="6"/>
      <c r="B1324" s="6"/>
      <c r="C1324" s="7"/>
      <c r="D1324" s="6"/>
      <c r="E1324" s="6"/>
      <c r="F1324" s="6"/>
      <c r="H1324" s="6"/>
      <c r="I1324" s="6"/>
      <c r="J1324" s="6"/>
      <c r="K1324" s="6"/>
      <c r="L1324" s="6"/>
    </row>
    <row r="1325" spans="1:12" x14ac:dyDescent="0.45">
      <c r="A1325" s="6"/>
      <c r="B1325" s="6"/>
      <c r="C1325" s="7"/>
      <c r="D1325" s="6"/>
      <c r="E1325" s="6"/>
      <c r="F1325" s="6"/>
      <c r="H1325" s="6"/>
      <c r="I1325" s="6"/>
      <c r="J1325" s="6"/>
      <c r="K1325" s="6"/>
      <c r="L1325" s="6"/>
    </row>
    <row r="1326" spans="1:12" x14ac:dyDescent="0.45">
      <c r="A1326" s="6"/>
      <c r="B1326" s="6"/>
      <c r="C1326" s="7"/>
      <c r="D1326" s="6"/>
      <c r="E1326" s="6"/>
      <c r="F1326" s="6"/>
      <c r="H1326" s="6"/>
      <c r="I1326" s="6"/>
      <c r="J1326" s="6"/>
      <c r="K1326" s="6"/>
      <c r="L1326" s="6"/>
    </row>
    <row r="1327" spans="1:12" x14ac:dyDescent="0.45">
      <c r="A1327" s="6"/>
      <c r="B1327" s="6"/>
      <c r="C1327" s="7"/>
      <c r="D1327" s="6"/>
      <c r="E1327" s="6"/>
      <c r="F1327" s="6"/>
      <c r="H1327" s="6"/>
      <c r="I1327" s="6"/>
      <c r="J1327" s="6"/>
      <c r="K1327" s="6"/>
      <c r="L1327" s="6"/>
    </row>
    <row r="1328" spans="1:12" x14ac:dyDescent="0.45">
      <c r="A1328" s="6"/>
      <c r="B1328" s="6"/>
      <c r="C1328" s="7"/>
      <c r="D1328" s="6"/>
      <c r="E1328" s="6"/>
      <c r="F1328" s="6"/>
      <c r="H1328" s="6"/>
      <c r="I1328" s="6"/>
      <c r="J1328" s="6"/>
      <c r="K1328" s="6"/>
      <c r="L1328" s="6"/>
    </row>
    <row r="1329" spans="1:12" x14ac:dyDescent="0.45">
      <c r="A1329" s="6"/>
      <c r="B1329" s="6"/>
      <c r="C1329" s="7"/>
      <c r="D1329" s="6"/>
      <c r="E1329" s="6"/>
      <c r="F1329" s="6"/>
      <c r="H1329" s="6"/>
      <c r="I1329" s="6"/>
      <c r="J1329" s="6"/>
      <c r="K1329" s="6"/>
      <c r="L1329" s="6"/>
    </row>
    <row r="1330" spans="1:12" x14ac:dyDescent="0.45">
      <c r="A1330" s="6"/>
      <c r="B1330" s="6"/>
      <c r="C1330" s="7"/>
      <c r="D1330" s="6"/>
      <c r="E1330" s="6"/>
      <c r="F1330" s="6"/>
      <c r="H1330" s="6"/>
      <c r="I1330" s="6"/>
      <c r="J1330" s="6"/>
      <c r="K1330" s="6"/>
      <c r="L1330" s="6"/>
    </row>
    <row r="1331" spans="1:12" x14ac:dyDescent="0.45">
      <c r="A1331" s="6"/>
      <c r="B1331" s="6"/>
      <c r="C1331" s="7"/>
      <c r="D1331" s="6"/>
      <c r="E1331" s="6"/>
      <c r="F1331" s="6"/>
      <c r="H1331" s="6"/>
      <c r="I1331" s="6"/>
      <c r="J1331" s="6"/>
      <c r="K1331" s="6"/>
      <c r="L1331" s="6"/>
    </row>
    <row r="1332" spans="1:12" x14ac:dyDescent="0.45">
      <c r="A1332" s="6"/>
      <c r="B1332" s="6"/>
      <c r="C1332" s="7"/>
      <c r="D1332" s="6"/>
      <c r="E1332" s="6"/>
      <c r="F1332" s="6"/>
      <c r="H1332" s="6"/>
      <c r="I1332" s="6"/>
      <c r="J1332" s="6"/>
      <c r="K1332" s="6"/>
      <c r="L1332" s="6"/>
    </row>
    <row r="1333" spans="1:12" x14ac:dyDescent="0.45">
      <c r="A1333" s="6"/>
      <c r="B1333" s="6"/>
      <c r="C1333" s="7"/>
      <c r="D1333" s="6"/>
      <c r="E1333" s="6"/>
      <c r="F1333" s="6"/>
      <c r="H1333" s="6"/>
      <c r="I1333" s="6"/>
      <c r="J1333" s="6"/>
      <c r="K1333" s="6"/>
      <c r="L1333" s="6"/>
    </row>
    <row r="1334" spans="1:12" x14ac:dyDescent="0.45">
      <c r="A1334" s="6"/>
      <c r="B1334" s="6"/>
      <c r="C1334" s="7"/>
      <c r="D1334" s="6"/>
      <c r="E1334" s="6"/>
      <c r="F1334" s="6"/>
      <c r="H1334" s="6"/>
      <c r="I1334" s="6"/>
      <c r="J1334" s="6"/>
      <c r="K1334" s="6"/>
      <c r="L1334" s="6"/>
    </row>
    <row r="1335" spans="1:12" x14ac:dyDescent="0.45">
      <c r="A1335" s="6"/>
      <c r="B1335" s="6"/>
      <c r="C1335" s="7"/>
      <c r="D1335" s="6"/>
      <c r="E1335" s="6"/>
      <c r="F1335" s="6"/>
      <c r="H1335" s="6"/>
      <c r="I1335" s="6"/>
      <c r="J1335" s="6"/>
      <c r="K1335" s="6"/>
      <c r="L1335" s="6"/>
    </row>
    <row r="1336" spans="1:12" x14ac:dyDescent="0.45">
      <c r="A1336" s="6"/>
      <c r="B1336" s="6"/>
      <c r="C1336" s="7"/>
      <c r="D1336" s="6"/>
      <c r="E1336" s="6"/>
      <c r="F1336" s="6"/>
      <c r="H1336" s="6"/>
      <c r="I1336" s="6"/>
      <c r="J1336" s="6"/>
      <c r="K1336" s="6"/>
      <c r="L1336" s="6"/>
    </row>
    <row r="1337" spans="1:12" x14ac:dyDescent="0.45">
      <c r="A1337" s="6"/>
      <c r="B1337" s="6"/>
      <c r="C1337" s="7"/>
      <c r="D1337" s="6"/>
      <c r="E1337" s="6"/>
      <c r="F1337" s="6"/>
      <c r="H1337" s="6"/>
      <c r="I1337" s="6"/>
      <c r="J1337" s="6"/>
      <c r="K1337" s="6"/>
      <c r="L1337" s="6"/>
    </row>
    <row r="1338" spans="1:12" x14ac:dyDescent="0.45">
      <c r="A1338" s="6"/>
      <c r="B1338" s="6"/>
      <c r="C1338" s="7"/>
      <c r="D1338" s="6"/>
      <c r="E1338" s="6"/>
      <c r="F1338" s="6"/>
      <c r="H1338" s="6"/>
      <c r="I1338" s="6"/>
      <c r="J1338" s="6"/>
      <c r="K1338" s="6"/>
      <c r="L1338" s="6"/>
    </row>
    <row r="1339" spans="1:12" x14ac:dyDescent="0.45">
      <c r="A1339" s="6"/>
      <c r="B1339" s="6"/>
      <c r="C1339" s="7"/>
      <c r="D1339" s="6"/>
      <c r="E1339" s="6"/>
      <c r="F1339" s="6"/>
      <c r="H1339" s="6"/>
      <c r="I1339" s="6"/>
      <c r="J1339" s="6"/>
      <c r="K1339" s="6"/>
      <c r="L1339" s="6"/>
    </row>
    <row r="1340" spans="1:12" x14ac:dyDescent="0.45">
      <c r="A1340" s="6"/>
      <c r="B1340" s="6"/>
      <c r="C1340" s="7"/>
      <c r="D1340" s="6"/>
      <c r="E1340" s="6"/>
      <c r="F1340" s="6"/>
      <c r="H1340" s="6"/>
      <c r="I1340" s="6"/>
      <c r="J1340" s="6"/>
      <c r="K1340" s="6"/>
      <c r="L1340" s="6"/>
    </row>
    <row r="1341" spans="1:12" x14ac:dyDescent="0.45">
      <c r="A1341" s="6"/>
      <c r="B1341" s="6"/>
      <c r="C1341" s="7"/>
      <c r="D1341" s="6"/>
      <c r="E1341" s="6"/>
      <c r="F1341" s="6"/>
      <c r="H1341" s="6"/>
      <c r="I1341" s="6"/>
      <c r="J1341" s="6"/>
      <c r="K1341" s="6"/>
      <c r="L1341" s="6"/>
    </row>
    <row r="1342" spans="1:12" x14ac:dyDescent="0.45">
      <c r="A1342" s="6"/>
      <c r="B1342" s="6"/>
      <c r="C1342" s="7"/>
      <c r="D1342" s="6"/>
      <c r="E1342" s="6"/>
      <c r="F1342" s="6"/>
      <c r="H1342" s="6"/>
      <c r="I1342" s="6"/>
      <c r="J1342" s="6"/>
      <c r="K1342" s="6"/>
      <c r="L1342" s="6"/>
    </row>
    <row r="1343" spans="1:12" x14ac:dyDescent="0.45">
      <c r="A1343" s="6"/>
      <c r="B1343" s="6"/>
      <c r="C1343" s="7"/>
      <c r="D1343" s="6"/>
      <c r="E1343" s="6"/>
      <c r="F1343" s="6"/>
      <c r="H1343" s="6"/>
      <c r="I1343" s="6"/>
      <c r="J1343" s="6"/>
      <c r="K1343" s="6"/>
      <c r="L1343" s="6"/>
    </row>
    <row r="1344" spans="1:12" x14ac:dyDescent="0.45">
      <c r="A1344" s="6"/>
      <c r="B1344" s="6"/>
      <c r="C1344" s="7"/>
      <c r="D1344" s="6"/>
      <c r="E1344" s="6"/>
      <c r="F1344" s="6"/>
      <c r="H1344" s="6"/>
      <c r="I1344" s="6"/>
      <c r="J1344" s="6"/>
      <c r="K1344" s="6"/>
      <c r="L1344" s="6"/>
    </row>
    <row r="1345" spans="1:12" x14ac:dyDescent="0.45">
      <c r="A1345" s="6"/>
      <c r="B1345" s="6"/>
      <c r="C1345" s="7"/>
      <c r="D1345" s="6"/>
      <c r="E1345" s="6"/>
      <c r="F1345" s="6"/>
      <c r="H1345" s="6"/>
      <c r="I1345" s="6"/>
      <c r="J1345" s="6"/>
      <c r="K1345" s="6"/>
      <c r="L1345" s="6"/>
    </row>
    <row r="1346" spans="1:12" x14ac:dyDescent="0.45">
      <c r="A1346" s="6"/>
      <c r="B1346" s="6"/>
      <c r="C1346" s="7"/>
      <c r="D1346" s="6"/>
      <c r="E1346" s="6"/>
      <c r="F1346" s="6"/>
      <c r="H1346" s="6"/>
      <c r="I1346" s="6"/>
      <c r="J1346" s="6"/>
      <c r="K1346" s="6"/>
      <c r="L1346" s="6"/>
    </row>
    <row r="1347" spans="1:12" x14ac:dyDescent="0.45">
      <c r="A1347" s="6"/>
      <c r="B1347" s="6"/>
      <c r="C1347" s="7"/>
      <c r="D1347" s="6"/>
      <c r="E1347" s="6"/>
      <c r="F1347" s="6"/>
      <c r="H1347" s="6"/>
      <c r="I1347" s="6"/>
      <c r="J1347" s="6"/>
      <c r="K1347" s="6"/>
      <c r="L1347" s="6"/>
    </row>
    <row r="1348" spans="1:12" x14ac:dyDescent="0.45">
      <c r="A1348" s="6"/>
      <c r="B1348" s="6"/>
      <c r="C1348" s="7"/>
      <c r="D1348" s="6"/>
      <c r="E1348" s="6"/>
      <c r="F1348" s="6"/>
      <c r="H1348" s="6"/>
      <c r="I1348" s="6"/>
      <c r="J1348" s="6"/>
      <c r="K1348" s="6"/>
      <c r="L1348" s="6"/>
    </row>
    <row r="1349" spans="1:12" x14ac:dyDescent="0.45">
      <c r="A1349" s="6"/>
      <c r="B1349" s="6"/>
      <c r="C1349" s="7"/>
      <c r="D1349" s="6"/>
      <c r="E1349" s="6"/>
      <c r="F1349" s="6"/>
      <c r="H1349" s="6"/>
      <c r="I1349" s="6"/>
      <c r="J1349" s="6"/>
      <c r="K1349" s="6"/>
      <c r="L1349" s="6"/>
    </row>
    <row r="1350" spans="1:12" x14ac:dyDescent="0.45">
      <c r="A1350" s="6"/>
      <c r="B1350" s="6"/>
      <c r="C1350" s="7"/>
      <c r="D1350" s="6"/>
      <c r="E1350" s="6"/>
      <c r="F1350" s="6"/>
      <c r="H1350" s="6"/>
      <c r="I1350" s="6"/>
      <c r="J1350" s="6"/>
      <c r="K1350" s="6"/>
      <c r="L1350" s="6"/>
    </row>
    <row r="1351" spans="1:12" x14ac:dyDescent="0.45">
      <c r="A1351" s="6"/>
      <c r="B1351" s="6"/>
      <c r="C1351" s="7"/>
      <c r="D1351" s="6"/>
      <c r="E1351" s="6"/>
      <c r="F1351" s="6"/>
      <c r="H1351" s="6"/>
      <c r="I1351" s="6"/>
      <c r="J1351" s="6"/>
      <c r="K1351" s="6"/>
      <c r="L1351" s="6"/>
    </row>
    <row r="1352" spans="1:12" x14ac:dyDescent="0.45">
      <c r="A1352" s="6"/>
      <c r="B1352" s="6"/>
      <c r="C1352" s="7"/>
      <c r="D1352" s="6"/>
      <c r="E1352" s="6"/>
      <c r="F1352" s="6"/>
      <c r="H1352" s="6"/>
      <c r="I1352" s="6"/>
      <c r="J1352" s="6"/>
      <c r="K1352" s="6"/>
      <c r="L1352" s="6"/>
    </row>
    <row r="1353" spans="1:12" x14ac:dyDescent="0.45">
      <c r="A1353" s="6"/>
      <c r="B1353" s="6"/>
      <c r="C1353" s="7"/>
      <c r="D1353" s="6"/>
      <c r="E1353" s="6"/>
      <c r="F1353" s="6"/>
      <c r="H1353" s="6"/>
      <c r="I1353" s="6"/>
      <c r="J1353" s="6"/>
      <c r="K1353" s="6"/>
      <c r="L1353" s="6"/>
    </row>
    <row r="1354" spans="1:12" x14ac:dyDescent="0.45">
      <c r="A1354" s="6"/>
      <c r="B1354" s="6"/>
      <c r="C1354" s="7"/>
      <c r="D1354" s="6"/>
      <c r="E1354" s="6"/>
      <c r="F1354" s="6"/>
      <c r="H1354" s="6"/>
      <c r="I1354" s="6"/>
      <c r="J1354" s="6"/>
      <c r="K1354" s="6"/>
      <c r="L1354" s="6"/>
    </row>
    <row r="1355" spans="1:12" x14ac:dyDescent="0.45">
      <c r="A1355" s="6"/>
      <c r="B1355" s="6"/>
      <c r="C1355" s="7"/>
      <c r="D1355" s="6"/>
      <c r="E1355" s="6"/>
      <c r="F1355" s="6"/>
      <c r="H1355" s="6"/>
      <c r="I1355" s="6"/>
      <c r="J1355" s="6"/>
      <c r="K1355" s="6"/>
      <c r="L1355" s="6"/>
    </row>
    <row r="1356" spans="1:12" x14ac:dyDescent="0.45">
      <c r="A1356" s="6"/>
      <c r="B1356" s="6"/>
      <c r="C1356" s="7"/>
      <c r="D1356" s="6"/>
      <c r="E1356" s="6"/>
      <c r="F1356" s="6"/>
      <c r="H1356" s="6"/>
      <c r="I1356" s="6"/>
      <c r="J1356" s="6"/>
      <c r="K1356" s="6"/>
      <c r="L1356" s="6"/>
    </row>
    <row r="1357" spans="1:12" x14ac:dyDescent="0.45">
      <c r="A1357" s="6"/>
      <c r="B1357" s="6"/>
      <c r="C1357" s="7"/>
      <c r="D1357" s="6"/>
      <c r="E1357" s="6"/>
      <c r="F1357" s="6"/>
      <c r="H1357" s="6"/>
      <c r="I1357" s="6"/>
      <c r="J1357" s="6"/>
      <c r="K1357" s="6"/>
      <c r="L1357" s="6"/>
    </row>
    <row r="1358" spans="1:12" x14ac:dyDescent="0.45">
      <c r="A1358" s="6"/>
      <c r="B1358" s="6"/>
      <c r="C1358" s="7"/>
      <c r="D1358" s="6"/>
      <c r="E1358" s="6"/>
      <c r="F1358" s="6"/>
      <c r="H1358" s="6"/>
      <c r="I1358" s="6"/>
      <c r="J1358" s="6"/>
      <c r="K1358" s="6"/>
      <c r="L1358" s="6"/>
    </row>
    <row r="1359" spans="1:12" x14ac:dyDescent="0.45">
      <c r="A1359" s="6"/>
      <c r="B1359" s="6"/>
      <c r="C1359" s="7"/>
      <c r="D1359" s="6"/>
      <c r="E1359" s="6"/>
      <c r="F1359" s="6"/>
      <c r="H1359" s="6"/>
      <c r="I1359" s="6"/>
      <c r="J1359" s="6"/>
      <c r="K1359" s="6"/>
      <c r="L1359" s="6"/>
    </row>
    <row r="1360" spans="1:12" x14ac:dyDescent="0.45">
      <c r="A1360" s="6"/>
      <c r="B1360" s="6"/>
      <c r="C1360" s="7"/>
      <c r="D1360" s="6"/>
      <c r="E1360" s="6"/>
      <c r="F1360" s="6"/>
      <c r="H1360" s="6"/>
      <c r="I1360" s="6"/>
      <c r="J1360" s="6"/>
      <c r="K1360" s="6"/>
      <c r="L1360" s="6"/>
    </row>
    <row r="1361" spans="1:12" x14ac:dyDescent="0.45">
      <c r="A1361" s="6"/>
      <c r="B1361" s="6"/>
      <c r="C1361" s="7"/>
      <c r="D1361" s="6"/>
      <c r="E1361" s="6"/>
      <c r="F1361" s="6"/>
      <c r="H1361" s="6"/>
      <c r="I1361" s="6"/>
      <c r="J1361" s="6"/>
      <c r="K1361" s="6"/>
      <c r="L1361" s="6"/>
    </row>
    <row r="1362" spans="1:12" x14ac:dyDescent="0.45">
      <c r="A1362" s="6"/>
      <c r="B1362" s="6"/>
      <c r="C1362" s="7"/>
      <c r="D1362" s="6"/>
      <c r="E1362" s="6"/>
      <c r="F1362" s="6"/>
      <c r="H1362" s="6"/>
      <c r="I1362" s="6"/>
      <c r="J1362" s="6"/>
      <c r="K1362" s="6"/>
      <c r="L1362" s="6"/>
    </row>
    <row r="1363" spans="1:12" x14ac:dyDescent="0.45">
      <c r="A1363" s="6"/>
      <c r="B1363" s="6"/>
      <c r="C1363" s="7"/>
      <c r="D1363" s="6"/>
      <c r="E1363" s="6"/>
      <c r="F1363" s="6"/>
      <c r="H1363" s="6"/>
      <c r="I1363" s="6"/>
      <c r="J1363" s="6"/>
      <c r="K1363" s="6"/>
      <c r="L1363" s="6"/>
    </row>
    <row r="1364" spans="1:12" x14ac:dyDescent="0.45">
      <c r="A1364" s="6"/>
      <c r="B1364" s="6"/>
      <c r="C1364" s="7"/>
      <c r="D1364" s="6"/>
      <c r="E1364" s="6"/>
      <c r="F1364" s="6"/>
      <c r="H1364" s="6"/>
      <c r="I1364" s="6"/>
      <c r="J1364" s="6"/>
      <c r="K1364" s="6"/>
      <c r="L1364" s="6"/>
    </row>
    <row r="1365" spans="1:12" x14ac:dyDescent="0.45">
      <c r="A1365" s="6"/>
      <c r="B1365" s="6"/>
      <c r="C1365" s="7"/>
      <c r="D1365" s="6"/>
      <c r="E1365" s="6"/>
      <c r="F1365" s="6"/>
      <c r="H1365" s="6"/>
      <c r="I1365" s="6"/>
      <c r="J1365" s="6"/>
      <c r="K1365" s="6"/>
      <c r="L1365" s="6"/>
    </row>
    <row r="1366" spans="1:12" x14ac:dyDescent="0.45">
      <c r="A1366" s="6"/>
      <c r="B1366" s="6"/>
      <c r="C1366" s="7"/>
      <c r="D1366" s="6"/>
      <c r="E1366" s="6"/>
      <c r="F1366" s="6"/>
      <c r="H1366" s="6"/>
      <c r="I1366" s="6"/>
      <c r="J1366" s="6"/>
      <c r="K1366" s="6"/>
      <c r="L1366" s="6"/>
    </row>
    <row r="1367" spans="1:12" x14ac:dyDescent="0.45">
      <c r="A1367" s="6"/>
      <c r="B1367" s="6"/>
      <c r="C1367" s="7"/>
      <c r="D1367" s="6"/>
      <c r="E1367" s="6"/>
      <c r="F1367" s="6"/>
      <c r="H1367" s="6"/>
      <c r="I1367" s="6"/>
      <c r="J1367" s="6"/>
      <c r="K1367" s="6"/>
      <c r="L1367" s="6"/>
    </row>
    <row r="1368" spans="1:12" x14ac:dyDescent="0.45">
      <c r="A1368" s="6"/>
      <c r="B1368" s="6"/>
      <c r="C1368" s="7"/>
      <c r="D1368" s="6"/>
      <c r="E1368" s="6"/>
      <c r="F1368" s="6"/>
      <c r="H1368" s="6"/>
      <c r="I1368" s="6"/>
      <c r="J1368" s="6"/>
      <c r="K1368" s="6"/>
      <c r="L1368" s="6"/>
    </row>
    <row r="1369" spans="1:12" x14ac:dyDescent="0.45">
      <c r="A1369" s="6"/>
      <c r="B1369" s="6"/>
      <c r="C1369" s="7"/>
      <c r="D1369" s="6"/>
      <c r="E1369" s="6"/>
      <c r="F1369" s="6"/>
      <c r="H1369" s="6"/>
      <c r="I1369" s="6"/>
      <c r="J1369" s="6"/>
      <c r="K1369" s="6"/>
      <c r="L1369" s="6"/>
    </row>
    <row r="1370" spans="1:12" x14ac:dyDescent="0.45">
      <c r="A1370" s="6"/>
      <c r="B1370" s="6"/>
      <c r="C1370" s="7"/>
      <c r="D1370" s="6"/>
      <c r="E1370" s="6"/>
      <c r="F1370" s="6"/>
      <c r="H1370" s="6"/>
      <c r="I1370" s="6"/>
      <c r="J1370" s="6"/>
      <c r="K1370" s="6"/>
      <c r="L1370" s="6"/>
    </row>
    <row r="1371" spans="1:12" x14ac:dyDescent="0.45">
      <c r="A1371" s="6"/>
      <c r="B1371" s="6"/>
      <c r="C1371" s="7"/>
      <c r="D1371" s="6"/>
      <c r="E1371" s="6"/>
      <c r="F1371" s="6"/>
      <c r="H1371" s="6"/>
      <c r="I1371" s="6"/>
      <c r="J1371" s="6"/>
      <c r="K1371" s="6"/>
      <c r="L1371" s="6"/>
    </row>
    <row r="1372" spans="1:12" x14ac:dyDescent="0.45">
      <c r="A1372" s="6"/>
      <c r="B1372" s="6"/>
      <c r="C1372" s="7"/>
      <c r="D1372" s="6"/>
      <c r="E1372" s="6"/>
      <c r="F1372" s="6"/>
      <c r="H1372" s="6"/>
      <c r="I1372" s="6"/>
      <c r="J1372" s="6"/>
      <c r="K1372" s="6"/>
      <c r="L1372" s="6"/>
    </row>
    <row r="1373" spans="1:12" x14ac:dyDescent="0.45">
      <c r="A1373" s="6"/>
      <c r="B1373" s="6"/>
      <c r="C1373" s="7"/>
      <c r="D1373" s="6"/>
      <c r="E1373" s="6"/>
      <c r="F1373" s="6"/>
      <c r="H1373" s="6"/>
      <c r="I1373" s="6"/>
      <c r="J1373" s="6"/>
      <c r="K1373" s="6"/>
      <c r="L1373" s="6"/>
    </row>
    <row r="1374" spans="1:12" x14ac:dyDescent="0.45">
      <c r="A1374" s="6"/>
      <c r="B1374" s="6"/>
      <c r="C1374" s="7"/>
      <c r="D1374" s="6"/>
      <c r="E1374" s="6"/>
      <c r="F1374" s="6"/>
      <c r="H1374" s="6"/>
      <c r="I1374" s="6"/>
      <c r="J1374" s="6"/>
      <c r="K1374" s="6"/>
      <c r="L1374" s="6"/>
    </row>
    <row r="1375" spans="1:12" x14ac:dyDescent="0.45">
      <c r="A1375" s="6"/>
      <c r="B1375" s="6"/>
      <c r="C1375" s="7"/>
      <c r="D1375" s="6"/>
      <c r="E1375" s="6"/>
      <c r="F1375" s="6"/>
      <c r="H1375" s="6"/>
      <c r="I1375" s="6"/>
      <c r="J1375" s="6"/>
      <c r="K1375" s="6"/>
      <c r="L1375" s="6"/>
    </row>
    <row r="1376" spans="1:12" x14ac:dyDescent="0.45">
      <c r="A1376" s="6"/>
      <c r="B1376" s="6"/>
      <c r="C1376" s="7"/>
      <c r="D1376" s="6"/>
      <c r="E1376" s="6"/>
      <c r="F1376" s="6"/>
      <c r="H1376" s="6"/>
      <c r="I1376" s="6"/>
      <c r="J1376" s="6"/>
      <c r="K1376" s="6"/>
      <c r="L1376" s="6"/>
    </row>
    <row r="1377" spans="1:12" x14ac:dyDescent="0.45">
      <c r="A1377" s="6"/>
      <c r="B1377" s="6"/>
      <c r="C1377" s="7"/>
      <c r="D1377" s="6"/>
      <c r="E1377" s="6"/>
      <c r="F1377" s="6"/>
      <c r="H1377" s="6"/>
      <c r="I1377" s="6"/>
      <c r="J1377" s="6"/>
      <c r="K1377" s="6"/>
      <c r="L1377" s="6"/>
    </row>
    <row r="1378" spans="1:12" x14ac:dyDescent="0.45">
      <c r="A1378" s="6"/>
      <c r="B1378" s="6"/>
      <c r="C1378" s="7"/>
      <c r="D1378" s="6"/>
      <c r="E1378" s="6"/>
      <c r="F1378" s="6"/>
      <c r="H1378" s="6"/>
      <c r="I1378" s="6"/>
      <c r="J1378" s="6"/>
      <c r="K1378" s="6"/>
      <c r="L1378" s="6"/>
    </row>
    <row r="1379" spans="1:12" x14ac:dyDescent="0.45">
      <c r="A1379" s="6"/>
      <c r="B1379" s="6"/>
      <c r="C1379" s="7"/>
      <c r="D1379" s="6"/>
      <c r="E1379" s="6"/>
      <c r="F1379" s="6"/>
      <c r="H1379" s="6"/>
      <c r="I1379" s="6"/>
      <c r="J1379" s="6"/>
      <c r="K1379" s="6"/>
      <c r="L1379" s="6"/>
    </row>
    <row r="1380" spans="1:12" x14ac:dyDescent="0.45">
      <c r="A1380" s="6"/>
      <c r="B1380" s="6"/>
      <c r="C1380" s="7"/>
      <c r="D1380" s="6"/>
      <c r="E1380" s="6"/>
      <c r="F1380" s="6"/>
      <c r="H1380" s="6"/>
      <c r="I1380" s="6"/>
      <c r="J1380" s="6"/>
      <c r="K1380" s="6"/>
      <c r="L1380" s="6"/>
    </row>
    <row r="1381" spans="1:12" x14ac:dyDescent="0.45">
      <c r="A1381" s="6"/>
      <c r="B1381" s="6"/>
      <c r="C1381" s="7"/>
      <c r="D1381" s="6"/>
      <c r="E1381" s="6"/>
      <c r="F1381" s="6"/>
      <c r="H1381" s="6"/>
      <c r="I1381" s="6"/>
      <c r="J1381" s="6"/>
      <c r="K1381" s="6"/>
      <c r="L1381" s="6"/>
    </row>
    <row r="1382" spans="1:12" x14ac:dyDescent="0.45">
      <c r="A1382" s="6"/>
      <c r="B1382" s="6"/>
      <c r="C1382" s="7"/>
      <c r="D1382" s="6"/>
      <c r="E1382" s="6"/>
      <c r="F1382" s="6"/>
      <c r="H1382" s="6"/>
      <c r="I1382" s="6"/>
      <c r="J1382" s="6"/>
      <c r="K1382" s="6"/>
      <c r="L1382" s="6"/>
    </row>
    <row r="1383" spans="1:12" x14ac:dyDescent="0.45">
      <c r="A1383" s="6"/>
      <c r="B1383" s="6"/>
      <c r="C1383" s="7"/>
      <c r="D1383" s="6"/>
      <c r="E1383" s="6"/>
      <c r="F1383" s="6"/>
      <c r="H1383" s="6"/>
      <c r="I1383" s="6"/>
      <c r="J1383" s="6"/>
      <c r="K1383" s="6"/>
      <c r="L1383" s="6"/>
    </row>
    <row r="1384" spans="1:12" x14ac:dyDescent="0.45">
      <c r="A1384" s="6"/>
      <c r="B1384" s="6"/>
      <c r="C1384" s="7"/>
      <c r="D1384" s="6"/>
      <c r="E1384" s="6"/>
      <c r="F1384" s="6"/>
      <c r="H1384" s="6"/>
      <c r="I1384" s="6"/>
      <c r="J1384" s="6"/>
      <c r="K1384" s="6"/>
      <c r="L1384" s="6"/>
    </row>
    <row r="1385" spans="1:12" x14ac:dyDescent="0.45">
      <c r="A1385" s="6"/>
      <c r="B1385" s="6"/>
      <c r="C1385" s="7"/>
      <c r="D1385" s="6"/>
      <c r="E1385" s="6"/>
      <c r="F1385" s="6"/>
      <c r="H1385" s="6"/>
      <c r="I1385" s="6"/>
      <c r="J1385" s="6"/>
      <c r="K1385" s="6"/>
      <c r="L1385" s="6"/>
    </row>
    <row r="1386" spans="1:12" x14ac:dyDescent="0.45">
      <c r="A1386" s="6"/>
      <c r="B1386" s="6"/>
      <c r="C1386" s="7"/>
      <c r="D1386" s="6"/>
      <c r="E1386" s="6"/>
      <c r="F1386" s="6"/>
      <c r="H1386" s="6"/>
      <c r="I1386" s="6"/>
      <c r="J1386" s="6"/>
      <c r="K1386" s="6"/>
      <c r="L1386" s="6"/>
    </row>
    <row r="1387" spans="1:12" x14ac:dyDescent="0.45">
      <c r="A1387" s="6"/>
      <c r="B1387" s="6"/>
      <c r="C1387" s="7"/>
      <c r="D1387" s="6"/>
      <c r="E1387" s="6"/>
      <c r="F1387" s="6"/>
      <c r="H1387" s="6"/>
      <c r="I1387" s="6"/>
      <c r="J1387" s="6"/>
      <c r="K1387" s="6"/>
      <c r="L1387" s="6"/>
    </row>
    <row r="1388" spans="1:12" x14ac:dyDescent="0.45">
      <c r="A1388" s="6"/>
      <c r="B1388" s="6"/>
      <c r="C1388" s="7"/>
      <c r="D1388" s="6"/>
      <c r="E1388" s="6"/>
      <c r="F1388" s="6"/>
      <c r="H1388" s="6"/>
      <c r="I1388" s="6"/>
      <c r="J1388" s="6"/>
      <c r="K1388" s="6"/>
      <c r="L1388" s="6"/>
    </row>
    <row r="1389" spans="1:12" x14ac:dyDescent="0.45">
      <c r="A1389" s="6"/>
      <c r="B1389" s="6"/>
      <c r="C1389" s="7"/>
      <c r="D1389" s="6"/>
      <c r="E1389" s="6"/>
      <c r="F1389" s="6"/>
      <c r="H1389" s="6"/>
      <c r="I1389" s="6"/>
      <c r="J1389" s="6"/>
      <c r="K1389" s="6"/>
      <c r="L1389" s="6"/>
    </row>
    <row r="1390" spans="1:12" x14ac:dyDescent="0.45">
      <c r="A1390" s="6"/>
      <c r="B1390" s="6"/>
      <c r="C1390" s="7"/>
      <c r="D1390" s="6"/>
      <c r="E1390" s="6"/>
      <c r="F1390" s="6"/>
      <c r="H1390" s="6"/>
      <c r="I1390" s="6"/>
      <c r="J1390" s="6"/>
      <c r="K1390" s="6"/>
      <c r="L1390" s="6"/>
    </row>
    <row r="1391" spans="1:12" x14ac:dyDescent="0.45">
      <c r="A1391" s="6"/>
      <c r="B1391" s="6"/>
      <c r="C1391" s="7"/>
      <c r="D1391" s="6"/>
      <c r="E1391" s="6"/>
      <c r="F1391" s="6"/>
      <c r="H1391" s="6"/>
      <c r="I1391" s="6"/>
      <c r="J1391" s="6"/>
      <c r="K1391" s="6"/>
      <c r="L1391" s="6"/>
    </row>
    <row r="1392" spans="1:12" x14ac:dyDescent="0.45">
      <c r="A1392" s="6"/>
      <c r="B1392" s="6"/>
      <c r="C1392" s="7"/>
      <c r="D1392" s="6"/>
      <c r="E1392" s="6"/>
      <c r="F1392" s="6"/>
      <c r="H1392" s="6"/>
      <c r="I1392" s="6"/>
      <c r="J1392" s="6"/>
      <c r="K1392" s="6"/>
      <c r="L1392" s="6"/>
    </row>
    <row r="1393" spans="1:12" x14ac:dyDescent="0.45">
      <c r="A1393" s="6"/>
      <c r="B1393" s="6"/>
      <c r="C1393" s="7"/>
      <c r="D1393" s="6"/>
      <c r="E1393" s="6"/>
      <c r="F1393" s="6"/>
      <c r="H1393" s="6"/>
      <c r="I1393" s="6"/>
      <c r="J1393" s="6"/>
      <c r="K1393" s="6"/>
      <c r="L1393" s="6"/>
    </row>
    <row r="1394" spans="1:12" x14ac:dyDescent="0.45">
      <c r="A1394" s="6"/>
      <c r="B1394" s="6"/>
      <c r="C1394" s="7"/>
      <c r="D1394" s="6"/>
      <c r="E1394" s="6"/>
      <c r="F1394" s="6"/>
      <c r="H1394" s="6"/>
      <c r="I1394" s="6"/>
      <c r="J1394" s="6"/>
      <c r="K1394" s="6"/>
      <c r="L1394" s="6"/>
    </row>
    <row r="1395" spans="1:12" x14ac:dyDescent="0.45">
      <c r="A1395" s="6"/>
      <c r="B1395" s="6"/>
      <c r="C1395" s="7"/>
      <c r="D1395" s="6"/>
      <c r="E1395" s="6"/>
      <c r="F1395" s="6"/>
      <c r="H1395" s="6"/>
      <c r="I1395" s="6"/>
      <c r="J1395" s="6"/>
      <c r="K1395" s="6"/>
      <c r="L1395" s="6"/>
    </row>
    <row r="1396" spans="1:12" x14ac:dyDescent="0.45">
      <c r="A1396" s="6"/>
      <c r="B1396" s="6"/>
      <c r="C1396" s="7"/>
      <c r="D1396" s="6"/>
      <c r="E1396" s="6"/>
      <c r="F1396" s="6"/>
      <c r="H1396" s="6"/>
      <c r="I1396" s="6"/>
      <c r="J1396" s="6"/>
      <c r="K1396" s="6"/>
      <c r="L1396" s="6"/>
    </row>
    <row r="1397" spans="1:12" x14ac:dyDescent="0.45">
      <c r="A1397" s="6"/>
      <c r="B1397" s="6"/>
      <c r="C1397" s="7"/>
      <c r="D1397" s="6"/>
      <c r="E1397" s="6"/>
      <c r="F1397" s="6"/>
      <c r="H1397" s="6"/>
      <c r="I1397" s="6"/>
      <c r="J1397" s="6"/>
      <c r="K1397" s="6"/>
      <c r="L1397" s="6"/>
    </row>
    <row r="1398" spans="1:12" x14ac:dyDescent="0.45">
      <c r="A1398" s="6"/>
      <c r="B1398" s="6"/>
      <c r="C1398" s="7"/>
      <c r="D1398" s="6"/>
      <c r="E1398" s="6"/>
      <c r="F1398" s="6"/>
      <c r="H1398" s="6"/>
      <c r="I1398" s="6"/>
      <c r="J1398" s="6"/>
      <c r="K1398" s="6"/>
      <c r="L1398" s="6"/>
    </row>
    <row r="1399" spans="1:12" x14ac:dyDescent="0.45">
      <c r="A1399" s="6"/>
      <c r="B1399" s="6"/>
      <c r="C1399" s="7"/>
      <c r="D1399" s="6"/>
      <c r="E1399" s="6"/>
      <c r="F1399" s="6"/>
      <c r="H1399" s="6"/>
      <c r="I1399" s="6"/>
      <c r="J1399" s="6"/>
      <c r="K1399" s="6"/>
      <c r="L1399" s="6"/>
    </row>
    <row r="1400" spans="1:12" x14ac:dyDescent="0.45">
      <c r="A1400" s="6"/>
      <c r="B1400" s="6"/>
      <c r="C1400" s="7"/>
      <c r="D1400" s="6"/>
      <c r="E1400" s="6"/>
      <c r="F1400" s="6"/>
      <c r="H1400" s="6"/>
      <c r="I1400" s="6"/>
      <c r="J1400" s="6"/>
      <c r="K1400" s="6"/>
      <c r="L1400" s="6"/>
    </row>
    <row r="1401" spans="1:12" x14ac:dyDescent="0.45">
      <c r="A1401" s="6"/>
      <c r="B1401" s="6"/>
      <c r="C1401" s="7"/>
      <c r="D1401" s="6"/>
      <c r="E1401" s="6"/>
      <c r="F1401" s="6"/>
      <c r="H1401" s="6"/>
      <c r="I1401" s="6"/>
      <c r="J1401" s="6"/>
      <c r="K1401" s="6"/>
      <c r="L1401" s="6"/>
    </row>
    <row r="1402" spans="1:12" x14ac:dyDescent="0.45">
      <c r="A1402" s="6"/>
      <c r="B1402" s="6"/>
      <c r="C1402" s="7"/>
      <c r="D1402" s="6"/>
      <c r="E1402" s="6"/>
      <c r="F1402" s="6"/>
      <c r="H1402" s="6"/>
      <c r="I1402" s="6"/>
      <c r="J1402" s="6"/>
      <c r="K1402" s="6"/>
      <c r="L1402" s="6"/>
    </row>
    <row r="1403" spans="1:12" x14ac:dyDescent="0.45">
      <c r="A1403" s="6"/>
      <c r="B1403" s="6"/>
      <c r="C1403" s="7"/>
      <c r="D1403" s="6"/>
      <c r="E1403" s="6"/>
      <c r="F1403" s="6"/>
      <c r="H1403" s="6"/>
      <c r="I1403" s="6"/>
      <c r="J1403" s="6"/>
      <c r="K1403" s="6"/>
      <c r="L1403" s="6"/>
    </row>
    <row r="1404" spans="1:12" x14ac:dyDescent="0.45">
      <c r="A1404" s="6"/>
      <c r="B1404" s="6"/>
      <c r="C1404" s="7"/>
      <c r="D1404" s="6"/>
      <c r="E1404" s="6"/>
      <c r="F1404" s="6"/>
      <c r="H1404" s="6"/>
      <c r="I1404" s="6"/>
      <c r="J1404" s="6"/>
      <c r="K1404" s="6"/>
      <c r="L1404" s="6"/>
    </row>
    <row r="1405" spans="1:12" x14ac:dyDescent="0.45">
      <c r="A1405" s="6"/>
      <c r="B1405" s="6"/>
      <c r="C1405" s="7"/>
      <c r="D1405" s="6"/>
      <c r="E1405" s="6"/>
      <c r="F1405" s="6"/>
      <c r="H1405" s="6"/>
      <c r="I1405" s="6"/>
      <c r="J1405" s="6"/>
      <c r="K1405" s="6"/>
      <c r="L1405" s="6"/>
    </row>
    <row r="1406" spans="1:12" x14ac:dyDescent="0.45">
      <c r="A1406" s="6"/>
      <c r="B1406" s="6"/>
      <c r="C1406" s="7"/>
      <c r="D1406" s="6"/>
      <c r="E1406" s="6"/>
      <c r="F1406" s="6"/>
      <c r="H1406" s="6"/>
      <c r="I1406" s="6"/>
      <c r="J1406" s="6"/>
      <c r="K1406" s="6"/>
      <c r="L1406" s="6"/>
    </row>
    <row r="1407" spans="1:12" x14ac:dyDescent="0.45">
      <c r="A1407" s="6"/>
      <c r="B1407" s="6"/>
      <c r="C1407" s="7"/>
      <c r="D1407" s="6"/>
      <c r="E1407" s="6"/>
      <c r="F1407" s="6"/>
      <c r="H1407" s="6"/>
      <c r="I1407" s="6"/>
      <c r="J1407" s="6"/>
      <c r="K1407" s="6"/>
      <c r="L1407" s="6"/>
    </row>
    <row r="1408" spans="1:12" x14ac:dyDescent="0.45">
      <c r="A1408" s="6"/>
      <c r="B1408" s="6"/>
      <c r="C1408" s="7"/>
      <c r="D1408" s="6"/>
      <c r="E1408" s="6"/>
      <c r="F1408" s="6"/>
      <c r="H1408" s="6"/>
      <c r="I1408" s="6"/>
      <c r="J1408" s="6"/>
      <c r="K1408" s="6"/>
      <c r="L1408" s="6"/>
    </row>
    <row r="1409" spans="1:12" x14ac:dyDescent="0.45">
      <c r="A1409" s="6"/>
      <c r="B1409" s="6"/>
      <c r="C1409" s="7"/>
      <c r="D1409" s="6"/>
      <c r="E1409" s="6"/>
      <c r="F1409" s="6"/>
      <c r="H1409" s="6"/>
      <c r="I1409" s="6"/>
      <c r="J1409" s="6"/>
      <c r="K1409" s="6"/>
      <c r="L1409" s="6"/>
    </row>
    <row r="1410" spans="1:12" x14ac:dyDescent="0.45">
      <c r="A1410" s="6"/>
      <c r="B1410" s="6"/>
      <c r="C1410" s="7"/>
      <c r="D1410" s="6"/>
      <c r="E1410" s="6"/>
      <c r="F1410" s="6"/>
      <c r="H1410" s="6"/>
      <c r="I1410" s="6"/>
      <c r="J1410" s="6"/>
      <c r="K1410" s="6"/>
      <c r="L1410" s="6"/>
    </row>
    <row r="1411" spans="1:12" x14ac:dyDescent="0.45">
      <c r="A1411" s="6"/>
      <c r="B1411" s="6"/>
      <c r="C1411" s="7"/>
      <c r="D1411" s="6"/>
      <c r="E1411" s="6"/>
      <c r="F1411" s="6"/>
      <c r="H1411" s="6"/>
      <c r="I1411" s="6"/>
      <c r="J1411" s="6"/>
      <c r="K1411" s="6"/>
      <c r="L1411" s="6"/>
    </row>
    <row r="1412" spans="1:12" x14ac:dyDescent="0.45">
      <c r="A1412" s="6"/>
      <c r="B1412" s="6"/>
      <c r="C1412" s="7"/>
      <c r="D1412" s="6"/>
      <c r="E1412" s="6"/>
      <c r="F1412" s="6"/>
      <c r="H1412" s="6"/>
      <c r="I1412" s="6"/>
      <c r="J1412" s="6"/>
      <c r="K1412" s="6"/>
      <c r="L1412" s="6"/>
    </row>
    <row r="1413" spans="1:12" x14ac:dyDescent="0.45">
      <c r="A1413" s="6"/>
      <c r="B1413" s="6"/>
      <c r="C1413" s="7"/>
      <c r="D1413" s="6"/>
      <c r="E1413" s="6"/>
      <c r="F1413" s="6"/>
      <c r="H1413" s="6"/>
      <c r="I1413" s="6"/>
      <c r="J1413" s="6"/>
      <c r="K1413" s="6"/>
      <c r="L1413" s="6"/>
    </row>
    <row r="1414" spans="1:12" x14ac:dyDescent="0.45">
      <c r="A1414" s="6"/>
      <c r="B1414" s="6"/>
      <c r="C1414" s="7"/>
      <c r="D1414" s="6"/>
      <c r="E1414" s="6"/>
      <c r="F1414" s="6"/>
      <c r="H1414" s="6"/>
      <c r="I1414" s="6"/>
      <c r="J1414" s="6"/>
      <c r="K1414" s="6"/>
      <c r="L1414" s="6"/>
    </row>
    <row r="1415" spans="1:12" x14ac:dyDescent="0.45">
      <c r="A1415" s="6"/>
      <c r="B1415" s="6"/>
      <c r="C1415" s="7"/>
      <c r="D1415" s="6"/>
      <c r="E1415" s="6"/>
      <c r="F1415" s="6"/>
      <c r="H1415" s="6"/>
      <c r="I1415" s="6"/>
      <c r="J1415" s="6"/>
      <c r="K1415" s="6"/>
      <c r="L1415" s="6"/>
    </row>
    <row r="1416" spans="1:12" x14ac:dyDescent="0.45">
      <c r="A1416" s="6"/>
      <c r="B1416" s="6"/>
      <c r="C1416" s="7"/>
      <c r="D1416" s="6"/>
      <c r="E1416" s="6"/>
      <c r="F1416" s="6"/>
      <c r="H1416" s="6"/>
      <c r="I1416" s="6"/>
      <c r="J1416" s="6"/>
      <c r="K1416" s="6"/>
      <c r="L1416" s="6"/>
    </row>
    <row r="1417" spans="1:12" x14ac:dyDescent="0.45">
      <c r="A1417" s="6"/>
      <c r="B1417" s="6"/>
      <c r="C1417" s="7"/>
      <c r="D1417" s="6"/>
      <c r="E1417" s="6"/>
      <c r="F1417" s="6"/>
      <c r="H1417" s="6"/>
      <c r="I1417" s="6"/>
      <c r="J1417" s="6"/>
      <c r="K1417" s="6"/>
      <c r="L1417" s="6"/>
    </row>
    <row r="1418" spans="1:12" x14ac:dyDescent="0.45">
      <c r="A1418" s="6"/>
      <c r="B1418" s="6"/>
      <c r="C1418" s="7"/>
      <c r="D1418" s="6"/>
      <c r="E1418" s="6"/>
      <c r="F1418" s="6"/>
      <c r="H1418" s="6"/>
      <c r="I1418" s="6"/>
      <c r="J1418" s="6"/>
      <c r="K1418" s="6"/>
      <c r="L1418" s="6"/>
    </row>
    <row r="1419" spans="1:12" x14ac:dyDescent="0.45">
      <c r="A1419" s="6"/>
      <c r="B1419" s="6"/>
      <c r="C1419" s="7"/>
      <c r="D1419" s="6"/>
      <c r="E1419" s="6"/>
      <c r="F1419" s="6"/>
      <c r="H1419" s="6"/>
      <c r="I1419" s="6"/>
      <c r="J1419" s="6"/>
      <c r="K1419" s="6"/>
      <c r="L1419" s="6"/>
    </row>
    <row r="1420" spans="1:12" x14ac:dyDescent="0.45">
      <c r="A1420" s="6"/>
      <c r="B1420" s="6"/>
      <c r="C1420" s="7"/>
      <c r="D1420" s="6"/>
      <c r="E1420" s="6"/>
      <c r="F1420" s="6"/>
      <c r="H1420" s="6"/>
      <c r="I1420" s="6"/>
      <c r="J1420" s="6"/>
      <c r="K1420" s="6"/>
      <c r="L1420" s="6"/>
    </row>
    <row r="1421" spans="1:12" x14ac:dyDescent="0.45">
      <c r="A1421" s="6"/>
      <c r="B1421" s="6"/>
      <c r="C1421" s="7"/>
      <c r="D1421" s="6"/>
      <c r="E1421" s="6"/>
      <c r="F1421" s="6"/>
      <c r="H1421" s="6"/>
      <c r="I1421" s="6"/>
      <c r="J1421" s="6"/>
      <c r="K1421" s="6"/>
      <c r="L1421" s="6"/>
    </row>
    <row r="1422" spans="1:12" x14ac:dyDescent="0.45">
      <c r="A1422" s="6"/>
      <c r="B1422" s="6"/>
      <c r="C1422" s="7"/>
      <c r="D1422" s="6"/>
      <c r="E1422" s="6"/>
      <c r="F1422" s="6"/>
      <c r="H1422" s="6"/>
      <c r="I1422" s="6"/>
      <c r="J1422" s="6"/>
      <c r="K1422" s="6"/>
      <c r="L1422" s="6"/>
    </row>
    <row r="1423" spans="1:12" x14ac:dyDescent="0.45">
      <c r="A1423" s="6"/>
      <c r="B1423" s="6"/>
      <c r="C1423" s="7"/>
      <c r="D1423" s="6"/>
      <c r="E1423" s="6"/>
      <c r="F1423" s="6"/>
      <c r="H1423" s="6"/>
      <c r="I1423" s="6"/>
      <c r="J1423" s="6"/>
      <c r="K1423" s="6"/>
      <c r="L1423" s="6"/>
    </row>
    <row r="1424" spans="1:12" x14ac:dyDescent="0.45">
      <c r="A1424" s="6"/>
      <c r="B1424" s="6"/>
      <c r="C1424" s="7"/>
      <c r="D1424" s="6"/>
      <c r="E1424" s="6"/>
      <c r="F1424" s="6"/>
      <c r="H1424" s="6"/>
      <c r="I1424" s="6"/>
      <c r="J1424" s="6"/>
      <c r="K1424" s="6"/>
      <c r="L1424" s="6"/>
    </row>
    <row r="1425" spans="1:12" x14ac:dyDescent="0.45">
      <c r="A1425" s="6"/>
      <c r="B1425" s="6"/>
      <c r="C1425" s="7"/>
      <c r="D1425" s="6"/>
      <c r="E1425" s="6"/>
      <c r="F1425" s="6"/>
      <c r="H1425" s="6"/>
      <c r="I1425" s="6"/>
      <c r="J1425" s="6"/>
      <c r="K1425" s="6"/>
      <c r="L1425" s="6"/>
    </row>
    <row r="1426" spans="1:12" x14ac:dyDescent="0.45">
      <c r="A1426" s="6"/>
      <c r="B1426" s="6"/>
      <c r="C1426" s="7"/>
      <c r="D1426" s="6"/>
      <c r="E1426" s="6"/>
      <c r="F1426" s="6"/>
      <c r="H1426" s="6"/>
      <c r="I1426" s="6"/>
      <c r="J1426" s="6"/>
      <c r="K1426" s="6"/>
      <c r="L1426" s="6"/>
    </row>
    <row r="1427" spans="1:12" x14ac:dyDescent="0.45">
      <c r="A1427" s="6"/>
      <c r="B1427" s="6"/>
      <c r="C1427" s="7"/>
      <c r="D1427" s="6"/>
      <c r="E1427" s="6"/>
      <c r="F1427" s="6"/>
      <c r="H1427" s="6"/>
      <c r="I1427" s="6"/>
      <c r="J1427" s="6"/>
      <c r="K1427" s="6"/>
      <c r="L1427" s="6"/>
    </row>
    <row r="1428" spans="1:12" x14ac:dyDescent="0.45">
      <c r="A1428" s="6"/>
      <c r="B1428" s="6"/>
      <c r="C1428" s="7"/>
      <c r="D1428" s="6"/>
      <c r="E1428" s="6"/>
      <c r="F1428" s="6"/>
      <c r="H1428" s="6"/>
      <c r="I1428" s="6"/>
      <c r="J1428" s="6"/>
      <c r="K1428" s="6"/>
      <c r="L1428" s="6"/>
    </row>
    <row r="1429" spans="1:12" x14ac:dyDescent="0.45">
      <c r="A1429" s="6"/>
      <c r="B1429" s="6"/>
      <c r="C1429" s="7"/>
      <c r="D1429" s="6"/>
      <c r="E1429" s="6"/>
      <c r="F1429" s="6"/>
      <c r="H1429" s="6"/>
      <c r="I1429" s="6"/>
      <c r="J1429" s="6"/>
      <c r="K1429" s="6"/>
      <c r="L1429" s="6"/>
    </row>
    <row r="1430" spans="1:12" x14ac:dyDescent="0.45">
      <c r="A1430" s="6"/>
      <c r="B1430" s="6"/>
      <c r="C1430" s="7"/>
      <c r="D1430" s="6"/>
      <c r="E1430" s="6"/>
      <c r="F1430" s="6"/>
      <c r="H1430" s="6"/>
      <c r="I1430" s="6"/>
      <c r="J1430" s="6"/>
      <c r="K1430" s="6"/>
      <c r="L1430" s="6"/>
    </row>
    <row r="1431" spans="1:12" x14ac:dyDescent="0.45">
      <c r="A1431" s="6"/>
      <c r="B1431" s="6"/>
      <c r="C1431" s="7"/>
      <c r="D1431" s="6"/>
      <c r="E1431" s="6"/>
      <c r="F1431" s="6"/>
      <c r="H1431" s="6"/>
      <c r="I1431" s="6"/>
      <c r="J1431" s="6"/>
      <c r="K1431" s="6"/>
      <c r="L1431" s="6"/>
    </row>
    <row r="1432" spans="1:12" x14ac:dyDescent="0.45">
      <c r="A1432" s="6"/>
      <c r="B1432" s="6"/>
      <c r="C1432" s="7"/>
      <c r="D1432" s="6"/>
      <c r="E1432" s="6"/>
      <c r="F1432" s="6"/>
      <c r="H1432" s="6"/>
      <c r="I1432" s="6"/>
      <c r="J1432" s="6"/>
      <c r="K1432" s="6"/>
      <c r="L1432" s="6"/>
    </row>
    <row r="1433" spans="1:12" x14ac:dyDescent="0.45">
      <c r="A1433" s="6"/>
      <c r="B1433" s="6"/>
      <c r="C1433" s="7"/>
      <c r="D1433" s="6"/>
      <c r="E1433" s="6"/>
      <c r="F1433" s="6"/>
      <c r="H1433" s="6"/>
      <c r="I1433" s="6"/>
      <c r="J1433" s="6"/>
      <c r="K1433" s="6"/>
      <c r="L1433" s="6"/>
    </row>
    <row r="1434" spans="1:12" x14ac:dyDescent="0.45">
      <c r="A1434" s="6"/>
      <c r="B1434" s="6"/>
      <c r="C1434" s="7"/>
      <c r="D1434" s="6"/>
      <c r="E1434" s="6"/>
      <c r="F1434" s="6"/>
      <c r="H1434" s="6"/>
      <c r="I1434" s="6"/>
      <c r="J1434" s="6"/>
      <c r="K1434" s="6"/>
      <c r="L1434" s="6"/>
    </row>
    <row r="1435" spans="1:12" x14ac:dyDescent="0.45">
      <c r="A1435" s="6"/>
      <c r="B1435" s="6"/>
      <c r="C1435" s="7"/>
      <c r="D1435" s="6"/>
      <c r="E1435" s="6"/>
      <c r="F1435" s="6"/>
      <c r="H1435" s="6"/>
      <c r="I1435" s="6"/>
      <c r="J1435" s="6"/>
      <c r="K1435" s="6"/>
      <c r="L1435" s="6"/>
    </row>
    <row r="1436" spans="1:12" x14ac:dyDescent="0.45">
      <c r="A1436" s="6"/>
      <c r="B1436" s="6"/>
      <c r="C1436" s="7"/>
      <c r="D1436" s="6"/>
      <c r="E1436" s="6"/>
      <c r="F1436" s="6"/>
      <c r="H1436" s="6"/>
      <c r="I1436" s="6"/>
      <c r="J1436" s="6"/>
      <c r="K1436" s="6"/>
      <c r="L1436" s="6"/>
    </row>
    <row r="1437" spans="1:12" x14ac:dyDescent="0.45">
      <c r="A1437" s="6"/>
      <c r="B1437" s="6"/>
      <c r="C1437" s="7"/>
      <c r="D1437" s="6"/>
      <c r="E1437" s="6"/>
      <c r="F1437" s="6"/>
      <c r="H1437" s="6"/>
      <c r="I1437" s="6"/>
      <c r="J1437" s="6"/>
      <c r="K1437" s="6"/>
      <c r="L1437" s="6"/>
    </row>
    <row r="1438" spans="1:12" x14ac:dyDescent="0.45">
      <c r="A1438" s="6"/>
      <c r="B1438" s="6"/>
      <c r="C1438" s="7"/>
      <c r="D1438" s="6"/>
      <c r="E1438" s="6"/>
      <c r="F1438" s="6"/>
      <c r="H1438" s="6"/>
      <c r="I1438" s="6"/>
      <c r="J1438" s="6"/>
      <c r="K1438" s="6"/>
      <c r="L1438" s="6"/>
    </row>
    <row r="1439" spans="1:12" x14ac:dyDescent="0.45">
      <c r="A1439" s="6"/>
      <c r="B1439" s="6"/>
      <c r="C1439" s="7"/>
      <c r="D1439" s="6"/>
      <c r="E1439" s="6"/>
      <c r="F1439" s="6"/>
      <c r="H1439" s="6"/>
      <c r="I1439" s="6"/>
      <c r="J1439" s="6"/>
      <c r="K1439" s="6"/>
      <c r="L1439" s="6"/>
    </row>
    <row r="1440" spans="1:12" x14ac:dyDescent="0.45">
      <c r="A1440" s="6"/>
      <c r="B1440" s="6"/>
      <c r="C1440" s="7"/>
      <c r="D1440" s="6"/>
      <c r="E1440" s="6"/>
      <c r="F1440" s="6"/>
      <c r="H1440" s="6"/>
      <c r="I1440" s="6"/>
      <c r="J1440" s="6"/>
      <c r="K1440" s="6"/>
      <c r="L1440" s="6"/>
    </row>
    <row r="1441" spans="1:12" x14ac:dyDescent="0.45">
      <c r="A1441" s="6"/>
      <c r="B1441" s="6"/>
      <c r="C1441" s="7"/>
      <c r="D1441" s="6"/>
      <c r="E1441" s="6"/>
      <c r="F1441" s="6"/>
      <c r="H1441" s="6"/>
      <c r="I1441" s="6"/>
      <c r="J1441" s="6"/>
      <c r="K1441" s="6"/>
      <c r="L1441" s="6"/>
    </row>
    <row r="1442" spans="1:12" x14ac:dyDescent="0.45">
      <c r="A1442" s="6"/>
      <c r="B1442" s="6"/>
      <c r="C1442" s="7"/>
      <c r="D1442" s="6"/>
      <c r="E1442" s="6"/>
      <c r="F1442" s="6"/>
      <c r="H1442" s="6"/>
      <c r="I1442" s="6"/>
      <c r="J1442" s="6"/>
      <c r="K1442" s="6"/>
      <c r="L1442" s="6"/>
    </row>
    <row r="1443" spans="1:12" x14ac:dyDescent="0.45">
      <c r="A1443" s="6"/>
      <c r="B1443" s="6"/>
      <c r="C1443" s="7"/>
      <c r="D1443" s="6"/>
      <c r="E1443" s="6"/>
      <c r="F1443" s="6"/>
      <c r="H1443" s="6"/>
      <c r="I1443" s="6"/>
      <c r="J1443" s="6"/>
      <c r="K1443" s="6"/>
      <c r="L1443" s="6"/>
    </row>
    <row r="1444" spans="1:12" x14ac:dyDescent="0.45">
      <c r="A1444" s="6"/>
      <c r="B1444" s="6"/>
      <c r="C1444" s="7"/>
      <c r="D1444" s="6"/>
      <c r="E1444" s="6"/>
      <c r="F1444" s="6"/>
      <c r="H1444" s="6"/>
      <c r="I1444" s="6"/>
      <c r="J1444" s="6"/>
      <c r="K1444" s="6"/>
      <c r="L1444" s="6"/>
    </row>
    <row r="1445" spans="1:12" x14ac:dyDescent="0.45">
      <c r="A1445" s="6"/>
      <c r="B1445" s="6"/>
      <c r="C1445" s="7"/>
      <c r="D1445" s="6"/>
      <c r="E1445" s="6"/>
      <c r="F1445" s="6"/>
      <c r="H1445" s="6"/>
      <c r="I1445" s="6"/>
      <c r="J1445" s="6"/>
      <c r="K1445" s="6"/>
      <c r="L1445" s="6"/>
    </row>
    <row r="1446" spans="1:12" x14ac:dyDescent="0.45">
      <c r="A1446" s="6"/>
      <c r="B1446" s="6"/>
      <c r="C1446" s="7"/>
      <c r="D1446" s="6"/>
      <c r="E1446" s="6"/>
      <c r="F1446" s="6"/>
      <c r="H1446" s="6"/>
      <c r="I1446" s="6"/>
      <c r="J1446" s="6"/>
      <c r="K1446" s="6"/>
      <c r="L1446" s="6"/>
    </row>
    <row r="1447" spans="1:12" x14ac:dyDescent="0.45">
      <c r="A1447" s="6"/>
      <c r="B1447" s="6"/>
      <c r="C1447" s="7"/>
      <c r="D1447" s="6"/>
      <c r="E1447" s="6"/>
      <c r="F1447" s="6"/>
      <c r="H1447" s="6"/>
      <c r="I1447" s="6"/>
      <c r="J1447" s="6"/>
      <c r="K1447" s="6"/>
      <c r="L1447" s="6"/>
    </row>
    <row r="1448" spans="1:12" x14ac:dyDescent="0.45">
      <c r="A1448" s="6"/>
      <c r="B1448" s="6"/>
      <c r="C1448" s="7"/>
      <c r="D1448" s="6"/>
      <c r="E1448" s="6"/>
      <c r="F1448" s="6"/>
      <c r="H1448" s="6"/>
      <c r="I1448" s="6"/>
      <c r="J1448" s="6"/>
      <c r="K1448" s="6"/>
      <c r="L1448" s="6"/>
    </row>
    <row r="1449" spans="1:12" x14ac:dyDescent="0.45">
      <c r="A1449" s="6"/>
      <c r="B1449" s="6"/>
      <c r="C1449" s="7"/>
      <c r="D1449" s="6"/>
      <c r="E1449" s="6"/>
      <c r="F1449" s="6"/>
      <c r="H1449" s="6"/>
      <c r="I1449" s="6"/>
      <c r="J1449" s="6"/>
      <c r="K1449" s="6"/>
      <c r="L1449" s="6"/>
    </row>
    <row r="1450" spans="1:12" x14ac:dyDescent="0.45">
      <c r="A1450" s="6"/>
      <c r="B1450" s="6"/>
      <c r="C1450" s="7"/>
      <c r="D1450" s="6"/>
      <c r="E1450" s="6"/>
      <c r="F1450" s="6"/>
      <c r="H1450" s="6"/>
      <c r="I1450" s="6"/>
      <c r="J1450" s="6"/>
      <c r="K1450" s="6"/>
      <c r="L1450" s="6"/>
    </row>
    <row r="1451" spans="1:12" x14ac:dyDescent="0.45">
      <c r="A1451" s="6"/>
      <c r="B1451" s="6"/>
      <c r="C1451" s="7"/>
      <c r="D1451" s="6"/>
      <c r="E1451" s="6"/>
      <c r="F1451" s="6"/>
      <c r="H1451" s="6"/>
      <c r="I1451" s="6"/>
      <c r="J1451" s="6"/>
      <c r="K1451" s="6"/>
      <c r="L1451" s="6"/>
    </row>
    <row r="1452" spans="1:12" x14ac:dyDescent="0.45">
      <c r="A1452" s="6"/>
      <c r="B1452" s="6"/>
      <c r="C1452" s="7"/>
      <c r="D1452" s="6"/>
      <c r="E1452" s="6"/>
      <c r="F1452" s="6"/>
      <c r="H1452" s="6"/>
      <c r="I1452" s="6"/>
      <c r="J1452" s="6"/>
      <c r="K1452" s="6"/>
      <c r="L1452" s="6"/>
    </row>
    <row r="1453" spans="1:12" x14ac:dyDescent="0.45">
      <c r="A1453" s="6"/>
      <c r="B1453" s="6"/>
      <c r="C1453" s="7"/>
      <c r="D1453" s="6"/>
      <c r="E1453" s="6"/>
      <c r="F1453" s="6"/>
      <c r="H1453" s="6"/>
      <c r="I1453" s="6"/>
      <c r="J1453" s="6"/>
      <c r="K1453" s="6"/>
      <c r="L1453" s="6"/>
    </row>
    <row r="1454" spans="1:12" x14ac:dyDescent="0.45">
      <c r="A1454" s="6"/>
      <c r="B1454" s="6"/>
      <c r="C1454" s="7"/>
      <c r="D1454" s="6"/>
      <c r="E1454" s="6"/>
      <c r="F1454" s="6"/>
      <c r="H1454" s="6"/>
      <c r="I1454" s="6"/>
      <c r="J1454" s="6"/>
      <c r="K1454" s="6"/>
      <c r="L1454" s="6"/>
    </row>
    <row r="1455" spans="1:12" x14ac:dyDescent="0.45">
      <c r="A1455" s="6"/>
      <c r="B1455" s="6"/>
      <c r="C1455" s="7"/>
      <c r="D1455" s="6"/>
      <c r="E1455" s="6"/>
      <c r="F1455" s="6"/>
      <c r="H1455" s="6"/>
      <c r="I1455" s="6"/>
      <c r="J1455" s="6"/>
      <c r="K1455" s="6"/>
      <c r="L1455" s="6"/>
    </row>
    <row r="1456" spans="1:12" x14ac:dyDescent="0.45">
      <c r="A1456" s="6"/>
      <c r="B1456" s="6"/>
      <c r="C1456" s="7"/>
      <c r="D1456" s="6"/>
      <c r="E1456" s="6"/>
      <c r="F1456" s="6"/>
      <c r="H1456" s="6"/>
      <c r="I1456" s="6"/>
      <c r="J1456" s="6"/>
      <c r="K1456" s="6"/>
      <c r="L1456" s="6"/>
    </row>
    <row r="1457" spans="1:12" x14ac:dyDescent="0.45">
      <c r="A1457" s="6"/>
      <c r="B1457" s="6"/>
      <c r="C1457" s="7"/>
      <c r="D1457" s="6"/>
      <c r="E1457" s="6"/>
      <c r="F1457" s="6"/>
      <c r="H1457" s="6"/>
      <c r="I1457" s="6"/>
      <c r="J1457" s="6"/>
      <c r="K1457" s="6"/>
      <c r="L1457" s="6"/>
    </row>
    <row r="1458" spans="1:12" x14ac:dyDescent="0.45">
      <c r="A1458" s="6"/>
      <c r="B1458" s="6"/>
      <c r="C1458" s="7"/>
      <c r="D1458" s="6"/>
      <c r="E1458" s="6"/>
      <c r="F1458" s="6"/>
      <c r="H1458" s="6"/>
      <c r="I1458" s="6"/>
      <c r="J1458" s="6"/>
      <c r="K1458" s="6"/>
      <c r="L1458" s="6"/>
    </row>
    <row r="1459" spans="1:12" x14ac:dyDescent="0.45">
      <c r="A1459" s="6"/>
      <c r="B1459" s="6"/>
      <c r="C1459" s="7"/>
      <c r="D1459" s="6"/>
      <c r="E1459" s="6"/>
      <c r="F1459" s="6"/>
      <c r="H1459" s="6"/>
      <c r="I1459" s="6"/>
      <c r="J1459" s="6"/>
      <c r="K1459" s="6"/>
      <c r="L1459" s="6"/>
    </row>
    <row r="1460" spans="1:12" x14ac:dyDescent="0.45">
      <c r="A1460" s="6"/>
      <c r="B1460" s="6"/>
      <c r="C1460" s="7"/>
      <c r="D1460" s="6"/>
      <c r="E1460" s="6"/>
      <c r="F1460" s="6"/>
      <c r="H1460" s="6"/>
      <c r="I1460" s="6"/>
      <c r="J1460" s="6"/>
      <c r="K1460" s="6"/>
      <c r="L1460" s="6"/>
    </row>
    <row r="1461" spans="1:12" x14ac:dyDescent="0.45">
      <c r="A1461" s="6"/>
      <c r="B1461" s="6"/>
      <c r="C1461" s="7"/>
      <c r="D1461" s="6"/>
      <c r="E1461" s="6"/>
      <c r="F1461" s="6"/>
      <c r="H1461" s="6"/>
      <c r="I1461" s="6"/>
      <c r="J1461" s="6"/>
      <c r="K1461" s="6"/>
      <c r="L1461" s="6"/>
    </row>
    <row r="1462" spans="1:12" x14ac:dyDescent="0.45">
      <c r="A1462" s="6"/>
      <c r="B1462" s="6"/>
      <c r="C1462" s="7"/>
      <c r="D1462" s="6"/>
      <c r="E1462" s="6"/>
      <c r="F1462" s="6"/>
      <c r="H1462" s="6"/>
      <c r="I1462" s="6"/>
      <c r="J1462" s="6"/>
      <c r="K1462" s="6"/>
      <c r="L1462" s="6"/>
    </row>
    <row r="1463" spans="1:12" x14ac:dyDescent="0.45">
      <c r="A1463" s="6"/>
      <c r="B1463" s="6"/>
      <c r="C1463" s="7"/>
      <c r="D1463" s="6"/>
      <c r="E1463" s="6"/>
      <c r="F1463" s="6"/>
      <c r="H1463" s="6"/>
      <c r="I1463" s="6"/>
      <c r="J1463" s="6"/>
      <c r="K1463" s="6"/>
      <c r="L1463" s="6"/>
    </row>
    <row r="1464" spans="1:12" x14ac:dyDescent="0.45">
      <c r="A1464" s="6"/>
      <c r="B1464" s="6"/>
      <c r="C1464" s="7"/>
      <c r="D1464" s="6"/>
      <c r="E1464" s="6"/>
      <c r="F1464" s="6"/>
      <c r="H1464" s="6"/>
      <c r="I1464" s="6"/>
      <c r="J1464" s="6"/>
      <c r="K1464" s="6"/>
      <c r="L1464" s="6"/>
    </row>
    <row r="1465" spans="1:12" x14ac:dyDescent="0.45">
      <c r="A1465" s="6"/>
      <c r="B1465" s="6"/>
      <c r="C1465" s="7"/>
      <c r="D1465" s="6"/>
      <c r="E1465" s="6"/>
      <c r="F1465" s="6"/>
      <c r="H1465" s="6"/>
      <c r="I1465" s="6"/>
      <c r="J1465" s="6"/>
      <c r="K1465" s="6"/>
      <c r="L1465" s="6"/>
    </row>
    <row r="1466" spans="1:12" x14ac:dyDescent="0.45">
      <c r="A1466" s="6"/>
      <c r="B1466" s="6"/>
      <c r="C1466" s="7"/>
      <c r="D1466" s="6"/>
      <c r="E1466" s="6"/>
      <c r="F1466" s="6"/>
      <c r="H1466" s="6"/>
      <c r="I1466" s="6"/>
      <c r="J1466" s="6"/>
      <c r="K1466" s="6"/>
      <c r="L1466" s="6"/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1DB9AB5CBCD1E4FAD847689B385E436" ma:contentTypeVersion="4" ma:contentTypeDescription="새 문서를 만듭니다." ma:contentTypeScope="" ma:versionID="a3c70e36d7bddfa26d48a2fda03f6bcd">
  <xsd:schema xmlns:xsd="http://www.w3.org/2001/XMLSchema" xmlns:xs="http://www.w3.org/2001/XMLSchema" xmlns:p="http://schemas.microsoft.com/office/2006/metadata/properties" xmlns:ns3="c55acaf9-c555-418f-adf0-77b3f6ade2eb" targetNamespace="http://schemas.microsoft.com/office/2006/metadata/properties" ma:root="true" ma:fieldsID="9119a8c43a3d80abae801785a9ac3524" ns3:_="">
    <xsd:import namespace="c55acaf9-c555-418f-adf0-77b3f6ade2e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acaf9-c555-418f-adf0-77b3f6ade2e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AAD18C-DC91-4291-AC9A-2B00C27B3A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5acaf9-c555-418f-adf0-77b3f6ade2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184D8D-65A0-4A55-AEB8-FC92F6AE30B3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c55acaf9-c555-418f-adf0-77b3f6ade2eb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C627DE5-A61D-4AC1-8F5A-3A6535761C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엄민경[RC - EUM MIN KYOUNG]</dc:creator>
  <cp:lastModifiedBy>엄민경[RC - EUM MIN KYOUNG]</cp:lastModifiedBy>
  <dcterms:created xsi:type="dcterms:W3CDTF">2026-09-22T14:10:55Z</dcterms:created>
  <dcterms:modified xsi:type="dcterms:W3CDTF">2026-09-22T14:14:28Z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0x01010081DB9AB5CBCD1E4FAD847689B385E436</vt:lpwstr>
  </property>
</Properties>
</file>